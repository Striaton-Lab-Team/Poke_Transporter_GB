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Translations" sheetId="2" r:id="rId6"/>
    <sheet state="visible" name="Character Arrays" sheetId="3" r:id="rId7"/>
    <sheet state="visible" name="Box Types" sheetId="4" r:id="rId8"/>
    <sheet state="visible" name="Sheet12" sheetId="5" r:id="rId9"/>
    <sheet state="visible" name="🥚" sheetId="6" r:id="rId10"/>
  </sheets>
  <definedNames/>
  <calcPr/>
</workbook>
</file>

<file path=xl/sharedStrings.xml><?xml version="1.0" encoding="utf-8"?>
<sst xmlns="http://schemas.openxmlformats.org/spreadsheetml/2006/main" count="19567" uniqueCount="10679">
  <si>
    <r>
      <rPr>
        <rFont val="Arial"/>
        <color theme="1"/>
        <sz val="14.0"/>
      </rPr>
      <t xml:space="preserve">Hello!! Thank you for your help on Poké Transporter GB!
</t>
    </r>
    <r>
      <rPr>
        <rFont val="Arial"/>
        <color theme="1"/>
      </rPr>
      <t xml:space="preserve">
A few things to help you through your translation journey:
- A list of valid characters can be found as one of the sheet's pages. This also includes escape characters for things like newlines and user input.
- The ROM can be built through the Bronzor Bot on the Discord server!
- A text debug mode will also be included on the main menu. From here you can scroll through the various text sections and view each dialoge box.
- Translation boxes have a maximum size of 1024 characters. If this is exceeded, the bot will alert you. If shortening the dialogue isn't possible, let me know and I can make modifications to account for it!
PLEASE feel free to email me (TheOfficialGearsOfProgress@gmail.com) or message me on Discord (@starport75). I am </t>
    </r>
    <r>
      <rPr>
        <rFont val="Arial"/>
        <i/>
        <color theme="1"/>
      </rPr>
      <t>always</t>
    </r>
    <r>
      <rPr>
        <rFont val="Arial"/>
        <color theme="1"/>
      </rPr>
      <t xml:space="preserve"> happy to help!! :D 
Also, please add your name to the following rows so I can add you to the credits!</t>
    </r>
  </si>
  <si>
    <t>Japanese:</t>
  </si>
  <si>
    <t>Peter Dubois (petrosjd)</t>
  </si>
  <si>
    <t>English:</t>
  </si>
  <si>
    <t>The Gears of Progress</t>
  </si>
  <si>
    <t>French:</t>
  </si>
  <si>
    <t>Lugiadrien</t>
  </si>
  <si>
    <t>German:</t>
  </si>
  <si>
    <t>Ayumea</t>
  </si>
  <si>
    <t>Italian:</t>
  </si>
  <si>
    <t>Lagger and alechieffi</t>
  </si>
  <si>
    <t>Spanish (EU):</t>
  </si>
  <si>
    <t>Yuraite</t>
  </si>
  <si>
    <t>Spanish (LA):</t>
  </si>
  <si>
    <t>Cristóbal Sepúlveda</t>
  </si>
  <si>
    <t>Brazilian Portuguese:</t>
  </si>
  <si>
    <t>Hyd~ (i'm gonna do a revision when i'm not sleepy in another day xD)</t>
  </si>
  <si>
    <t>Korean:</t>
  </si>
  <si>
    <t>Shaii</t>
  </si>
  <si>
    <t>ID</t>
  </si>
  <si>
    <t>Text Section</t>
  </si>
  <si>
    <t>Text Key</t>
  </si>
  <si>
    <t>Box Type</t>
  </si>
  <si>
    <t>Notes</t>
  </si>
  <si>
    <t>Source Text</t>
  </si>
  <si>
    <t xml:space="preserve">Japanese </t>
  </si>
  <si>
    <t>English</t>
  </si>
  <si>
    <t>French</t>
  </si>
  <si>
    <t>German</t>
  </si>
  <si>
    <t>Italian</t>
  </si>
  <si>
    <t>Spanish (EU)</t>
  </si>
  <si>
    <t>Spanish (LA)</t>
  </si>
  <si>
    <t>Korean</t>
  </si>
  <si>
    <t>Chinese (Simplified)</t>
  </si>
  <si>
    <t>Chinese (Traditional)</t>
  </si>
  <si>
    <t>Brazilian Portuguese</t>
  </si>
  <si>
    <t>PTGB</t>
  </si>
  <si>
    <t>DIA_OPEN</t>
  </si>
  <si>
    <t>dialougeBox</t>
  </si>
  <si>
    <t>ヤッホー！　アタシはマコモ。ごらんのとおりの{NEW}けんきゅうかよ。{NEW}ちなみに、けんきゅうしているのはトレーナーについてなの！{CLR}アタシのゆめは、いろんなトレーナーのレポートを{NEW}あつめることだけどね、おおきなしんぽはまだないの‥‥{CLR}だからね、それまでは、アタシはむかしのともだちとほかの{NEW}プロジェクトにとりくんでいる！{CLR}アタシのじもとのちほうには、ポケモンのゆめをげんじつの{NEW}かたちにできるばしょがあるの。{CLR}ということは、ゆめのなかでほかにであうポケモンは{NEW}げんじつになるのよ！{CLR}すごいことなの。アタシのもくひょうはおなじことをすること{NEW}なんだけど、ただ、トレーナーのゆめをかわりにね！{NEW}だからアナタのてだすけがひつようなの！{CLR}アナタのゆめからできるだけおおくのポケモンを{NEW}ひきだしたいのよ！{CLR}アタシのゆめのポケモンずかん、りゃくして、ゆめずかんに{NEW}とうろくしたいポケモンは、２５０ひきあまりいるの。{CLR}でも、でるポケモンはすべてアナタにもたせてあげるね。{NEW}だって、けっきょくアナタのゆめからくるのね！{CLR}さいごにひとつなんだけどね、レポートのバックアップを{NEW}オススメするわよ。まんがいちにそなえて、なにかもんだいが{NEW}あったらね！{CLR}これですべてかなーとおもう‥‥　はじめるじゅんびが{NEW}できたら、いつでもアタシにしらせてね！</t>
  </si>
  <si>
    <t>Hey there! I’m PROF. FENNEL.{NEW}As you can see, I’m a scientist. In fact, the subject I’m researching is TRAINERS! My dream is to collect save files of various TRAINERS, but I haven’t had any breakthroughs yet…{NEW}So in the meantime, I’ve been working on a different project with one of my old friends! In my home region, there’s a location that can make a POKéMON’s dreams into reality. This means that any other POKéMON they meet in their dreams become real! That’s fantastic, but my goal is to do the same- just with a TRAINER’s dream instead! That’s why I need your help! I want to bring as many POKéMON out of your dreams as possible! There’s just over 250 POKéMON I want to catalogue in my DREAM POKéDEX- or DREAM DEX for short. But I’ll let you keep any POKéMON- they’re from your dreams after all! One last note, save data backups are recommended- just on the off chance that something goes wrong!{NEW}I think that’s everything… whenever you’re ready to start, just let me know!</t>
  </si>
  <si>
    <t>Saluuut! Je me présente: ORYSE!{NEW}Une scientifique, comme tu peux le voir.{NEW}Et ma spécialité, c’est les DRESSEURS!{NEW}Mon rêve est de réunir les sauvegardes de DRESSEURS, mais je n’ai toujours fais aucune découverte…{NEW}Du coup en attendant, j’ai travaillé sur un autre projet avec une vieille connaissance!Là d’où je viens, il y a un lieu qui matérialise les rêves des POKéMON. Faisant que chaque POKéMON qu’ils y rencontraient devenait réel! C’est méga cool, mais aujourd’hui mon but est de parvenir à la même chose avec ceux des DRESSEURS. Et c’est là que t’interviens!{NEW}Je voudais extraitre des rêves autant de POKéMON que possible! Il y a à peu près 250 POKéMON que je voudrais répertorier dans mon POKéDEX onirique, ou ONIRIDEX pour faire court. Bien entendu tu pourras garder tous les POKéMON que t’y rencontreras, ce sont les tiens après tout! Oh, une dernière chose, les backups de sauvegardes sont recommandées, juste au cas où quelque chose tourne mal! Bon, je pense que tout est prêt… Dis-moi quand tu l’es aussi!</t>
  </si>
  <si>
    <t>Ciao! Sono la PROF.SSA ZANIA.{NEW}Come puoi vedere, sono una scienziata. Infatti, quello che sto studiando sono gli ALLENATORI! Il mio sogno è quello di collezionare i dati di salvataggio dei vari ALLENATORI, ma non ho fatto progressi…{NEW}Perciò nel frattempo ho lavorato su un altro progetto con un mio vecchio amico! Nella mia regione natale, c’è un luogo che può far diventare i sogni dei POKéMON realtà. Ciò significa che ogni POKéMON che incontrano nei loro sogni diventa reale! È fantastico, ma il mio scopo è quello di fare lo stesso- ma con il sogno di un allenatore! È per questo che ho bisogno del tuo aiuto! Voglio riuscire a prendere quanti più POKéMON possibile dai tuoi sogni! Ci sono 250 POKéMON che vorrei catalogare nel mio DREAM POKéDEX- detto anche DREAM DEX. Ma potrai tenere tutti i POKéMON- d’altronde provengono dai tuoi sogni!{NEW}{NEW}Ultima cosa:{NEW}Fai un backup dei salvataggi.{NEW}Quando sei pronto, fammi sapere!</t>
  </si>
  <si>
    <t>¡Hola! Soy la PROF. ORYZA.{NEW}Como puedes ver, soy científica. De hecho, ¡mi objeto de estudio son los ENTRENADORES! Mi sueño es coleccionar archivos de guardado de varios ENTRENADORES, pero aún no he tenido ningún avance…{NEW}Así que, mientras tanto, ¡he estado trabajando en un proyecto distinto con uno de mis viejos amigos! En mi región natal, hay un lugar que puede materializar los sueños de los POKéMON. ¡Esto significa que otros POKéMON con los que se encuentran en sueños se vuelven reales! Es fantástico, pero mi objetivo es hacer lo mismo- ¡con los sueños de un ENTRENADOR! Por eso necesito tu ayuda. ¡Quiero traer a tantos POKéMON de tus sueños como sea posible! Hay poco más de 250 POKéMON que quiero catalogar en mi POKéDEX de los sueños- o DREAM DEX para abreviar. Pero te voy a dejar quedarte con cualquier POKéMON- ¡proceden de tus sueños, después de todo! Una última cosa, te recomiendo tener copias de seguridad de tus archivos de guardado- ¡solo por si acaso algo saliese mal!{NEW}Creo que eso es todo… ¡cuando quieras comenzar, házmelo saber!</t>
  </si>
  <si>
    <t>¡Hola! Soy la PROF. FENNEL y soy una científica. De hecho, ahora mismo estoy investigando a los ENTRENADORES. Mi sueño es recopilar partidas de distintos ENTRENADORES, pero hasta ahora no he avanzado mucho…{NEW}¡Así que estoy trabajando en un proyecto diferente con uno de mis viejos amigos! En mi región natal existe un lugar capaz de hacer realidad los sueños de los POKéMON.{NEW}¡Esto significa que cualquier POKéMON que conozcan en sus sueños se vuelve real! ¡Es algo increíble!{NEW}Y yo quiero lograr lo mismo… ¡pero con los sueños de un ENTRENADOR! ¡Y para eso necesito tu ayuda!{NEW}¡Quiero traer de tus sueños a tantos POKéMON como pueda! Hay poco más de 250 POKéMON que quiero catalogar en mi POKéDEX de los Sueños, o DREAM DEX, para abreviar.{NEW}Pero dejaré que te quedes con cualquier POKéMON, ¡ya que son de tus sueños! Una última cosa: te recomiendo hacer copias de seguridad de las partidas, solo por si algo llegara a salir mal.{NEW}Creo que eso es todo… ¡Avísame cuando quieras empezar!</t>
  </si>
  <si>
    <t>얏호-! 나는 주리야. 보다시피 연구가.{NEW}참고로 연구하고 있는 것은 트레이너에 대해서!{CLR}내 꿈은 여러 트레이너의 세이브파일을{NEW}모으는 것이지만, 큰 진척은 아직 없어‥‥{CLR}그러니까 그동안은, 오랜 친구와 다른 프로젝트에{NEW}몰두하고 있어!{CLR}내 고향 지방에서는, 포켓몬의 꿈을 현실의{NEW}형태로 만들 수 있는 곳이 있어!{CLR}즉, 꿈속에서 다른 포켓몬을 만나면 현실이{NEW}되는 거야!{CLR}대단한 거야. 하지만, 내 목표는 같은 일을 하는{NEW}거야, 단지 트레이너의 꿈을 대신해 주는 거지!{NEW}그러니 네 도움이 필요해!{CLR}네 꿈에서 가능한 한 많이 포켓몬을{NEW}끌어내고 싶어!{CLR}내 꿈의 포켓몬 도감, 줄여서 꿈도감에 등록하고{NEW}싶은 포켓몬은, 250개 정도 있어.{CLR}하지만, 나가는 포켓몬은 뭐든 네게 맡겨줄게.{NEW}그게, 결국 네 꿈에서 오는 거니까!{CLR}마지막으로 하나, 리포트 백업을 권한다.{NEW}만일을 대비해, 문제가 발생했다면!{CLR}이걸로 모두인 것 같아‥‥ 시작 주비가 되면,{NEW}언제든 나에게 알려줘!</t>
  </si>
  <si>
    <t>Olá! Eu sou a PROF.ª FENNEL. E como pode ver, sou uma cientista. Na verdade, meu tema de pesquisa são TREINADORES! Meu sonho é coletar arquivos de salvamento de vários TREINADORES, mas ainda não tive grandes progressos…{NEW}Então, enquanto isso, eu tenho trabalhado em um projeto diferente com um de meus velhos amigos! Na minha terra natal, existe um local que pode tornar os sonhos dos POKéMON em realidade! Isso é fantástico, mas meu objetivo é fazer o mesmo, mas com os sonhos dos TREINADORES! É por isso que eu preciso da sua ajuda! Eu quero trazer dos seus sonhos quantos POKéMON forem possíveis! Existem cerca de 250 POKéMON que eu quero catalogar na minha POKéDEX dos SONHOS, ou se preferir a DREAM DEX. Mas eu vou deixar você ficar com todos os POKéMON, já que eles são dos seus sonhos afinal! Um aviso: recomendo fazer backup dos seus arquivos, por segurança caso algo dê errado!{NEW} Eu acho que isso é tudo… assim que estiver pronto, me avise!</t>
  </si>
  <si>
    <t>DIA_E4</t>
  </si>
  <si>
    <t>ヤッホー、トレーナー！{CLR}アタシたちのけんきゅうをてつだってくれることにかんげき{NEW}しているけどね、さいこうのなかのさいこうがひつようなの！{CLR}してんのうをたおして、チャンピオンになったあと、{NEW}もどってきてね！</t>
  </si>
  <si>
    <t>Hi TRAINER!{NEW}{NEW}I’m thrilled you’ve decided to help with our research, but we need the best of the best! Come back after you become CHAMPION!</t>
  </si>
  <si>
    <t>Salut DRESSEUR!{NEW}{NEW}Je suis très heureuse que tu veuilles m’aider dans mes recherches, mais j’ai besoin de la crème de la crème! Reviens me voir une fois que tu auras décroché le titre de MAITRE!</t>
  </si>
  <si>
    <t>Ciao ALLENATORE!{NEW}{NEW}Sono felice che tu abbia deciso di aiutarci con la nostra ricerca, ma abbiamo bisogno del meglio del meglio! Torna dopo aver battuto i SUPERQUATTRO ed essere diventato CAMPIONE!</t>
  </si>
  <si>
    <t>¡Hola, ENTRENADOR!{NEW}{NEW}Me emociona que hayas decidido ayudarme con nuestra investigación, ¡pero necesitamos a los mejores! ¡Vuelve cuando te hayas proclamado CAMPEÓN!</t>
  </si>
  <si>
    <t>¡Hola, ENTRENADOR!{NEW}{NEW}Me emociona que decidieras ayudarme con la investigación, ¡pero necesitamos a los mejores! ¡Alguien mejor que nadie más! ¡Vuelve cuando hayas alcanzado el rango de CAMPEÓN!</t>
  </si>
  <si>
    <t xml:space="preserve">얏호, 트레이너! </t>
  </si>
  <si>
    <t>Oi, TREINADOR! Estou muito feliz que você decidiu me ajudar com a minha pesquisa, mas nós precisamos do melhor dos melhores! Volte depois que você tenha derrotado a ELITE DOS QUATRO e se tornado CAMPEÃO!</t>
  </si>
  <si>
    <t>DIA_MG_FRLGE</t>
  </si>
  <si>
    <r>
      <rPr/>
      <t xml:space="preserve">"LINK TOGETHER WITH ALL" comes from </t>
    </r>
    <r>
      <rPr>
        <color rgb="FF1155CC"/>
        <u/>
      </rPr>
      <t xml:space="preserve">this </t>
    </r>
    <r>
      <rPr/>
      <t>chart</t>
    </r>
  </si>
  <si>
    <t>ごめんなさいね、トレーナー！　はじめられるまえに{NEW}しないといけないことがあともうひとつあるのよー：{NEW}ふしぎなおくりものをゆうこうにしないとね！{CLR}もよりのフレンドリィショップにいって、アンケートに{NEW}つぎのようにこたえてね：{NEW}ともだち　いっぱい　ふしぎ　つうしん。{CLR}そのあと、てつづきはもうバッチリなはずよ！{NEW}じゃあ、またねー！</t>
  </si>
  <si>
    <t>Sorry TRAINER, one more thing to take care of before we can begin- you need to enable MYSTERY GIFT! Head to the nearest POKé MART and fill out the questionnaire as follows: LINK TOGETHER WITH ALL. After that, you should be all set to go! See you soon!</t>
  </si>
  <si>
    <t>Oh DRESSEUR, désolée, dernière petite chose avant de pouvoir commencer, il faut d’abord activer le CADEAU MYSTERE! Pour ce faire, rends-toi dans la BOUTIQUE POKéMON la plus proche. Ensuite, réponds «CONNEXION AVEC LES DRESSEUR» au questionnaire sur le comptoir. Après ça, tout devrait être bon!{NEW}On se revoit après!</t>
  </si>
  <si>
    <t xml:space="preserve">Mi dispiace ALLENATORE, c’è ancora una cosa da sistemare prima di poter iniziare. Devi sbloccare il DONO SEGRETO! Dirigiti al POKéMON-MARKET più vicino e completa il questionario come segue: INSIEME IN LINK ! Dopodiché, dovrebbe essere tutto pronto per partire! Arrivederci! </t>
  </si>
  <si>
    <t>Lo siento, ENTRENADOR, hay algo de lo que tenemos que encargarnos antes de poder comenzar- ¡necesitas activar REGALO MISTERIOSO! Dirígete una TIENDA POKéMON y rellena el cuestionario del siguiente modo: CONEXIÓN CON TODOS. ¡Tras eso, todo debería estar listo! ¡Nos vemos pronto!</t>
  </si>
  <si>
    <t>Lo siento, ENTRENADOR, una cosa más antes de empezar: ¡tienes que activar el REGALO MISTERIOSO! Dirígete a la TIENDA POKéMON más cercana y llena el cuestionario de la siguiente manera: CONEXIÓN CON TODOS. Después de eso, ¡todo debería estar listo! ¡Nos vemos pronto!</t>
  </si>
  <si>
    <t>Me desculpe, TREINADOR, uma última coisa precisa ser feita antes de começarmos. Você precisa ativar o PRESENTE MISTERIOSO! Vá até um POKé LOJA e preencha o questionário no balcão da seguinte forma: LINK TOGETHER WITH ALL. Depois disso, você estará pronto para começar. Nos vemos em breve!</t>
  </si>
  <si>
    <t>DIA_MG_RS</t>
  </si>
  <si>
    <r>
      <rPr/>
      <t xml:space="preserve">"MYSTERY GIFT IS EXCITING" comes from </t>
    </r>
    <r>
      <rPr>
        <color rgb="FF1155CC"/>
        <u/>
      </rPr>
      <t>this</t>
    </r>
    <r>
      <rPr/>
      <t xml:space="preserve"> chart</t>
    </r>
  </si>
  <si>
    <t>ごめんなさいね、トレーナー！　はじめられるまえに{NEW}しないといけないことがあともうひとつあるのよー：{NEW}ふしぎなできごとをゆうこうにしないとね！{CLR}トウカシティのポケモンセンターにいって、パソコンの{NEW}よこにいるひとにこれをつたえてね：{NEW}ふしぎ　できごと　わくわく　ドキドキ。{CLR}そのあと、てつづきはもうバッチリなはずよ！{NEW}じゃあ、またねー！</t>
  </si>
  <si>
    <t>Sorry TRAINER, one more thing to take care of before we can begin- you need to enable MYSTERY EVENT! Head to the PETALBURG POKéMON CENTER and tell the man next to the PC: MYSTERY EVENT IS EXCITING. After that, you should be all set to go! See you soon!</t>
  </si>
  <si>
    <t>Oh DRESSEUR, désolée, dernière petite chose avant de pouvoir commencer, il faut d’abord activer le CADEAU MYSTERE! Pour ce faire, rends-toi au CENTRE POKéMON de CLEMENTI-VILLE. Ensuite, réponds «EVENEMENT MYSTERE EST PASSIONNANT» à l’homme debout à côté du PC. Après ça, tout devrait être bon!{NEW}On se revoit après!</t>
  </si>
  <si>
    <t xml:space="preserve">Mi dispiace ALLENATORE, c’è ancora una cosa da sistemare prima di poter iniziare. Devi sbloccare l’EVENTO SEGRETO! Dirigiti al CENTRO POKéMON di PETALIPOLI e dì all’uomo vicino al PC: EVENTO SEGRETO È FANTASTICO. Dopodiché, dovrebbe essere tutto pronto per partire! Arrivederci! </t>
  </si>
  <si>
    <t>Lo siento, ENTRENADOR, hay algo de lo que tenemos que encargarnos antes de poder comenzar- ¡necesitas activar EVENTO MISTERIOSO! Dirígete al CENTRO POKéMON de CIUDAD PETALIA y dile al hombre junto al PC: EVENTO MISTERIOSO ES DEMASIADO. ¡Tras eso, todo debería estar listo! ¡Nos vemos pronto!</t>
  </si>
  <si>
    <t>Lo siento, ENTRENADOR, algo más antes de empezar: ¡tienes que activar el EVENTO MISTERIOSO!{NEW}Ve al CENTRO POKéMON de PETALBURGO y dile al hombre que está junto a la PC: EVENTO MISTERIOSO ES EMOCIONANTE.{NEW}¡Luego todo debería estar listo! ¡Nos vemos!</t>
  </si>
  <si>
    <t>Me desculpe, TREINADOR, uma última coisa precisa ser feita antes de começarmos. Você precisa ativar o PRESENTE MISTERIOSO! Vá ao CENTRO POKéMON em PETALBURG e diga o seguinte para o homem perto do PC: MYSTERY EVENT IS EXCITING. Depois disso, estaremos prontos para começar. Nos vemos em breve!</t>
  </si>
  <si>
    <t>DIA_LETS_START</t>
  </si>
  <si>
    <t>さて、はじめよー！</t>
  </si>
  <si>
    <t>Let’s get started!</t>
  </si>
  <si>
    <t>Parfait, commençons!</t>
  </si>
  <si>
    <t>Iniziamo!</t>
  </si>
  <si>
    <t>¡Comencemos!</t>
  </si>
  <si>
    <t>¡Empecemos!</t>
  </si>
  <si>
    <t>Perfeito, essa é toda a informação que eu preciso! Vamos começar!</t>
  </si>
  <si>
    <t>DIA_START</t>
  </si>
  <si>
    <t>もうひとつのゲームボーイでは、てんそうもとの{NEW}ゲームをきどうしてください。{CLR}そのゲームでは、いまのボックスがてんそうもとの{NEW}ボックスになっていることをかくにんしてね。{CLR}つぎに、りょうほうのほんたいをゲームボーイカラー{NEW}せんようつうしんケーブルでつなげてね。{CLR}じゅんびができたら、つうしんケーブルクラブのうけつけ{NEW}スタッフにこえをかけて、つうしんをかいししてね。</t>
  </si>
  <si>
    <t>On a second Game Boy, please load the game you wish to transfer from. In this same game, make sure your current BOX is the one you want to transfer from. Then connect the systems together using a Game Boy Color Link Cable. Once you’re ready, talk to the Cable Club attendant and initiate the connection.</t>
  </si>
  <si>
    <t>Sur une autre Game Boy, peu importe le modèle, allume la version à partir de laquelle tu veux transférer.{NEW}Dans cette même version, veille aussi à ce que la BOITE active du PC soit bien celle que tu désires transférer. Ensuite, connecte les deux consoles avec un Câble Link de Game Boy Color. Enfin, dès que tout est prêt, va parler à l’hôtesse du Club Link et lance la connexion.</t>
  </si>
  <si>
    <t>Su un altro sistema Game Boy, carica la versione di gioco POKéMON per Game Boy da cui desideri trasferire i dati. Nella versione di gioco POKéMON per Game Boy avviata, seleziona il box dal quale vuoi trasferire i POKéMON. Poi collega il Game Boy Advance ad un altro sistema Game Boy usando un Cavo Game Link per Game Boy Color. Quando sei pronto, parla con l’addetta del CLUB VIA CAVO per iniziare la connessione.</t>
  </si>
  <si>
    <t>En una segunda Game Boy, carga el juego del que desees transferir. En este mismo juego, asegúrate de que tu CAJA actual sea la misma de la que quieres transferir. Tras ello, conecta los sistemas utilizando un Cable Link de Game Boy Color. Una vez esté todo listo, habla con la asistente del Club Cable e inicia la conexión.</t>
  </si>
  <si>
    <t>En un segundo Game Boy, carga el juego de POKéMON desde el que vas a transferir. En tu juego de POKéMON de Game Boy, asegúrate de que tu caja actual sea la que quieres transferir.{NEW}Luego, conecta este Game Boy Advance al otro Game Boy usando un cable link de Game Boy Color.{NEW}Cuando todo esté listo, habla con la encargada del Club de Cable e inicia la conexión.</t>
  </si>
  <si>
    <t>Em um outro Game Boy, por favor inicie o jogo POKéMON de onde quer transferir os POKéMON. No seu jogo POKéMON de Game Boy, marque como atual a CAIXA onde estão os POKéMON que deseja transferir. Então conecte este Game Boy Advance ao outro Game Boy usando o Cabo Link do Game Boy. Quando estiver tudo pronto, aperte o botão A e fale com a moça no CENTRO POKéMON, e então inicie a conexão.</t>
  </si>
  <si>
    <t>DIA_TRANS_GOOD</t>
  </si>
  <si>
    <t>すごい！　すばらしい！　すべてがかんぺきに{NEW}うまくいったのよ！</t>
  </si>
  <si>
    <t>Amazing! Fantastic!{NEW}Everything went perfectly!</t>
  </si>
  <si>
    <t>Top méga cool!{NEW}Tout s’est déroulé à merveille!</t>
  </si>
  <si>
    <t>Sorprendente! Fantastico!{NEW}Tutto ha funzionato perfettamente!</t>
  </si>
  <si>
    <t>¡Increíble! ¡Fantástico!{NEW}¡Todo ha salido perfecto!</t>
  </si>
  <si>
    <t>¡Increíble! ¡Fantástico! ¡Todo salió a la perfección!</t>
  </si>
  <si>
    <t>Incrível! Fantástico! Tudo funcionou perfeitamente!</t>
  </si>
  <si>
    <t>DIA_NEW_DEX</t>
  </si>
  <si>
    <t>てんそうしたポケモンのなか、ゆめずかんにとうろくして{NEW}いない、あらたなポケモンがすくなくともいっぴきいる{NEW}みたいなのよ！　すばらしい！{CLR}そのポケモンとアナタへのごほうびとして、{NEW}なにかちょーあまいものをもたせておくね！</t>
  </si>
  <si>
    <t>It looks like there’s at least one new POKéMON here that isn’t in the DREAM DEX! I’ll give them something extra sweet as a reward for you both.</t>
  </si>
  <si>
    <t>Tiens, il a ici au moins un nouveau POKéMON absent de l’ONIRIDEX! Je vais lui donner une petite douceur en récompense pour vous deux.</t>
  </si>
  <si>
    <t>Sembra che almeno un nuovo POKéMON non sia registrato nel DREAM DEX! Per questo, gli darò qualcosa di extra come sorpresa per entrambi.</t>
  </si>
  <si>
    <t>¡Parece que hay al menos un nuevo POKÉMON que no está registrado en la DREAM DEX! Os daré a ambos algo extra dulce como premio.</t>
  </si>
  <si>
    <t>¡Parece que hay al menos un POKéMON nuevo aquí que no está en el DREAM DEX! Les daré algo extra dulce como recompensa para ambos.</t>
  </si>
  <si>
    <t>Parece que temos pelo menos um novo POKéMON aqui que ainda não estava na DREAM DEX! Eu vou dar a eles um presentinho como recompensa para vocês.</t>
  </si>
  <si>
    <t>DIA_NO_NEW_DEX</t>
  </si>
  <si>
    <t>ゆめずかんようのあたらしいデータがなかったみたいだけど、{NEW}それでもだいじょうぶなのよ！{CLR}けんきゅうけっかをかくにんするために、ふくすうのテストを{NEW}することがじゅうようなのよ！</t>
  </si>
  <si>
    <t>It doesn’t look like there’s anything new for your DREAM DEX, but that’s okay! It’s important to confirm research results with multiple tests!</t>
  </si>
  <si>
    <t>Rien de nouveau pour l’ONIRIDEX visiblement, mais c’est pas grave!{NEW}C’est tout aussi important de faire de multiples tests pour étayer les résultats!</t>
  </si>
  <si>
    <t>Non sembra che ci sia nulla di nuovo per il tuo DREAM DEX, ma va bene! È importante confermare i risultati della ricerca con test molteplici!</t>
  </si>
  <si>
    <t>No parece que haya nada nuevo para tu DREAM DEX, ¡pero no pasa nada! ¡Es importante confirmar los resultados de la investigación con múltiples pruebas!</t>
  </si>
  <si>
    <t>No parece que haya nada nuevo para tu DREAM DEX, ¡pero no importa! ¡Es importante confirmar los resultados de la investigación con múltiples pruebas!</t>
  </si>
  <si>
    <t>Não parece que temos nada novo para sua DREAM DEX, mas tá tudo bem! É importante confirmar os resultados da pesquisa com várias tentativas!</t>
  </si>
  <si>
    <t>DIA_SEND_FRIEND_KANTO</t>
  </si>
  <si>
    <t>アナタがうけとれるようにこのポケモンをアタシの{NEW}ともだちにおくるよ！{CLR}７のしまにあるポケモンセンターのすぐ{NEW}みなみにすんでいるの！</t>
  </si>
  <si>
    <t>I’m going to send these POKéMON to one of my friends so that you can pick them up! They live just south of the POKéMON CENTER on SEVEN ISLAND!</t>
  </si>
  <si>
    <t>Je vais envoyer ces POKéMON à un de mes amis afin que tu puisses les récupérer! Il vit au sud du CENTRE POKéMON de l’ILE 7!</t>
  </si>
  <si>
    <t>Ora invierò questi POKéMON ad uno dei miei amici, così li potrai ritirare! Lui vive a sud del CENTRO POKéMON su SETTIMISOLA!</t>
  </si>
  <si>
    <t xml:space="preserve">¡Voy a enviar a estos POKéMON a uno de mis amigos para que puedas recogerlos! Vive justo al sur del CENTRO POKéMON de ISLA SÉTIMA! </t>
  </si>
  <si>
    <t>¡Voy a enviar estos POKéMON a uno de mis amigos para que puedas recogerlos! ¡Viven justo al sur del CENTRO POKéMON en ISLA SÉTIMA!</t>
  </si>
  <si>
    <t>Eu vou enviar esses POKéMON para um de meus amigos para que você possa pegá-los!  Ele vive ao sul do CENTRO POKéMON na ILHA SETE!</t>
  </si>
  <si>
    <t>DIA_SEND_FRIEND_HOENN_RS</t>
  </si>
  <si>
    <t>アナタがうけとれるようにこのポケモンをアタシの{NEW}ともだちにおくるよ！{CLR}トクサネシティにあるポケモンセンターのすぐ{NEW}なんとうにすんでいるの！</t>
  </si>
  <si>
    <t>I’m going to send these POKéMON to one of my friends so that you can pick them up! They live just southeast of the POKéMON CENTER in MOSSDEEP CITY!</t>
  </si>
  <si>
    <t>Je vais envoyer ces POKéMON à un de mes amis afin que tu puisses les récupérer! Il vit au sud-est du CENTRE POKéMON d’ALGATIA!</t>
  </si>
  <si>
    <t>Ora invierò questi POKéMON ad uno dei miei amici, così li potrai ritirare! Lui vive a sud-est del CENTRO POKéMON a VERDEAZZUPOLI!</t>
  </si>
  <si>
    <t>¡Voy a enviar a estos POKéMON a uno de mis amigos para que puedas recogerlos! Vive justo al sureste del CENTRO POKéMON de CIUDAD ALGARIA!</t>
  </si>
  <si>
    <t>¡Voy a enviar estos POKéMON a uno de mis amigos para que puedas recogerlos! ¡Viven justo al sureste del CENTRO POKéMON en CIUDAD ALGARIA!</t>
  </si>
  <si>
    <t>Eu vou enviar esses POKéMON para um de meus amigos para que você possa pegá-los!  Ele vive ao sudeste do CENTRO POKéMON na CIDADE DE MOSSDEEP!</t>
  </si>
  <si>
    <t>DIA_SEND_FRIEND_HOENN_E</t>
  </si>
  <si>
    <t>アナタがうけとれるようにこのポケモンをアタシの{NEW}ともだちにおくるよ！{CLR}ルネシティにあるポケモンセンターのすぐ{NEW}なんとうにすんでいるの！</t>
  </si>
  <si>
    <t>I’m going to send these POKéMON to one of my friends so that you can pick them up! They live just southeast of the POKéMON CENTER in SOOTOPOLIS CITY!</t>
  </si>
  <si>
    <t>Je vais envoyer ces POKéMON à un de mes amis afin que tu puisses les récupérer! Il vit au sud-est du CENTRE POKéMON d’ATALANOPOLIS!</t>
  </si>
  <si>
    <t>Ora invierò questi POKéMON ad uno dei miei amici, così li potrai ritirare! Lui vive a sud-est del CENTRO POKéMON a CENERIDE!</t>
  </si>
  <si>
    <t>¡Voy a enviar a estos POKéMON a uno de mis amigos para que puedas recogerlos! Vive justo al sureste del CENTRO POKéMON de ARRECÍPOLIS!</t>
  </si>
  <si>
    <t>¡Voy a enviar estos POKéMON a uno de mis amigos para que puedas recogerlos! ¡Viven justo al sureste del CENTRO POKéMON en ARRECÍPOLIS!</t>
  </si>
  <si>
    <t>Eu vou enviar esses POKéMON para um de meus amigos para que você possa pegá-los!  Ele vive ao sudeste do CENTRO POKéMON na CIDADE DE SOOTOPOLIS!</t>
  </si>
  <si>
    <t>DIA_THANK</t>
  </si>
  <si>
    <t>てだすけ、ほんとうにありがとうよ！　またポケモンを{NEW}てんそうしたかったら、いつでもアタシにしらせてね！{CLR}じゃあ、またねー！</t>
  </si>
  <si>
    <t>Thank you so much for your help! Whenever you want to transfer more POKéMON, just let me know! See you around!</t>
  </si>
  <si>
    <t>Merci beaucoup pour ton aide!{NEW}Reviens quand tu veux si t’as encore besoin de transférer des POKéMON!{NEW}À pluuus!</t>
  </si>
  <si>
    <t>Grazie mille per il tuo aiuto!{NEW}Quando vorrai trasferire altri POKéMON, fammi sapere! A presto!</t>
  </si>
  <si>
    <t>¡Muchas gracias por tu ayuda!{NEW}Cuando quieras transferir más POKéMON, ¡házmelo saber! ¡Nos vemos!</t>
  </si>
  <si>
    <t>¡Muchas gracias por tu ayuda! ¡Cuando quieras transferir más POKéMON, solo házmelo saber! ¡Nos vemos!</t>
  </si>
  <si>
    <t>Muito obrigada por sua ajuda! Sempre que quiser transferir mais POKéMON, é só avisar! Até mais!</t>
  </si>
  <si>
    <t>DIA_GET_MON</t>
  </si>
  <si>
    <t>-</t>
  </si>
  <si>
    <t>unused, will be removed</t>
  </si>
  <si>
    <t>inutilisé, sera retiré</t>
  </si>
  <si>
    <t>sin uso, se eliminará</t>
  </si>
  <si>
    <t>DIA_MG_OTHER_EVENT</t>
  </si>
  <si>
    <t>ヤッホー、トレーナー！{CLR}いま、べつのイベントのデータが{NEW}はいっているようなんだけど。{CLR}それってもんだいないけどね、このままつづけたら{NEW}そのデータがうわがきされるのよ。{CLR}いま、はいっているイベントをけいけんしたいのなら、{NEW}いまここでほんたいのでんげんをきってね。{NEW}でも、そうじゃなかったら‥‥</t>
  </si>
  <si>
    <t>Hi TRAINER!{NEW}{NEW}It looks like you have a different event currently loaded. That’s no problem, but it will be overwritten if you continue. Turn off the system now if you want to experience your current event, but otherwise-</t>
  </si>
  <si>
    <t>Salut DRESSEUR!{NEW}{NEW}Apparement il y a déjà un évènement de chargé. C’est pas un souci, mais si on continue ça va l’effacer. Étient la console maintenant si tu prévois de prendre part à l’évènement en cours.</t>
  </si>
  <si>
    <t>Ciao ALLENATORE!{NEW}{NEW}Sembra che ci sia un altro evento attualmente attivo. Non c’è problema, ma sarà sovrascritto se continui. Spegni ora la console se vuoi giocare il tuo evento corrente, altrimenti prosegui.</t>
  </si>
  <si>
    <t>¡Hola, ENTRENADOR!{NEW}{NEW}Parece que tienes un evento diferente cargado actualmente. No es problema, pero se sobreescribirá si continúas. Apaga tu sistema ahora si quieres mantener tu evento actual, de lo contrario, puedes continuar.</t>
  </si>
  <si>
    <t>¡Hola, ENTRENADOR! Parece que tienes un evento diferente cargado actualmente. Eso no es un problema, pero se sobrescribirá si continúas. Apaga el sistema ahora si quieres conservar tu evento actual. De lo contrario, puedes continuar.</t>
  </si>
  <si>
    <t>Olá, TREINADOR! Parece que você já tem um evento diferente carregado atualmente. Não tem problema, mas ele será apagado se continuarmos. Desligue o aparelho caso queira terminar o evento atual, ou senão…</t>
  </si>
  <si>
    <t>DIA_PKMN_TO_COLLECT</t>
  </si>
  <si>
    <t>ヤッホー、トレーナー！{CLR}うけとらないといけないポケモンが{NEW}まだのこっているみたいなんだけど‥‥{CLR}そのポケモンをうけとるまでは、あたらしいポケモンを{NEW}おくることができないの。{CLR}うけとったあと、ここまでもどってきてねー！</t>
  </si>
  <si>
    <t>Hi TRAINER!{NEW}{NEW}It looks like you still have POKéMON to pick up…{NEW}I can’t send over new POKéMON until you pick those up.{NEW}Come back after you’ve received them!</t>
  </si>
  <si>
    <t>Salut DRESSEUR!{NEW}{NEW}Apparement t’as encore des POKéMON à récupérer, ce qui empêche d’en envoyer d’autres…{NEW}Reviens une fois que tu les auras récupérés!</t>
  </si>
  <si>
    <t>Ciao ALLENATORE!{NEW}{NEW}Sembra che tu abbia ancora POKéMON da ritirare…{NEW}Non posso trasferire nuovi POKéMON finchè non prelevi i POKéMON attualmente in attesa. Torna dopo che li hai ritirati!</t>
  </si>
  <si>
    <t>¡Hola, ENTRENADOR!{NEW}{NEW}Parece que aún tienes POKéMON que recoger…{NEW}No puedo mandar nuevos POKéMON hasta que no recojas esos.{NEW}¡Vuelve tras haberlos recibido!</t>
  </si>
  <si>
    <t>¡Hola, ENTRENADOR! Parece que aún tienes POKéMON por recoger… No puedo enviar POKéMON nuevos hasta que recojas esos. ¡Vuelve después de haberlos recibido!</t>
  </si>
  <si>
    <t>Olá, TREINADOR! Parece que você ainda tem POKéMON para recolher… Eu não posso enviar novos POKéMON enquanto você não recolher esses. Volte quando você já tiver recolhido todos eles!</t>
  </si>
  <si>
    <t>DIA_NO_VALID_PKMN</t>
  </si>
  <si>
    <t>ごめんなさいね、トレーナー。いまのボックスには、{NEW}ゆうこうなポケモンがはいっていないようなんだけど。{CLR}いまのボックスをさいどチェックしてみてきて、もういちど{NEW}いっしょにてんそうしてみよーよ！</t>
  </si>
  <si>
    <t>Sorry TRAINER, it doesn’t look like you have any valid POKéMON in your current active BOX right now. You should double check the BOX and we can give it another shot!</t>
  </si>
  <si>
    <t>Désolée DRESSEUR, mais il semble y avoir des POKéMON invalides dans la BOITE active actuelle. Va vérifier la BOITE en question puis réessayons!</t>
  </si>
  <si>
    <t>Mi spiace ALLENATORE, sembra che in questo momento tu non abbia nessun POKéMON valido nel tuo BOX attuale. Per favore, controlla nuovamente il tuo BOX e poi ritentiamo!</t>
  </si>
  <si>
    <t>Lo siento, ENTRENADOR, parece que no tienes ningún POKéMON válido en tu CAJA activa en este momento. ¡Revisa tu CAJA y volvamos a intentarlo!</t>
  </si>
  <si>
    <t>Lo siento, ENTRENADOR, parece que no tienes ningún POKéMON válido en tu caja actual en este momento. ¡Revisa bien tu caja y lo intentamos de nuevo!</t>
  </si>
  <si>
    <t>Me desculpe, TREINADOR, mas não parece que você tem nenhum POKéMON válido na sua CAIXA atual. Vá conferir novamente a sua CAIXA atual e então tentaremos novamente!</t>
  </si>
  <si>
    <t>DIA_ASK_QUEST</t>
  </si>
  <si>
    <t>ヤッホー、トレーナー！{CLR}はじめるまえに、アナタに{NEW}いくつかのしつもんがあるの。</t>
  </si>
  <si>
    <t>Hi TRAINER!{NEW}{NEW}Before we begin, I need to ask you a few questions.</t>
  </si>
  <si>
    <t>Salut DRESSEUR!{NEW}{NEW}Avant de commmencer, j’ai besoin de te poser quelques petites questions.</t>
  </si>
  <si>
    <t>Ciao ALLENATORE!{NEW}{NEW}Prima di iniziare, ho bisogno di porti qualche domanda.</t>
  </si>
  <si>
    <t>¡Hola, ENTRENADOR!{NEW}{NEW}Antes de comenzar, tengo que hacerte unas preguntas.</t>
  </si>
  <si>
    <t>¡Hola, ENTRENADOR!{NEW}Antes de empezar, necesito hacerte algunas preguntas.</t>
  </si>
  <si>
    <t>Olá, TREINADOR! Antes de começarmos, tenho que fazer algumas perguntas.</t>
  </si>
  <si>
    <t>DIA_WHAT_GAME_TRANS</t>
  </si>
  <si>
    <t>かんぺき！{NEW}それで、どのゲームなの？</t>
  </si>
  <si>
    <t>Perfect!{NEW}And which game version is it?</t>
  </si>
  <si>
    <t>Très bien!{NEW}Et de quelle version s’agit-il?</t>
  </si>
  <si>
    <t>E da quale versione di gioco POKéMON per Game Boy stai cercando di trasferire i dati?</t>
  </si>
  <si>
    <t>¡Perfecto!{NEW}¿Y qué edición del juego es?</t>
  </si>
  <si>
    <t>¿Y desde qué juego de POKéMON de Game Boy vas a transferir?</t>
  </si>
  <si>
    <t>E de qual jogo de POKéMON você vai fazer a transferência?</t>
  </si>
  <si>
    <t>DIA_WHAT_LANG_TRANS</t>
  </si>
  <si>
    <t>まずはね、てんそうもとのゲームボーイのゲームは{NEW}どのげんごをつかっているの？</t>
  </si>
  <si>
    <t>First, what language is the Game Boy game you’re transferring from?</t>
  </si>
  <si>
    <t>Tout d’abord, quelle est la langue de la version Game Boy à partir de laquelle tu veux faire un transfert?</t>
  </si>
  <si>
    <t>In che lingua è la versione di gioco POKéMON per Game Boy da cui stai cercando di trasferire i dati?</t>
  </si>
  <si>
    <t>Primero, ¿en qué idioma está el juego de Game Boy desde el que vas a transferir?</t>
  </si>
  <si>
    <t>¿En qué idioma está el juego de POKéMON de Game Boy desde el que vas a transferir?</t>
  </si>
  <si>
    <t>Qual é o idioma do jogo de POKéMON de onde você vai fazer a transferência?</t>
  </si>
  <si>
    <t>DIA_NO_GB_ROM</t>
  </si>
  <si>
    <t>わるいんだけど、そのげんごのバージョンは、いま{NEW}サポートができていないの。</t>
  </si>
  <si>
    <t>I’m sorry, but that version in that language is not currently supported.</t>
  </si>
  <si>
    <t>Je suis désolée, mais cette langue n’est pas encore prise en charge pour cette version.</t>
  </si>
  <si>
    <t>Lo siento, pero esa versión en ese lenguaje no es compatible actualmente.</t>
  </si>
  <si>
    <t>Lo siento, pero el juego en ese idioma no es compatible actualmente.</t>
  </si>
  <si>
    <t>Me desculpe, mas essa versão de jogo nesse idioma ainda não é suportado.</t>
  </si>
  <si>
    <t>DIA_IN_BOX</t>
  </si>
  <si>
    <t>さてと！　てんそうされるポケモンをみてみよー！{CLR}わすれないでね、ポケモンがてんそうされたら、もうにどと{NEW}もとのゲームにもどされることができないの。{CLR}じゅんびができたら、「けってい」をせんたくすること、{NEW}また、もしきがかわったら、「キャンセル」を{NEW}せんたくすること。</t>
  </si>
  <si>
    <t>Alright! Let’s take a look at the POKéMON that will be transfered. Please remember, once a POKéMON is transfered, it CANNOT be returned to its game of origin. Select “CONFIRM” once you’re ready, or select “CANCEL” if you changed your mind.</t>
  </si>
  <si>
    <t>Youpi!{NEW}Voyons les POKéMON qui seront transférés.{NEW}Garde bien en tête qu’une fois un POKéMON transféré, il ne pourra JAMAIS revenir dans son jeu d’origine. Confime si tout est bon pour toi,{NEW}ou annule si t’as changé d’avis.</t>
  </si>
  <si>
    <t>Bene! Diamo un’occhiata ai POKéMON che verranno trasferiti. Ricorda, quando un POKéMON viene trasferito, NON può essere ritrasferito nella cassetta d’origine. Seleziona “CONFERMA” una volta pronto, o seleziona “ANNULLA” se vuoi tenere i tuoi POKéMON nella cassetta corrente.</t>
  </si>
  <si>
    <t>¡Muy bien! Echemos un ojo a los POKéMON que serán transferidos. Por favor recuerda que una vez un POKéMON sea transferido, NO puede volver a su juego de origen. Elige “CONFIRMAR” si estás de acuerdo, o elige “CANCELAR” si has cambiado de idea.</t>
  </si>
  <si>
    <t>¡Muy bien! Echemos un vistazo a los POKéMON que transferirás. Recuerda que, una vez transferido un POKéMON, NO PUEDE devolverse al cartucho de Game Boy. Selecciona confirmar cuando todo esté listo, o cancelar si quieres mantener al POKéMON en tu cartucho de Game Boy.</t>
  </si>
  <si>
    <t>Certo! Vamos dar uma olhada nos POKéMON que serão transferidos. Por favor, lembre-se que depois de transferidos, seus POKéMON NÃO poderão retornar para o seu jogo de origem. Selecione CONFIRMAR quando estiver pronto, ou CANCELAR caso queira manter seus POKéMON no seu jogo de Game Boy.</t>
  </si>
  <si>
    <t>DIA_MYTHIC_CONVERT</t>
  </si>
  <si>
    <t>めずらしいまぼろしのポケモンをもっているみたいよ！{NEW}めずらしいため、アタシのきかいをオーバーロードさせて{NEW}しまったようなの。{CLR}もしよかったらね、そのポケモンをあんていさせることが{NEW}できるんだけど、であったばしょ、ＯＴ、ＴＩＤや{NEW}いろちがいかどうかなどのじょうほうがかわってしまうの。{CLR}あるいは、そのままにしておくことができるけどね、{NEW}しょうらいには、てんそうできるかは、アタシがほしょう{NEW}できないの。{CLR}あんていさせてほしい？ いま、ボックスにはいっている{NEW}まぼろしのポケモンみんなにあてはまるの。</t>
  </si>
  <si>
    <t>It looks like you have a rare mythical POKéMON! Due to their rarity, it seems they’ve overloaded the machine. I can stablize them if you’d like, but it’ll change some things like met location, OT, TID, and Shininess. Otherwise I can leave them as is, but there’s no guarantee that they’ll be transferrable in the future. Do you want me to stablize them?{NEW}This will apply to all of the mythical POKéMON currently in your BOX.</t>
  </si>
  <si>
    <t>Il semblerait que t’as un POKéMON fabuleux!{NEW}Sa rareté a mis machine en surcharge, mais t’inquiètes, je suis en mesure de le stabiliser! Ça va nécessiter de modifier des trucs comme sa provenance, son DO,{NEW}son ID et son caractère chromatique. On peut le laisser tel quel, mais je ne garantis pas qu’il sera toujours transférable à l’avenir. Tu veux que je le stabilise? Ce choix s’appliquera à tous les POKéMON fabuleux actuellement dans la BOITE.</t>
  </si>
  <si>
    <t>Sembra che tu abbia un POKéMON misterioso! Per la loro rarità, pare che abbiano sovraccaricato la macchina. Posso stabilizzarli come desideri, ma ciò modificherà alcuni aspetti come luogo d’incontro, AO, ID, e cromatismo. Oppure posso lasciarli come sono, ma potrebbero non essere trasferibili in futuro. Vuoi che li stabilizzi? Questa modifica verrà applicata a tutti i POKéMON misteriosi nel tuo box.</t>
  </si>
  <si>
    <t>¡Parece que tienes un raro POKéMON mítico! Debido a su rareza, parece que ha sobrecargado el sistema. Puedo estabilizarlo si lo deseas, pero cambiará algunas cosas como el lugar donde os conocísteis, EO, ID y si es variocolor o no. De lo contrario, puedo dejarlo tal y como está, pero no hay garantías de que se pueda transferir en el futuro. ¿Quieres que lo estabilice?{NEW}Esto se aplicará a todos los POKéMON míticos actualmente en tu CAJA.</t>
  </si>
  <si>
    <t>¡Veo que tienes un POKéMON mítico muy raro y la máquina se sobrecargó! {NEW}Podría estabilizarlo, pero cambiarán algunos datos: lugar de encuentro, EO, ID y si es brillante o no.{NEW}O podría dejarlo así, pero no te garantizo que se pueda transferir en el futuro.{NEW}¿Quieres estabilizarlo? Se aplicará a todos los POKéMON míticos de tu caja.</t>
  </si>
  <si>
    <t>Parece que você tem pelo menos um raro POKéMON mítico! Devido a sua raridade, parece que eles sobrecarregaram a máquina. Eu posso estabilizá-los se quiser, mas isso vai alterar algumas coisas, como o local de origem, OT, TID e “brilho”. Ou então, eu posso deixá-los como estão, mas não tenho garantias se serão transferíveis no futuro. Quer que eu os estabilize? Isso será aplicado para todos os POKéMON Míticos que estão atualmente na sua CAIXA.</t>
  </si>
  <si>
    <t>DIA_CANCEL</t>
  </si>
  <si>
    <t>わかった、しんぱいしないでね！　きがかわったら、{NEW}きがるにもどってきてね！　じゃあ、またねー！</t>
  </si>
  <si>
    <t>No worries! Feel free to come back if you change your mind! See you around!</t>
  </si>
  <si>
    <t>T’inquiètes!{NEW}Reviens quand tu veux si tu changes d’avis!{NEW}À plus tard!</t>
  </si>
  <si>
    <t>Non preoccuparti!{NEW}Torna se cambi idea!{NEW}Ci si vede!</t>
  </si>
  <si>
    <t>¡No te preocupes! ¡Vuelve cuando quieras si cambias de opinión!{NEW}¡Nos vemos!</t>
  </si>
  <si>
    <t>Sem problemas! Sinta-se livre para voltar caso mude de ideia! Até mais!</t>
  </si>
  <si>
    <t>DIA_SOME_INVALID_PKMN</t>
  </si>
  <si>
    <t>いまのボックスからてんそうできないポケモンが{NEW}すくなくともいっぴきいるみたいなの。{CLR}もちもののあるポケモンや、いとしないしゅだんでしゅうせい{NEW}されたポケモンは、てんそうすることができないの。{CLR}ほかのポケモンは、もんだいなくてんそうされるんだけどね！</t>
  </si>
  <si>
    <t>I see there is at least one POKéMON that cannot be transferred from your current BOX. POKéMON holding items or modified incorrectly through unintended means cannot be transferred. The other POKéMON will transfer just fine though!</t>
  </si>
  <si>
    <t>Je constate qu’il y a au moins un POKéMON impossible à transférer dans la BOITE actuelle. Les POKéMON tenant un objet ne peuvent pas être transférés. Il en va de même pour ceux ayant été sujets à des modifications bancales avec des moyens douteux. Mais t’inquiètes pas, tes autres POKéMON peuvent poursuivre le processus!</t>
  </si>
  <si>
    <t>Oh! C’è almeno un POKéMON che non può essere trasferito dal tuo BOX corrente. I POKéMON modificati con metodi non covenzionali o con oggetti non si possono trasferire. Gli altri POKéMON saranno trasferibili!</t>
  </si>
  <si>
    <t>Veo que hay al menos un POKéMON que no puede ser transferido de tu CAJA actual. POKéMON que lleven objetos o modificados incorrectamente mediante métodos no intencionados no pueden ser transferidos. ¡El resto de POKéMON se transferirá sin problemas!</t>
  </si>
  <si>
    <t>Hay al menos un POKéMON que no se puede transferir desde tu caja actual.{NEW}Los POKéMON que llevan objetos o que se modificaron por medios no autorizados no pueden transferirse.{NEW}¡Pero los demás POKéMON se transferirán sin problemas!</t>
  </si>
  <si>
    <t>Vejo que pelo menos um POKéMON não pode ser transferido da sua caixa atual. POKéMON que estejam segurando itens ou modificados incorretamente por meios obscuros não podem ser transferidos. Os outros POKéMON serão transferidos normalmente entretanto!</t>
  </si>
  <si>
    <t>DIA_MENU_BACK</t>
  </si>
  <si>
    <t>わかった、しんぱいしないでね！　いつでもきがるに{NEW}もどってきてね！</t>
  </si>
  <si>
    <t>No worries!{NEW}Feel free to come back any time!</t>
  </si>
  <si>
    <t>T’inquiètes!{NEW}Reviens quand tu veux si tu changes d’avis!</t>
  </si>
  <si>
    <t>Nessun problema!{NEW}Sentiti libero di tornare quando vorrai!</t>
  </si>
  <si>
    <t>¡No te preocupes! ¡Vuelve cuando quieras!</t>
  </si>
  <si>
    <t>Sem problema! Sinta-se livre para voltar a qualquer hora!</t>
  </si>
  <si>
    <t>DIA_IS_MISSINGNO</t>
  </si>
  <si>
    <t>‥‥アナタのポケモンのいっひきが、てんそうきかいを{NEW}かんしょうしているようなの！{CLR}でもね、ただのグラフィックじょうのもんだいにみえるから、{NEW}さきにすすめるのよ！</t>
  </si>
  <si>
    <t>…It seems like one of your POKéMON is messing with the machine! It looks to only be graphical though, so we can continue!</t>
  </si>
  <si>
    <t>… Un de tes POKéMON met le souk dans la machine… Mais le souci n’a l’air que graphique, alors continuons!</t>
  </si>
  <si>
    <t>…Sembra che uno dei tuoi POKéMON stia interferendo con la macchina! Ma si tratta solo di un errore grafico tuttavia, quindi possiamo continuare!</t>
  </si>
  <si>
    <t>… Parece que uno de tus POKéMON está interfiriendo con la máquina. ¡Parece que solo es un error gráfico, así que podemos continuar!</t>
  </si>
  <si>
    <t>…Parece que uno de tus POKéMON está interfiriendo con la máquina… Aunque aparentemente solo es un error gráfico, ¡así que podemos continuar!</t>
  </si>
  <si>
    <t>…parece que um de seus POKéMON está interferindo com a máquina… Entretando, parece ser apenas esteticamente, então podemos continuar!</t>
  </si>
  <si>
    <t>DIA_ERROR_COLOSSEUM</t>
  </si>
  <si>
    <t>こうかんのへやじゃなくて、コロシアムにいったみたいだね！{NEW}もういちどしてみよっか！</t>
  </si>
  <si>
    <t>It looks like you went to the colosseum instead of the trading room!{NEW}Let’s try that again!</t>
  </si>
  <si>
    <t>Oupsi, t’es visiblement allé dans le Colisée au lieu du Club Link!{NEW}Réessayons!</t>
  </si>
  <si>
    <t>Credo che tu sia andato al colosseo invece che alla stanza di comunicazione!{NEW}Riprova di nuovo!</t>
  </si>
  <si>
    <t>¡Parece que has ido al coliseo en lugar de a la sala de intercambio!{NEW}¡Intentémoslo de nuevo!</t>
  </si>
  <si>
    <t>¡Parece que fuiste al coliseo en lugar de a la sala de intercambio!{NEW}¡Intentémoslo de nuevo!</t>
  </si>
  <si>
    <t>Parece que você escolheu a opção de COLISEU em vez da SALA DE TROCAS! Vamos tentar de novo!</t>
  </si>
  <si>
    <t>DIA_ERROR_COM_ENDED</t>
  </si>
  <si>
    <t>もうひとつのほんたいとのつうしんは、しゅうりょう{NEW}されたの。もういちどしてみよっか！</t>
  </si>
  <si>
    <t>Communication with the other device was terminated.{NEW}Let’s try that again!</t>
  </si>
  <si>
    <t>La communication avec l’autre Game Boy a été interrompue.{NEW}Réessayons!</t>
  </si>
  <si>
    <t>La comunicazione con l’altro dispositivo è terminata.{NEW}Riprova di nuovo!</t>
  </si>
  <si>
    <t>Se interrumpió la conexión con el otro dispositivo.{NEW}¡Intentémoslo de nuevo!</t>
  </si>
  <si>
    <t>Se interrumpió la comunicación con el otro dispositivo. ¡Intentémoslo de nuevo!</t>
  </si>
  <si>
    <t>A comunicação com o outro aparelho foi encerrada. Vamos tentar novamente!</t>
  </si>
  <si>
    <t>DIA_ERROR_DISCONNECT</t>
  </si>
  <si>
    <t>ゲームボーイカラーせんようつうしんケーブルは{NEW}ぬかれたようなの‥‥{NEW}もういちどしてみよっか！</t>
  </si>
  <si>
    <t>It looks like the Game Boy Color Link Cable was disconnected…{NEW}Let’s try that again!</t>
  </si>
  <si>
    <t>Le Câble Link de Game Boy Color semble avoir été déconnecté.{NEW}Réessayons!</t>
  </si>
  <si>
    <t xml:space="preserve">Sembra che il Game Link Cable per Game Boy Color sia stato disconnesso…{NEW}Riprova di nuovo!
</t>
  </si>
  <si>
    <t>Parece que el Cable Link de Game Boy Color se ha desconectado…{NEW}¡Intentémoslo de nuevo!</t>
  </si>
  <si>
    <t>Parece que el cable link de Game Boy Color se desconectó… ¡Intentémoslo de nuevo!</t>
  </si>
  <si>
    <t>Parece que o Cabo Link do GBC foi desconectado… Vamos tentar de novo!</t>
  </si>
  <si>
    <t>DIA_ERROR_TIME_ONE</t>
  </si>
  <si>
    <t>せつぞくがタイムアウトしたみたいなの‥‥{NEW}もういちどしてみよっか！</t>
  </si>
  <si>
    <t>It looks like the connection timed out…{NEW}Let’s try that again!</t>
  </si>
  <si>
    <t>La connexion semble avoir expiré…{NEW}Réessayons!</t>
  </si>
  <si>
    <t>Sembra che il tempo di connessione sia scaduto…{NEW}Riprova di nuovo!</t>
  </si>
  <si>
    <t>Parece que se agotó el tiempo de conexión…{NEW}¡Intentémoslo de nuevo!</t>
  </si>
  <si>
    <t>Parece que se agotó el tiempo de conexión… ¡Intentémoslo de nuevo!</t>
  </si>
  <si>
    <t>Parece que a conexão atingiu o tempo limite… Vamos tentar de novo!</t>
  </si>
  <si>
    <t>DIA_ERROR_TIME_TWO</t>
  </si>
  <si>
    <t>せつぞくがタイムアウトしたようなの‥‥{NEW}もういちどしてみよっか！</t>
  </si>
  <si>
    <t>It seems like the connection timed out…{NEW}Let’s try that again!</t>
  </si>
  <si>
    <t>Al parecer se agotó el tiempo de conexión…{NEW}¡Intentémoslo de nuevo!</t>
  </si>
  <si>
    <t>Al parecer se agotó el tiempo de conexión… ¡Intentémoslo de nuevo!</t>
  </si>
  <si>
    <t>DIA_WHAT_LANG_EVENT</t>
  </si>
  <si>
    <t>イベントをそうしんしたいゲームボーイのポケモンゲームは、{NEW}どのげんごをつかっているの？</t>
  </si>
  <si>
    <t>What language is the Game Boy POKéMON game that you want to send an event to?</t>
  </si>
  <si>
    <t>Quelle est la langue de la version vers laquelle tu veux envoyer un évènement?</t>
  </si>
  <si>
    <t>In che lingua è la versione di gioco POKéMON per Game Boy a cui intendi trasferire un evento?</t>
  </si>
  <si>
    <t>¿En qué idioma está el juego de POKéMON de Game Boy al que quieres enviar un evento?</t>
  </si>
  <si>
    <t>Em que idioma está o jogo POKéMON de Game Boy para qual você quer enviar o evento?</t>
  </si>
  <si>
    <t>DIA_WHAT_GAME_EVENT</t>
  </si>
  <si>
    <t>それで、イベントをそうしんしたいゲームボーイの{NEW}ポケモンゲームはどれなの？</t>
  </si>
  <si>
    <t>And which Game Boy POKéMON game do you want to send an event to?</t>
  </si>
  <si>
    <t>Et vers quelle version veux-tu envoyer un évènement?</t>
  </si>
  <si>
    <t>Ed a quale versione di gioco POKéMON per Game Boy intendi trasferire un evento?</t>
  </si>
  <si>
    <t>¿Y a qué edición de POKéMON de Game Boy quieres enviarle el evento?</t>
  </si>
  <si>
    <t>¿Y a qué juego de POKéMON de Game Boy quieres enviar un evento?</t>
  </si>
  <si>
    <t>E qual é o jogo POKéMON de Game Boy que você quer enviar o evento?</t>
  </si>
  <si>
    <t>DIA_K_DEX_NOT_FULL</t>
  </si>
  <si>
    <t>ごめんなさいね、トレーナー。カントーちほうからの{NEW}ポケモン１５０ひきすべて、まだつかまえて{NEW}いないみたいなんだけど。{CLR}すべてをつかまえにいってきてね。それで、イベントを{NEW}おくることができるようになるわ！</t>
  </si>
  <si>
    <t>Sorry TRAINER, it looks like you haven’t caught all 150 POKéMON from the KANTO region yet. Go out and catch them all and then we’ll be able to send over the event!</t>
  </si>
  <si>
    <t>Mes excuses DRESSEUR, mais tu n’as visiblement pas encore capturé les 150 POKéMON de KANTO. Retourne à l’aventure pour les attraper afin qu’on puisse envoyer l’évènement!</t>
  </si>
  <si>
    <t>Scusa ALLENATORE, sembra che tu non abbia ancora catturato tutti i 150 POKéMON dalla regione di KANTO. Vai e catturali tutti e dopo sarà possibile trasferire l’evento!</t>
  </si>
  <si>
    <t>Lo siento, ENTRENADOR, parece que aún no has capturado a los 150 POKéMON de la región de KANTO. ¡Sal y hazte con todos y entonces podremos enviar el evento!</t>
  </si>
  <si>
    <t xml:space="preserve">Lo siento, ENTRENADOR, parece que aún no has atrapado a los 150 POKéMON de la región de Kanto. ¡Sal ahí fuera, atrápalos a todos y entonces podremos enviar el evento!
</t>
  </si>
  <si>
    <t>Me desculpe TREINADOR(A), mas parece que você ainda não capturou todos os 150 POKéMON da região de KANTO ainda. Vá explorar e pegue todos eles e então nós vamos conseguir te enviar o evento!</t>
  </si>
  <si>
    <t>DIA_J_DEX_NOT_FULL</t>
  </si>
  <si>
    <t>ごめんなさいね、トレーナー。ジョウトちほうからの{NEW}あたらしいポケモン９９ひきすべて、まだつかまえて{NEW}いないみたいなんだけど。{CLR}すべてをつかまえにいってきてね。それで、イベントを{NEW}おくることができるようになるわ！</t>
  </si>
  <si>
    <t>Sorry TRAINER, it looks like you haven’t caught all 99 new POKéMON from the JOHTO region yet. Go out and catch them all and then we’ll be able to send over the event!</t>
  </si>
  <si>
    <t>Mes excuses DRESSEUR, mais tu n’as visiblement pas encore capturé les 99 nouveaux POKéMON de JOHTO. Retourne à l’aventure pour les attraper afin qu’on puisse envoyer l’évènement!</t>
  </si>
  <si>
    <t>Scusa ALLENATORE, sembra che tu non abbia ancora catturato tutti i 99 nuovi POKéMON dalla regione di JOHTO. Vai e catturali tutti e dopo sarà possibile trasferire l’evento!</t>
  </si>
  <si>
    <t>Lo siento, ENTRENADOR, parece que no has capturado a los 99 nuevos POKéMON de la región de JOHTO. ¡Sal y hazte con todos y entonces podremos enviar el evento!</t>
  </si>
  <si>
    <t>Lo siento, ENTRENADOR, parece que aún no has atrapado a los 99 nuevos POKéMON de la región de Johto. ¡Sal ahí fuera, atrápalos a todos y entonces podremos enviar el evento!</t>
  </si>
  <si>
    <t>Me desculpe TREINADOR(A), mas parece que você ainda não capturou todos os 99 novos POKéMON da região de JOHTO. Vá explorar e pegue todos eles e então nós vamos conseguir te enviar o evento!</t>
  </si>
  <si>
    <t>RSEFRLG</t>
  </si>
  <si>
    <t>dia_textGreet_rse</t>
  </si>
  <si>
    <t>gen3Box</t>
  </si>
  <si>
    <t>Official first sentence of the dialogue of the original NPC used as introduction</t>
  </si>
  <si>
    <t>わしも　わかいころは{NEW}ポケモン　トレーナーとして{SCL}せかいじゅうを　たび　していたのじゃ</t>
  </si>
  <si>
    <t>When I was young, I traveled the world as a POKéMON TRAINER.</t>
  </si>
  <si>
    <t>Quand j’étais jeune, j’étais DRESSEUR de POKéMON et j’ai parcouru le…</t>
  </si>
  <si>
    <t>Als ich noch jung war, bin ich als POKéMON-TRAINER durch die Welt gereist.</t>
  </si>
  <si>
    <t>Quando ero giovane, ho girato il mondo come ALLENATORE di POKéMON.</t>
  </si>
  <si>
    <t>En mis años mozos, viajé por todo el mundo como ENTRENADOR POKéMON.</t>
  </si>
  <si>
    <t>De joven, viajé por el mundo como ENTRENADOR POKéMON.</t>
  </si>
  <si>
    <t>Quando eu era jovem, eu viajei pelo mundo como um TREINADOR POKéMON.</t>
  </si>
  <si>
    <t>dia_textGreet_frlg</t>
  </si>
  <si>
    <t>わしは　こうみえても{NEW}むかしは　いろんな　ばしょを‥</t>
  </si>
  <si>
    <t>I may not look like much now,{NEW}but when I was younger…</t>
  </si>
  <si>
    <t>Je sais que c’est dur à croire,{NEW}mais quand j’étais plus jeune…</t>
  </si>
  <si>
    <t>Ich stelle momentan nichts mehr dar, aber als ich jünger war…</t>
  </si>
  <si>
    <t>A vedermi così non si direbbe,{NEW}ma da giovane…</t>
  </si>
  <si>
    <t>Ahora no lo aparento, pero cuando era más joven…</t>
  </si>
  <si>
    <t>Puede que no lo parezca, pero cuando era más joven…</t>
  </si>
  <si>
    <t>Posso não parecer grande coisa agora, mas quando eu era jovem…</t>
  </si>
  <si>
    <t>dia_textMoveBox_rs</t>
  </si>
  <si>
    <t>ああ　そうか{NEW}ドアを　あけねばな！</t>
  </si>
  <si>
    <t>Oh, of course, I have to unlock{NEW}the door!</t>
  </si>
  <si>
    <t>Ah oui attends, il faut que je déverouille la porte!</t>
  </si>
  <si>
    <t>Oh, natürlich, ich muss{NEW}die Tür öffnen!</t>
  </si>
  <si>
    <t>Oh, certo, devo aprire la porta!</t>
  </si>
  <si>
    <t>¡Oh, claro, tengo que abrir la puerta!</t>
  </si>
  <si>
    <t>Ah, é mesmo, tenho que abrir a porta!</t>
  </si>
  <si>
    <t>dia_textMoveBox_frlg</t>
  </si>
  <si>
    <t>{MLE}ああ　そうか{NEW}はこを　うごかさねばな！</t>
  </si>
  <si>
    <t>{MLE}Oh, of course, I have to move{NEW}the boxes!</t>
  </si>
  <si>
    <t>{MLE}Ah oui attends, il faut que je bouge les cartons!</t>
  </si>
  <si>
    <t>{MLE}Oh, natürlich, ich muss{NEW}die Boxen bewegen!</t>
  </si>
  <si>
    <t>{MLE}Oh, certo, devo spostare gli scatoloni!</t>
  </si>
  <si>
    <t>{MLE}¡Oh, claro, tengo que mover las cajas!</t>
  </si>
  <si>
    <t>{MLE}Ah, é mesmo, tenho que mover essas caixas!</t>
  </si>
  <si>
    <t>dia_textMoveBox_e</t>
  </si>
  <si>
    <t>{MLE}ああ　そうか{NEW}しょくぶつを　うごかさねばな！</t>
  </si>
  <si>
    <t>{MLE}Oh, of course, I have to move{NEW}the plants!</t>
  </si>
  <si>
    <t>{MLE}Ah oui attends, il faut que je bouge les plantes!</t>
  </si>
  <si>
    <t>{MLE}Oh, natürlich, ich muss{NEW}die Pflanzen bewegen!</t>
  </si>
  <si>
    <t>{MLE}Oh, certo, devo spostare le piante!</t>
  </si>
  <si>
    <t>{MLE}¡Oh, claro, tengo que mover las plantas!</t>
  </si>
  <si>
    <t>{MLE}Ah, é mesmo, tenho que mover as plantas!</t>
  </si>
  <si>
    <t>dia_textWeHere_rs</t>
  </si>
  <si>
    <t>{VLN} = MAXIE (Ruby) or ARCHIE (Sapphire)</t>
  </si>
  <si>
    <t>ハンサム『わたしは　ホウエンちほうに{NEW}きたのは　ボスの{VLN}を{SCL}さがすためだ{CLR}また　ともだちの　マコモはかせの{NEW}てつだいの　ためだ{CLR}きみも　そのために　きたんだよな？{NEW}ちがうか？{CLR}じゅんびが　できていると　はかせに{NEW}つたえる{CLR}さあ！　いくぞ！</t>
  </si>
  <si>
    <t>LOOKER: I am here in HOENN to find the leader {VLN}.{CLR}As well, I am helping my friend{NEW}PROF. FENNEL.{CLR}This is why you are here, no?{NEW}I shall tell her you are ready.{SCL}Come! Allons-y!</t>
  </si>
  <si>
    <t>BELADONIS: Je suis à HOENN pour trouver {VLN}.{CLR}J’assiste également une amie,{NEW}la PROF. ORYSE.{CLR}C’est bien la raison de ta présence non?{SCL}Je vais la prévenir que t’es là.{NEW}Allons-y!</t>
  </si>
  <si>
    <t>LEBELLE: Ich bin hier in HOENN, um den Teamleiter {VLN} zu finden.{CLR}Und ich helfe PROF. VIVIAN.{CLR}Darum bist du hier, richtig? Ich gebe ihr Bescheid, dass du da bist.{SCL}Allons-y!</t>
  </si>
  <si>
    <t>BELLOCCHIO: Sono qui ad HOENN per cercare {VLN}.{CLR}Inoltre, sto aiutando la mia amica PROF.SSA ZANIA.{CLR}È per questo che tu sei qui, giusto? Le riferirò che sei pronto.{SCL}Vieni! Iniziamo!</t>
  </si>
  <si>
    <t>HANDSOME: Estoy en HOENN para encontrar al líder {VLN}.{CLR}Además, estoy ayudando a mi amiga la PROF. ORYZA.{CLR}Por eso estás aquí, ¿verdad?{NEW}Voy a decirle que estás listo.{SCL}¡Allons-y!</t>
  </si>
  <si>
    <t>LOOKER: Estoy aquí en HOENN para encontrar al líder {VLN}.{CLR}Además, estoy ayudando a mi amiga la PROF. FENNEL.{CLR} Por eso estás aquí, ¿no? Le diré que ya está todo listo.{SCL}¡Allons-y!</t>
  </si>
  <si>
    <t>LOOKER: Eu estou aqui em HOENN para encontrar o líder MAXIE.{CLR}E também, estou ajudando minha amiga PROF.ª FENNEL.{CLR}É por isso que você está aqui, não é?{NEW}Vou avisá-la que você está com tudo pronto.{SCL}Venha! Vamos!</t>
  </si>
  <si>
    <t>dia_textWeHere_frlg</t>
  </si>
  <si>
    <t>{MLE}ハンサム『わたしは　カントー{NEW}ちほうに　きたのは　ボスの{SCL}サカキを　さがすためだ{CLR}また　ともだちの　マコモ{NEW}はかせの　てつだいの　ためだ{CLR}きみも　そのために{NEW}きたんだよな？　ちがうか？{CLR}じゅんびが　できていると{NEW}はかせに　つたえる{CLR}さあ！　いくぞ！</t>
  </si>
  <si>
    <t>{MLE}LOOKER: I am here in KANTO to find the leader GIOVANNI.{CLR}As well, I am helping my friend{NEW}PROF. FENNEL.{CLR}This is why you are here, no?{NEW}I shall tell her you are ready.{SCL}Come! Allons-y!</t>
  </si>
  <si>
    <t>{MLE}BELADONIS: Je suis à KANTO pour trouver GIOVANNI.{CLR}J’assiste également une amie,{NEW}la PROF. ORYSE.{CLR}C’est bien la raison de ta présence non?{SCL}Je vais la prévenir que t’es là.{NEW}Allons-y!</t>
  </si>
  <si>
    <t>{MLE}LEBELLE: Ich bin hier in KANTO, um den Teamleiter GIOVANNI zu finden.{CLR}Und ich helfe PROF. VIVIAN.{CLR}Darum bist du hier, richtig? Ich gebe ihr Bescheid, dass du da bist.{SCL}Allons-y!</t>
  </si>
  <si>
    <t>{MLE}BELLOCCHIO: Sono qui a KANTO per cercare GIOVANNI.{CLR}Inoltre, sto aiutando la mia amica PROF.SSA ZANIA.{CLR}È per questo che tu sei qui, giusto? Le riferirò che sei pronto.{SCL}Vieni! Iniziamo!</t>
  </si>
  <si>
    <t>{MLE}HANDSOME: Estoy en KANTO para encontrar al líder GIOVANNI.{CLR}Además, estoy ayudando a mi amiga la PROF. ORYZA.{CLR}Por eso estás aquí, ¿verdad?{NEW}Voy a decirle que estás listo.{SCL}¡Allons-y!</t>
  </si>
  <si>
    <t>{MLE}LOOKER: Estoy aquí en KANTO para encontrar al líder GIOVANNI.{CLR} Además, estoy ayudando a mi amiga la PROF. FENNEL.{CLR} Por eso estás aquí, ¿no? Le diré que ya está todo listo.{SCL}¡Allons-y!</t>
  </si>
  <si>
    <t>{MLE}LOOKER: Eu estou aqui em KANTO para encontrar o líder GIOVANNI.{CLR}E também, estou ajudando minha amiga PROF.ª FENNEL.{CLR}É por isso que você está aqui, não é?{NEW}Vou avisá-la que você está com tudo pronto.{SCL}Venha! Allons-y!</t>
  </si>
  <si>
    <t>dia_textWeHere_e</t>
  </si>
  <si>
    <t>{VLN} = ARCHIE
{VLN2} = MAXIE
"Allons-y!" is taken from the scientist running the Poké Transfer Lab and Black/White/Black 2/White 2</t>
  </si>
  <si>
    <t>{MLE}ハンサム『わたしは　ホウエンちほうに{NEW}きたのは　ボスの{VLN2}と{SCL}{VLN}を　さがすためだ{CLR}また　ともだちの　マコモはかせの{NEW}てつだいの　ためだ{CLR}きみも　そのために　きたんだよな？{NEW}ちがうか？{CLR}じゅんびが　できていると　はかせに{NEW}つたえる{CLR}さあ！　いくぞ！</t>
  </si>
  <si>
    <t>{MLE}LOOKER: I am here in HOENN to find the leaders {VLN2} and {VLN}.{CLR}As well, I am helping my friend PROF. FENNEL.{CLR}This is why you are here, no?{NEW}I shall tell her you are ready.{SCL}Come! Allons-y!</t>
  </si>
  <si>
    <t>{MLE}BELADONIS: Je suis à HOENN pour trouver {VLN2} et {VLN}.{CLR}J’aide également une amie,{NEW}la PROF. ORYSE.{CLR}C’est bien la raison de ta présence non?{SCL}Je vais la prévenir que t’es là.{NEW}Allons-y!</t>
  </si>
  <si>
    <t>{MLE}LEBELLE: Ich bin hier in HOENN, um die Teamleiter {VLN2} und {VLN}{SCL}zu finden.{CLR}Und ich helfe PROF. VIVIAN.{CLR}Darum bist du hier, richtig? Ich gebe ihr Bescheid, dass du da bist.{SCL}Allons-y!</t>
  </si>
  <si>
    <t>{MLE}BELLOCCHIO: Sono qui ad HOENN per cercare i Capi {VLN2} ed {VLN}.{CLR}Inoltre, sto aiutando la mia amica PROF.SSA ZANIA.{CLR}È per questo che tu sei qui, giusto? Dovrei riferirle che sei pronto.{SCL}Allora iniziamo!</t>
  </si>
  <si>
    <t>{MLE}HANDSOME: Estoy en HOENN para encontrar a los líderes {VLN2} y {VLN}.{CLR}Además, estoy ayudando a mi amiga la PROF. ORYZA.{CLR}Por eso estás aquí, ¿verdad?{NEW}Voy a decirle que estás listo.{SCL}¡Allons-y!</t>
  </si>
  <si>
    <t>{MLE}LOOKER: Estoy aquí en HOENN para encontrar a los líderes {VLN2} y {VLN}.{CLR} Además, estoy ayudando a mi amiga la PROF. FENNEL.{CLR} Por eso estás aquí, ¿no? Le diré que ya está todo listo.{SCL}¡Allons-y!</t>
  </si>
  <si>
    <t>{MLE}LOOKER: Eu estou aqui em HOENN para encontrar os líderes MAXIE e ARCHIE.{CLR}E também, estou ajudando minha amiga PROF.ª FENNEL.{CLR}É por isso que você está aqui, não é?{NEW}Vou avisá-la que você está com tudo pronto.{SCL}Venha! Vamos!</t>
  </si>
  <si>
    <t>dia_textRecieved_rs</t>
  </si>
  <si>
    <t>{PLR}の　ポケモンは{NEW}パソコンに　おくられた！</t>
  </si>
  <si>
    <t>{PLR}’s POKéMON were{NEW}sent to the PC!</t>
  </si>
  <si>
    <t>Les POKéMON de {PLR} sont{NEW}envoyés au PC!</t>
  </si>
  <si>
    <t>{PLR}s POKéMON wurden an den{NEW}PC übertragen!</t>
  </si>
  <si>
    <t>I POKéMON di {PLR} sono stati{NEW}trasferiti al PC!</t>
  </si>
  <si>
    <t>¡Los POKéMON de {PLR}{NEW}se enviaron al PC!</t>
  </si>
  <si>
    <t>¡Los POKéMON de {PLR} se enviaron a la PC!</t>
  </si>
  <si>
    <t>Os POKéMON de {PLR} foram enviados para o PC!</t>
  </si>
  <si>
    <t>dia_textRecieved_frlge</t>
  </si>
  <si>
    <t>{DEF}{PLR}の　ポケモンは{NEW}パソコンに　おくられた！</t>
  </si>
  <si>
    <t>{DEF}{PLR}’s POKéMON were{NEW}sent to the PC!</t>
  </si>
  <si>
    <t>{DEF}Les POKéMON de {PLR} sont{NEW}envoyés au PC!</t>
  </si>
  <si>
    <t>{DEF}{PLR}s POKéMON wurden an den{NEW}PC übertragen!</t>
  </si>
  <si>
    <t>{DEF}I POKéMON di {PLR} sono stati{NEW}trasferiti al PC!</t>
  </si>
  <si>
    <t>{DEF}¡Los POKéMON de {PLR}{NEW}se enviaron al PC!</t>
  </si>
  <si>
    <t>{DEF}¡Los POKéMON de {PLR} se enviaron a la PC!</t>
  </si>
  <si>
    <t>{DEF}Os POKéMON de {PLR} foram enviados para o PC!</t>
  </si>
  <si>
    <t>dia_textYouMustBe_first</t>
  </si>
  <si>
    <t>おお！　きみは　たしか{NEW}{PLR}だよな！{SCL}きみが　くると　きいていたんだ{CLR}おっと！　へんそうしたまま{NEW}だったね！　しっけい！{CLR}というか　じこしょうかいを{NEW}させていただこう</t>
  </si>
  <si>
    <t>Ah! You must be {PLR}!{NEW}I was told you’d be coming.{CLR}Oh! I still wear my disguise! Pardon! Or, rather, let me introduce myself.</t>
  </si>
  <si>
    <t>Oh! Tu dois être {PLR}!{NEW}On m’a averti de ta venue.{CLR}Mince, j’ai encore mon déguisement!{NEW}Laisse-moi me présenter.</t>
  </si>
  <si>
    <t>Ah! Du musst {PLR} sein!{NEW}Mir wurde gesagt, dass du kommst.{CLR}Sorry! Ich trage noch meine Verkleidung!{NEW}So, dann Stelle ich mich mal vor!</t>
  </si>
  <si>
    <t>Ah! Tu devi essere {PLR}!{NEW}Mi era stato detto del tuo arrivo.{CLR}Oh! Indosso ancora il mio travestimento! Perdonami!</t>
  </si>
  <si>
    <t>¡Ah! ¡Tú debes ser {PLR}!{NEW}Sabía que vendrías.{CLR}¡Oh! ¡Aún estoy disfrazado! ¡Perdón!{NEW}Mejor, deja que me presente.</t>
  </si>
  <si>
    <t>¡Ah! ¡Tú debes ser {PLR}! Sabía que vendrías.{CLR}¡Oh! ¡Aún llevo mi disfraz! ¡Perdón! ¡Déjame presentarme!</t>
  </si>
  <si>
    <t>Ah! Você deve ser {PLR}! Me disseram que você viria.{CLR}Opa! Eu ainda estou com o disfarce! Pardon! Ou melhor dizendo, permita que eu me apresente.</t>
  </si>
  <si>
    <t>dia_textYouMustBe_second</t>
  </si>
  <si>
    <t>おお　{PLR}か！{NEW}よく　もどったぞ！{SCL}また　あえて　うれしい！{CLR}おっと！　へんそうしたまま{NEW}だったね！　しっけい！</t>
  </si>
  <si>
    <t>Ah, {PLR}! Welcome back! Good to see you again!{CLR}Oh! I still wear my disguise! Pardon!</t>
  </si>
  <si>
    <t>Oh, te revoilà {PLR}!{NEW}Ravi de te revoir.{CLR}Ah mince, désolé je porte encore mon déguisement!</t>
  </si>
  <si>
    <t>Ah! {PLR}! Willkommen zurück! Es ist gut, dich zu sehen!{CLR}Oh! Ich trage noch meine Verkleidung! Sorry!</t>
  </si>
  <si>
    <t>Ah! Tu devi essere {PLR}!{NEW}Mi era stato annunciato il tuo arrivo.{CLR}Oh! Indosso ancora il mio travestimento! Perdonami!</t>
  </si>
  <si>
    <t>¡Ah, {PLR}, hola de nuevo! ¡Qué alegría verte de nuevo!{CLR}¡Oh! ¡Aún llevo puesto mi disfraz! ¡Perdón!</t>
  </si>
  <si>
    <t>¡Ah, {PLR}! ¡Volviste! ¡Qué gusto verte otra vez!{CLR}¡Oh! ¡Aún llevo puesto mi disfraz! ¡Perdón!{MLE}</t>
  </si>
  <si>
    <t>Ah, {PLR}! Já voltou! Que bom te ver novamente!{CLR}Opa! Ainda estou com meu disfarce! Pardon!</t>
  </si>
  <si>
    <t>dia_textIAm_first_rs</t>
  </si>
  <si>
    <t>わたしは　せかいを　またに{NEW}かける　こくさいけいさつの{SCL}メンバーである{CLR}なまえは‥‥　いや　きみには{NEW}コードネームを　おしえよう{CLR}そう　コードネームは{NEW}ハンサム！</t>
  </si>
  <si>
    <t>I am a globe-trotting elite of{NEW}the International Police.{CLR}My name…{CLR}Ah, no, I shall inform you of my code name only.{CLR}My code name, it is LOOKER!</t>
  </si>
  <si>
    <t>Je fais partie de l’élite itinérante des Forces de Police Internationales.{CLR}Mon nom est…{CLR}Désolé, je ne peux pas le dévoiler.{CLR}Appele-moi par mon nom de code: BELADONIS!</t>
  </si>
  <si>
    <t>Ich gehöre zur Elite der Internationalen Polizei.{CLR}Mein name…{CLR}Sorry, das ist streng geheim!{NEW}Aber mein Deckname ist LEBELLE.</t>
  </si>
  <si>
    <t>Sono un agente scelto per conto della Polizia Internazionale. Mi chiamo… ah, no, posso rivelarvi solo il mio nome in codice. Chiamatemi pure BELLOCCHIO.</t>
  </si>
  <si>
    <t>Soy élite trotamundos de la{NEW}Policía Internacional.{CLR}Mi nombre…{CLR}Ah, no, es mejor que solo te diga mi nombre en clave.{CLR}¡Mi nombre en clave es HANDSOME!</t>
  </si>
  <si>
    <t>Soy un agente de élite de la Policía Internacional que recorre el mundo.{CLR}Me llamo…{SCL}Ah, no, solo te diré mi nombre en clave.{CLR}¡Mi nombre clave es LOOKER!</t>
  </si>
  <si>
    <t>Eu sou um agente de elite da Polícia Internacional que percorre o mundo todo.{CLR}Meu nome é…{CLR}Ah, não, eu só posso te dizer o meu codinome. {CLR}Meu codinome é LOOKER!</t>
  </si>
  <si>
    <t>dia_textIAm_first_frlge</t>
  </si>
  <si>
    <t>{MLE}わたしは　せかいを　またに{NEW}かける　こくさいけいさつの{SCL}メンバーである{CLR}なまえは‥‥　いや　きみには{NEW}コードネームを　おしえよう{CLR}そう　コードネームは{NEW}ハンサム！</t>
  </si>
  <si>
    <t>{MLE}I am a globe-trotting elite of{NEW}the International Police.{CLR}My name…{CLR}Ah, no, I shall inform you of my code name only.{CLR}My code name, it is LOOKER!</t>
  </si>
  <si>
    <t>{MLE}Je suis de l’élite itinérante des Forces de Police Internationales.{CLR}Mon nom est…{CLR}Désolé, je ne peux le dire.{CLR}Appelle-moi par mon nom de code: BELADONIS!</t>
  </si>
  <si>
    <t>{MLE}Ich gehöre zur Elite der Internationalen Polizei.{CLR}Mein name…{CLR}Sorry, das ist streng geheim!{NEW}Aber mein Deckname ist LEBELLE.</t>
  </si>
  <si>
    <t>{MLE}Sono un agente scelto per conto della Polizia Internazionale. Mi chiamo… ah no, posso rivelarvi solo il mio nome in codice. Chiamatemi pure BELLOCCHIO.</t>
  </si>
  <si>
    <t>{MLE}Soy élite trotamundos de la{NEW}Policía Internacional.{CLR}Mi nombre…{CLR}Ah, no, es mejor que solo te diga mi nombre en clave.{CLR}¡Llámame HANDSOME!</t>
  </si>
  <si>
    <t>{MLE}Soy un agente de élite trotamundos de la Policía Internacional.{CLR}Me llamo…{SCL}Ah, no, solo te diré mi nombre en clave.{CLR}¡Soy LOOKER!</t>
  </si>
  <si>
    <t>{MLE}Eu sou um agente de elite da Polícia Internacional que percorre o mundo todo.{CLR}Meu nome é…{CLR}Ah, não, eu só posso te dizer o meu codinome. {CLR}Meu codinome é LOOKER!</t>
  </si>
  <si>
    <t>dia_textIAm_second_rs</t>
  </si>
  <si>
    <t>せかいを　またに　かける{NEW}こくさいけいさつの　メンバー{SCL}である　わたしだよ！{CLR}そう　コードネームは{NEW}ハンサム！</t>
  </si>
  <si>
    <t>It is I, globe-trotting elite of{NEW}the International Police.{CLR}My code name, it is LOOKER!</t>
  </si>
  <si>
    <t>C’est moi, nom de code: BELADONIS!{CLR}De l’élite itinérante des Forces de Police Internationales!</t>
  </si>
  <si>
    <t>Ich bin’s, Elite der Internationalen Polizei.{CLR}Mein Deckname ist LEBELLE!</t>
  </si>
  <si>
    <t>Sono io, un agente scelto per conto della Polizia Internazionale.{CLR}Il mio nome in codice è BELLOCCHIO!</t>
  </si>
  <si>
    <t>Soy yo, élite trotamundos de la{NEW}Policía Internacional.{CLR}¡Mi nombre en clave es HANDSOME!</t>
  </si>
  <si>
    <t>Soy yo, el agente de élite de la Policía Internacional que recorre el mundo.{CLR}¡Mi nombre clave es LOOKER!</t>
  </si>
  <si>
    <t>Sou eu, o agente de elite da Polícia Internacional que percorre o mundo todo.{CLR}Meu codinome é LOOKER!</t>
  </si>
  <si>
    <t>dia_textIAm_second_frlge</t>
  </si>
  <si>
    <t>{MLE}せかいを　またに　かける{NEW}こくさいけいさつの　メンバー{SCL}である　わたしだよ！{CLR}そう　コードネームは{NEW}ハンサム！</t>
  </si>
  <si>
    <t>{MLE}It is I, globe-trotting elite of{NEW}the International Police.{CLR}My code name, it is LOOKER!</t>
  </si>
  <si>
    <t>{MLE}C’est moi, nom de code: BELADONIS!{CLR}De l’élite itinérante des Forces de Police Internationales!</t>
  </si>
  <si>
    <t>{MLE}Ich bin’s, Elite der Internationalen Polizei.{CLR}Mein Deckname ist LEBELLE!</t>
  </si>
  <si>
    <t>{MLE}Sono io, un agente scelto per conto della Polizia Internazionale.{CLR}Il mio nome in codice è BELLOCCHIO!</t>
  </si>
  <si>
    <t>{MLE}Soy yo, élite trotamundos de la{NEW}Policía Internacional.{CLR}¡Mi nombre en clave es HANDSOME!</t>
  </si>
  <si>
    <t>{MLE}Soy yo, el agente de élite de la Policía Internacional que recorre el mundo.{CLR}¡Mi nombre clave es LOOKER!</t>
  </si>
  <si>
    <t>{MLE}Sou eu, o agente de elite da Polícia Internacional que percorre o mundo todo.{CLR}Meu codinome é LOOKER!</t>
  </si>
  <si>
    <t>dia_textPCConvo_rs</t>
  </si>
  <si>
    <t>マコモ『あー　ハンサム！{NEW}{PLR}は　もう　ついた{SCL}という　ことだよね？{CLR}ハンサム『そうとも！{NEW}ポケモンをうけとる　じゅんびが{SCL}できているよ！{CLR}マコモ『すばらしい！　まもなく{NEW}おくるよ‥　スタンバイしてね！</t>
  </si>
  <si>
    <t>FENNEL: Ah, LOOKER!{NEW}I take it {PLR} has arrived?{CLR}LOOKER: Indeed! They’re ready to receive their POKéMON!{CLR}FENNEL: Excellent! I’ll send them over momentarily… stand by!</t>
  </si>
  <si>
    <t>ORYSE: Ah, BELADONIS! J’ai cru comprendre que {PLR} était là?{CLR}BELADONIS: Effectivement!{NEW}En place pour recevoir son colis!{CLR}ORYSE: Parfait!{NEW}J’envoie ça sous peu, une minute…</t>
  </si>
  <si>
    <t>VIVAN: Ah, LEBELLE!{NEW}Ist {PLR} da?{CLR}LEBELLE: In der Tat!{NEW}Sie holen deren POKéMON ab!{CLR}VIVIAN: Wunderbar!{NEW}Ich transferiere sie gleich zu euch…{SCL}seid bereit!</t>
  </si>
  <si>
    <t>ZANIA: Ah, BELLOCCHIO! Suppongo che {PLR} sia arrivato?{CLR}BELLOCCHIO: Infatti! Sono pronti per ricevere il loro POKéMON!{CLR}ZANIA: Perfetto!{NEW}Li invierò tra un attimo… attendi!</t>
  </si>
  <si>
    <t>ORYZA: ¡Ah, HANDSOME!{NEW}¿Entiendo que {PLR} ya ha llegado?{CLR}HANDSOME: ¡Correcto! ¡Todo está listo para recibir sus POKéMON!{CLR}ORYZA: ¡Excelente! Los mandaré en un segundo… ¡espera!</t>
  </si>
  <si>
    <t>FENNEL: ¡Ah, LOOKER! ¿Supongo que {PLR} ya llegó?{CLR}LOOKER: ¡En efecto! ¡Están listos para recibir sus POKéMON!{CLR}FENNEL: ¡Excelente! Los enviaré en un momento… ¡esperen un poco!</t>
  </si>
  <si>
    <t>FENNEL: Ah, LOOKER! Acredito que {PLR} já deve ter chegado?{CLR}LOOKER: Certamente! E já está esperando para receber seus POKéMON!{CLR}FENNEL: Excelente! Vou enviá-los agora mesmo… esperem só um pouquinho!</t>
  </si>
  <si>
    <t>dia_textPCConvo_frlge</t>
  </si>
  <si>
    <t>{FPC}マコモ『あー　ハンサム！{NEW}{PLR}は　もう　ついた{SCL}という　ことだよね？{CLR}{MLE}ハンサム『そうとも！{NEW}ポケモンをうけとる　じゅんびが{SCL}できているよ！{CLR}{FPC}マコモ『すばらしい！　まもなく{NEW}おくるよ‥　スタンバイしてね！</t>
  </si>
  <si>
    <t>{FPC}FENNEL: Ah, LOOKER!{NEW}I take it {PLR} has arrived?{CLR}{MLE}LOOKER: Indeed! They’re ready to receive their POKéMON!{CLR}{FPC}FENNEL: Excellent! I’ll send them over momentarily… stand by!</t>
  </si>
  <si>
    <t>{FPC}ORYSE: Ah, BELADONIS! J’ai cru comprendre que {PLR} était là?{CLR}{MLE}BELADONIS: Effectivement!{NEW}En place pour recevoir son colis!{CLR}{FPC}ORYSE: Parfait!{NEW}J’envoie ça sous peu, une minute…</t>
  </si>
  <si>
    <t>{FPC}VIVAN: Ah, LEBELLE!{NEW}Ist {PLR} da?{CLR}{MLE}LEBELLE: In der Tat!{NEW}Sie holen deren POKéMON ab!{CLR}{FPC}VIVIAN: Wunderbar!{NEW}Ich transferiere sie zu euch…{SCL}seid bereit!</t>
  </si>
  <si>
    <t>{FPC}ZANIA: Ah, BELLOCCHIO! Suppongo che {PLR} sia arrivato?{CLR}{MLE}BELLOCCHIO: Infatti! Sono pronti per ricevere il loro POKéMON!{CLR}{FPC}ZANIA: Perfetto!{NEW}Li invierò tra un attimo… attendi!</t>
  </si>
  <si>
    <t>{FPC}ORYZA: ¡Ah, HANDSOME!{NEW}¿Entiendo que {PLR} ya ha llegado?{CLR}{MLE}HANDSOME: ¡Correcto! ¡Todo está listo para recibir sus POKéMON!{CLR}{FPC}ORYZA: ¡Excelente! Los mandaré en un segundo… ¡espera!</t>
  </si>
  <si>
    <t>{FPC}FENNEL: ¡Ah, LOOKER! ¿Supongo que {PLR} ya llegó?{CLR}{MLE}LOOKER: ¡En efecto! ¡Están listos para recibir sus POKéMON!{CLR}{FPC}FENNEL: ¡Excelente! Los enviaré en un momento… ¡esperen un poco!</t>
  </si>
  <si>
    <t>{FPC}FENNEL: Ah, LOOKER! Acredito que {PLR} já deve ter chegado?{CLR}{MLE}LOOKER: Certamente! E já está esperando para receber seus POKéMON!{CLR}{FPC}FENNEL: Excelente! Vou enviá-los agora mesmo… esperem só um pouquinho!</t>
  </si>
  <si>
    <t>dia_textPCThanks_rs</t>
  </si>
  <si>
    <t>マコモ『すべてが　ぶじに{NEW}アナタのパソコンに　おくられた{SCL}みたいなの！{CLR}ふたりとも　てだすけ{NEW}ありがとうございます！</t>
  </si>
  <si>
    <t>FENNEL: It looks like everything was sent to your PC successfully!{CLR}Thank you both for your help!</t>
  </si>
  <si>
    <t>ORYSE: Tout semble être bien arrivé dans ton PC!{CLR}Merci à vous deux pour l’aide!</t>
  </si>
  <si>
    <t>VIVIAN: Es scheint, als ob alles erfolgreich an deinen PC übertragen wurde!{CLR}Vielen Dank für eure Hilfe!</t>
  </si>
  <si>
    <t>ZANIA: Il trasferimento al PC è avvenuto con successo!{CLR}Grazie a entrambi per il vostro aiuto!</t>
  </si>
  <si>
    <t>ORYZA: ¡Parece que todo se ha enviado a tu PC correctamente!{CLR}¡Gracias a ambos por vuestra ayuda!</t>
  </si>
  <si>
    <t>FENNEL: ¡Parece que todo se envió a tu PC con éxito!{CLR}¡Gracias a ambos por su ayuda!</t>
  </si>
  <si>
    <t>FENNEL: Parece que todos já foram enviados com sucesso para o seu PC!{CLR}Fico grata a vocês dois pela ajuda!</t>
  </si>
  <si>
    <t>dia_textPCThanks_frlge</t>
  </si>
  <si>
    <t>{FPC}マコモ『すべてが　ぶじに{NEW}アナタのパソコンに　おくられた{SCL}みたいなの！{CLR}ふたりとも　てだすけ{NEW}ありがとうございます！</t>
  </si>
  <si>
    <t>{FPC}FENNEL: It looks like everything was sent to your PC successfully!{CLR}Thank you both for your help!</t>
  </si>
  <si>
    <t>{FPC}ORYSE: Tout semble être bien arrivé dans ton PC!{CLR}Merci à vous deux pour l’aide!</t>
  </si>
  <si>
    <t>{FPC}VIVIAN: Es scheint, als ob alles erfolgreich an deinen PC übertragen wurde!{CLR}Vielen Dank für eure Hilfe!</t>
  </si>
  <si>
    <t>{FPC}ZANIA: Il trasferimento al PC è avvenuto con successo!{CLR}Grazie a entrambi per il vostro aiuto!</t>
  </si>
  <si>
    <t>{FPC}ORYZA: ¡Parece que todo se ha enviado a tu PC correctamente!{CLR}¡Gracias a ambos por vuestra ayuda!</t>
  </si>
  <si>
    <t>{FPC}FENNEL: ¡Parece que todo se envió a tu PC con éxito!{CLR}¡Gracias a ambos por su ayuda!</t>
  </si>
  <si>
    <t>{FPC}FENNEL: Parece que todos já foram enviados com sucesso para o seu PC!{CLR}Fico grata a vocês dois pela ajuda!</t>
  </si>
  <si>
    <t>dia_textThank_rs</t>
  </si>
  <si>
    <t>{PLR}　よってきてくれて{NEW}ありがとうよ！{CLR}しつれいだけど　へんそうした{NEW}すがたに　もどらねばならない{SCL}また　あえるときまで！</t>
  </si>
  <si>
    <t>Thanks for stopping by, {PLR}!{CLR}If you’ll excuse me, I must return to my disguise.{SCL}Until our paths cross again!</t>
  </si>
  <si>
    <t>Merci pour ton temps, {PLR}!{CLR}Maintenant si tu veux bien m’excuser, je dois retourner à ma couverture.{SCL}A la prochaine!</t>
  </si>
  <si>
    <t>Danke für’s vorbeischauen {PLR}!{CLR}Sorry, ich muss jetzt zurück in meine Verkleidung.{SCL}Bis Bald!</t>
  </si>
  <si>
    <t>Grazie per la visita, {PLR}!{CLR}E ora, se vuoi scusarmi, devo tornare sotto copertura. Alla prossima!</t>
  </si>
  <si>
    <t>¡Gracias por pasarte, {PLR}!{CLR}Si me disculpas, debo volver a camuflarme.{SCL}¡Hasta que nuestros caminos se crucen de nuevo!</t>
  </si>
  <si>
    <t>¡Gracias por pasar, {PLR}!{CLR}Si me disculpas, debo volver a mi disfraz.{SCL}¡Hasta que nuestros caminos se crucen de nuevo!</t>
  </si>
  <si>
    <t>Obrigado por me visitar, {PLR}!{CLR}Mas se você me dá licensa, eu preciso voltar para o meu disfarce.{SCL}Até a próxima vez que nossos caminhos se cruzem novamente!</t>
  </si>
  <si>
    <t>dia_textThank_frlge</t>
  </si>
  <si>
    <t>{MLE}{PLR}　よってきてくれて{NEW}ありがとうよ！{CLR}しつれいだけど　へんそうした{NEW}すがたに　もどらねばならない{SCL}また　あえるときまで！</t>
  </si>
  <si>
    <t>{MLE}Thanks for stopping by, {PLR}!{CLR}If you’ll excuse me, I must return to my disguise.{SCL}Until our paths cross again!</t>
  </si>
  <si>
    <t>{MLE}Merci pour ton temps, {PLR}!{CLR}Maintenant si tu veux bien m’excuser, je dois retourner à ma couverture.{SCL}A la prochaine!</t>
  </si>
  <si>
    <t>{MLE}Danke für’s vorbeischauen {PLR}!{CLR}Sorry, ich muss jetzt zurück in meine Verkleidung.{SCL}Bis Bald!</t>
  </si>
  <si>
    <t xml:space="preserve">{MLE}Grazie per la visita, {PLR}!{CLR}E ora, se vuoi scusarmi, devo tornare sotto copertura. Alla prossima!
</t>
  </si>
  <si>
    <t>{MLE}¡Gracias por pasarte, {PLR}!{CLR}Si me disculpas, debo volver a camuflarme.{SCL}¡Hasta que nuestros caminos se crucen de nuevo!</t>
  </si>
  <si>
    <t>{MLE}¡Gracias por pasar, {PLR}!{CLR}Si me disculpas, debo volver a mi disfraz.{SCL}¡Hasta que nuestros caminos se crucen de nuevo!</t>
  </si>
  <si>
    <t>{MLE}Obrigado por me visitar, {PLR}!{CLR}Mas se você me dá licensa, eu preciso voltar para o meu disfarce.{SCL}Até a próxima vez que nossos caminhos se cruzem novamente!</t>
  </si>
  <si>
    <t>dia_textPCFull_rs</t>
  </si>
  <si>
    <t>マコモ『パソコンは　もう{NEW}いっぱいのようなの！{CLR}スペースを　あけてきてね{NEW}それで　のこりのポケモンを{SCL}おくることが　できるよ</t>
  </si>
  <si>
    <t>FENNEL: It seems like the PC is full!{CLR}Go make some room, and I can send over the rest of your POKéMON.</t>
  </si>
  <si>
    <t>ORYSE: Oh, tes BOITES semblent pleines!{CLR}Va faire un peu de place que je puisse envoyer le reste de tes POKéMON.</t>
  </si>
  <si>
    <t>VIVIAN: Es scheint, als ob dein PC voll ist.{CLR}Schaffe etwas Platz, dann übertrage ich den Rest deiner POKéMON.</t>
  </si>
  <si>
    <t>ZANIA: Il tuo PC è pieno!{CLR}Fai un po’ di spazio, e poi potrò trasferire il resto dei tuoi POKéMON.</t>
  </si>
  <si>
    <t>ORYZA: ¡Parece que tu PC está lleno!{CLR}Deja espacio disponible, y te enviaré al resto de tus POKéMON.</t>
  </si>
  <si>
    <t>FENNEL: ¡Al parecer la PC está llena!{CLR}Ve a hacer algo de espacio y podré enviarte el resto de tus POKéMON.</t>
  </si>
  <si>
    <t>FENNEL: Parece que o PC está cheio!{CLR}Vá abrir algum espaço, para que eu possa enviar o restante dos seus POKéMON.</t>
  </si>
  <si>
    <t>dia_textPCFull_frlge</t>
  </si>
  <si>
    <t>{FPC}マコモ『パソコンは　もう{NEW}いっぱいのようなの！{CLR}スペースを　あけてきてね{NEW}それで　のこりのポケモンを{SCL}おくることが　できるよ</t>
  </si>
  <si>
    <t>{FPC}FENNEL: It seems like the PC is full!{CLR}Go make some room, and I can send over the rest of your POKéMON.</t>
  </si>
  <si>
    <t>{FPC}ORYSE: Oh, tes BOITES semblent pleines!{CLR}Va faire un peu de place que je puisse envoyer le reste de tes POKéMON.</t>
  </si>
  <si>
    <t>{FPC}VIVIAN: Es scheint, als ob dein PC voll ist.{CLR}Schaffe etwas Platz, dann übertrage ich den Rest deiner POKéMON.</t>
  </si>
  <si>
    <t>{FPC}ZANIA: Il tuo PC è pieno!{CLR}Fai un po’ di spazio, e poi potrò trasferire il resto dei tuoi POKéMON.</t>
  </si>
  <si>
    <t>{FPC}ORYZA: ¡Parece que tu PC está lleno!{CLR}Deja espacio disponible, y te enviaré al resto de tus POKéMON.</t>
  </si>
  <si>
    <t>{FPC}FENNEL: ¡Al parecer la PC está llena!{CLR}Ve a hacer algo de espacio y podré enviarte el resto de tus POKéMON.</t>
  </si>
  <si>
    <t>{FPC}FENNEL: Parece que o PC está cheio!{CLR}Vá abrir algum espaço, para que eu possa enviar o restante dos seus POKéMON.</t>
  </si>
  <si>
    <t>dia_textLookerFull_rs</t>
  </si>
  <si>
    <t>ハンサム『すこし　スペースを{NEW}あけてから　また　こえを{SCL}かけてくれ　{PLR}！{CLR}そのあいだ　へんそうした{NEW}すがたに　もどるぞ</t>
  </si>
  <si>
    <t>LOOKER: Speak to me again after you’ve made room, {PLR}!{CLR}In the meantime, I will return to my disguise.</t>
  </si>
  <si>
    <t>BELADONIS: Reviens me parler quand t’auras fais de la place.{CLR}En attendant, je retourne à ma couverture.</t>
  </si>
  <si>
    <t>LEBELLE: Sprich nochmal mit mir, wenn du mehr Platz hast, {PLR}!{CLR}Aber jetzt gehe ich zurück zu meiner Verkleidung.</t>
  </si>
  <si>
    <t>BELLOCCHIO: Fammi un fischio quando avrai fatto spazio,{PLR}!{CLR}Nel frattempo, torno al mio travestimento.</t>
  </si>
  <si>
    <t>HANDSOME: ¡Háblame de nuevo cuando hayas hecho hueco, {PLR}!{CLR}De momento, volveré a camuflarme.</t>
  </si>
  <si>
    <t>LOOKER: ¡Háblame de nuevo cuando hayas hecho espacio, {PLR}!{CLR}Mientras tanto, volveré a mi disfraz.</t>
  </si>
  <si>
    <t>LOOKER: Fale comigo novamente depois que você tenha arranjado mais espaço, {PLR}!{CLR}Enquanto isso, eu tenho que retornar pro meu disfarce.</t>
  </si>
  <si>
    <t>dia_textLookerFull_frlge</t>
  </si>
  <si>
    <t>{MLE}ハンサム『すこし　スペースを{NEW}あけてから　また　こえを{SCL}かけてくれ　{PLR}！{CLR}そのあいだ　へんそうした{NEW}すがたに　もどるぞ</t>
  </si>
  <si>
    <t>{MLE}LOOKER: Speak to me again after you’ve made room, {PLR}!{CLR}In the meantime, I will return to my disguise.</t>
  </si>
  <si>
    <t>{MLE}BELADONIS: Reviens me parler quand t’auras fais de la place.{CLR}En attendant, je retourne à ma couverture.</t>
  </si>
  <si>
    <t>{MLE}LEBELLE: Sprich nochmal mit mir, wenn du mehr Platz hast, {PLR}!{CLR}Aber jetzt gehe ich zurück zu meiner Verkleidung.</t>
  </si>
  <si>
    <t>{MLE}BELLOCCHIO: Fammi un fischio quando avrai fatto spazio,{PLR}!{CLR}Nel frattempo, torno al mio travestimento.</t>
  </si>
  <si>
    <t>{MLE}HANDSOME: ¡Háblame de nuevo cuando hayas hecho hueco, {PLR}!{CLR}De momento, volveré a camuflarme.</t>
  </si>
  <si>
    <t>{MLE}LOOKER: ¡Háblame de nuevo cuando hayas hecho espacio, {PLR}!{CLR}Mientras tanto, volveré a mi disfraz.</t>
  </si>
  <si>
    <t>{MLE}LOOKER: Fale comigo novamente depois que você tenha arranjado mais espaço, {PLR}!{CLR}Enquanto isso, eu tenho que retornar pro meu disfarce.</t>
  </si>
  <si>
    <t>GB</t>
  </si>
  <si>
    <t>sending_text</t>
  </si>
  <si>
    <t>gameboySimpleString</t>
  </si>
  <si>
    <t>データをそうしんちゅう</t>
  </si>
  <si>
    <t>SENDING DATA</t>
  </si>
  <si>
    <t>TRANSFERT...</t>
  </si>
  <si>
    <t>DATEN WERDEN GESENDET</t>
  </si>
  <si>
    <t>TRASFERIMENTO...</t>
  </si>
  <si>
    <t>ENVIANDO DATOS</t>
  </si>
  <si>
    <t>데이터를 송신중</t>
  </si>
  <si>
    <t>ENVIANDO DADOS</t>
  </si>
  <si>
    <t>prof_name</t>
  </si>
  <si>
    <t>マコモ</t>
  </si>
  <si>
    <t>FENNEL</t>
  </si>
  <si>
    <t>ORYSE</t>
  </si>
  <si>
    <t>VIVAN</t>
  </si>
  <si>
    <t>ZANIA</t>
  </si>
  <si>
    <t>ORYZA</t>
  </si>
  <si>
    <t>주리</t>
  </si>
  <si>
    <t>真菰</t>
  </si>
  <si>
    <t>GENERAL</t>
  </si>
  <si>
    <t>option_english</t>
  </si>
  <si>
    <t>gbaSimpleString</t>
  </si>
  <si>
    <t>えいご</t>
  </si>
  <si>
    <t>ENGLISH</t>
  </si>
  <si>
    <t>ANGLAIS</t>
  </si>
  <si>
    <t>ENGLISCH</t>
  </si>
  <si>
    <t>INGLESE</t>
  </si>
  <si>
    <t>INGLÉS</t>
  </si>
  <si>
    <t>영어</t>
  </si>
  <si>
    <t>英语</t>
  </si>
  <si>
    <t>英語</t>
  </si>
  <si>
    <t>INGLÊS</t>
  </si>
  <si>
    <t>option_japanese</t>
  </si>
  <si>
    <t>にほんご</t>
  </si>
  <si>
    <t>JAPANESE</t>
  </si>
  <si>
    <t>JAPONAIS</t>
  </si>
  <si>
    <t>JAPANISCH</t>
  </si>
  <si>
    <t>GIAPPONESE</t>
  </si>
  <si>
    <t>JAPONÉS</t>
  </si>
  <si>
    <t>일본어</t>
  </si>
  <si>
    <t>日语</t>
  </si>
  <si>
    <t>日語</t>
  </si>
  <si>
    <t>JAPONÊS</t>
  </si>
  <si>
    <t>option_spanish</t>
  </si>
  <si>
    <t>スペインご</t>
  </si>
  <si>
    <t>SPANISH</t>
  </si>
  <si>
    <t>ESPAGNOL</t>
  </si>
  <si>
    <t>SPANISCH</t>
  </si>
  <si>
    <t>SPAGNOLO</t>
  </si>
  <si>
    <t>ESPAÑOL</t>
  </si>
  <si>
    <t>스페인어</t>
  </si>
  <si>
    <t>西班牙语</t>
  </si>
  <si>
    <t>西班牙語</t>
  </si>
  <si>
    <t>ESPANHOL</t>
  </si>
  <si>
    <t>option_french</t>
  </si>
  <si>
    <t>フランスご</t>
  </si>
  <si>
    <t>FRENCH</t>
  </si>
  <si>
    <t>FRANÇAIS</t>
  </si>
  <si>
    <t>FRANZÖSISCH</t>
  </si>
  <si>
    <t>FRANCESE</t>
  </si>
  <si>
    <t>FRANCÉS</t>
  </si>
  <si>
    <t>프랑스어</t>
  </si>
  <si>
    <t>法语</t>
  </si>
  <si>
    <t>法語</t>
  </si>
  <si>
    <t>FRANCÊS</t>
  </si>
  <si>
    <t>option_german</t>
  </si>
  <si>
    <t>ドイツご</t>
  </si>
  <si>
    <t>GERMAN</t>
  </si>
  <si>
    <t>ALLEMAND</t>
  </si>
  <si>
    <t>DEUTSCH</t>
  </si>
  <si>
    <t>TEDESCO</t>
  </si>
  <si>
    <t>ALEMÁN</t>
  </si>
  <si>
    <t>독일어</t>
  </si>
  <si>
    <t>德语</t>
  </si>
  <si>
    <t>德語</t>
  </si>
  <si>
    <t>ALEMÃO</t>
  </si>
  <si>
    <t>option_italian</t>
  </si>
  <si>
    <t>イタリアご</t>
  </si>
  <si>
    <t>ITALIAN</t>
  </si>
  <si>
    <t>ITALIEN</t>
  </si>
  <si>
    <t>ITALIENISCH</t>
  </si>
  <si>
    <t>ITALIANO</t>
  </si>
  <si>
    <t>이탈리아어</t>
  </si>
  <si>
    <t>意大利语</t>
  </si>
  <si>
    <t>義大利語</t>
  </si>
  <si>
    <t>option_korean</t>
  </si>
  <si>
    <t>かんこくご</t>
  </si>
  <si>
    <t>KOREAN</t>
  </si>
  <si>
    <t>CORÉEN</t>
  </si>
  <si>
    <t>KOREANISCH</t>
  </si>
  <si>
    <t>COREANO</t>
  </si>
  <si>
    <t>한국어</t>
  </si>
  <si>
    <t>朝鲜语</t>
  </si>
  <si>
    <t>朝鮮語</t>
  </si>
  <si>
    <t>option_green</t>
  </si>
  <si>
    <t>みどり</t>
  </si>
  <si>
    <t>GREEN</t>
  </si>
  <si>
    <t>VERTE</t>
  </si>
  <si>
    <t>GRÜNE</t>
  </si>
  <si>
    <t>VERDE</t>
  </si>
  <si>
    <t>그린</t>
  </si>
  <si>
    <t>绿</t>
  </si>
  <si>
    <t>綠</t>
  </si>
  <si>
    <t>option_red</t>
  </si>
  <si>
    <t>あか</t>
  </si>
  <si>
    <t>RED</t>
  </si>
  <si>
    <t>ROUGE</t>
  </si>
  <si>
    <t>ROTE</t>
  </si>
  <si>
    <t>ROSSA</t>
  </si>
  <si>
    <t>ROJA</t>
  </si>
  <si>
    <t>레드</t>
  </si>
  <si>
    <t>红</t>
  </si>
  <si>
    <t>紅</t>
  </si>
  <si>
    <t>option_blue</t>
  </si>
  <si>
    <t>あお</t>
  </si>
  <si>
    <t>BLUE</t>
  </si>
  <si>
    <t>BLEUE</t>
  </si>
  <si>
    <t>BLAUE</t>
  </si>
  <si>
    <t>BLU</t>
  </si>
  <si>
    <t>AZUL</t>
  </si>
  <si>
    <t>블루</t>
  </si>
  <si>
    <t>蓝</t>
  </si>
  <si>
    <t>藍</t>
  </si>
  <si>
    <t>option_yellow</t>
  </si>
  <si>
    <t>ピカチュウ</t>
  </si>
  <si>
    <t>YELLOW</t>
  </si>
  <si>
    <t>JAUNE</t>
  </si>
  <si>
    <t>GELBE</t>
  </si>
  <si>
    <t>GIALLA</t>
  </si>
  <si>
    <t>AMARILLA</t>
  </si>
  <si>
    <t>피카츄</t>
  </si>
  <si>
    <t>皮卡丘</t>
  </si>
  <si>
    <t>option_gold</t>
  </si>
  <si>
    <t>きん</t>
  </si>
  <si>
    <t>GOLD</t>
  </si>
  <si>
    <t>OR</t>
  </si>
  <si>
    <t>GOLDENE</t>
  </si>
  <si>
    <t>ORO</t>
  </si>
  <si>
    <t>금</t>
  </si>
  <si>
    <t>金</t>
  </si>
  <si>
    <t>option_silver</t>
  </si>
  <si>
    <t>ぎん</t>
  </si>
  <si>
    <t>SILVER</t>
  </si>
  <si>
    <t>ARGENT</t>
  </si>
  <si>
    <t>SILBERNE</t>
  </si>
  <si>
    <t>ARGENTO</t>
  </si>
  <si>
    <t>PLATA</t>
  </si>
  <si>
    <t>은</t>
  </si>
  <si>
    <t>银</t>
  </si>
  <si>
    <t>銀</t>
  </si>
  <si>
    <t>option_crystal</t>
  </si>
  <si>
    <t>クリスタル</t>
  </si>
  <si>
    <t>CRYSTAL</t>
  </si>
  <si>
    <t>CRISTAL</t>
  </si>
  <si>
    <t>KRISTALL</t>
  </si>
  <si>
    <t>CRISTALLO</t>
  </si>
  <si>
    <t>크리스탈</t>
  </si>
  <si>
    <t>水晶版</t>
  </si>
  <si>
    <t>option_cancel</t>
  </si>
  <si>
    <t>キャンセル</t>
  </si>
  <si>
    <t>Cancel</t>
  </si>
  <si>
    <t>Annuler</t>
  </si>
  <si>
    <t>ANNULLA</t>
  </si>
  <si>
    <t>Cancelar</t>
  </si>
  <si>
    <t>취소하기</t>
  </si>
  <si>
    <t>press_start</t>
  </si>
  <si>
    <t>{CTR}ＳＴＡＲＴボタンをおして！{nCTR}</t>
  </si>
  <si>
    <t>{CTR}PUSH THE START BUTTON!{nCTR}</t>
  </si>
  <si>
    <t>{CTR}APPUYEZ SUR START!{nCTR}</t>
  </si>
  <si>
    <t>{CTR}DRÜCKE START!{nCTR}</t>
  </si>
  <si>
    <t>{CTR}PREMI START!{nCTR}</t>
  </si>
  <si>
    <t>{CTR}¡PULSA START!{nCTR}</t>
  </si>
  <si>
    <t>{CTR}¡PRESIONA START!{nCTR}</t>
  </si>
  <si>
    <t>{CTR}START버튼을 누러!{nCTR}</t>
  </si>
  <si>
    <t>{CTR}PRESSIONE O BOTÃO START{nCTR}</t>
  </si>
  <si>
    <t>option_transfer</t>
  </si>
  <si>
    <t>ポケモンをてんそう</t>
  </si>
  <si>
    <t>TRANSFER POKéMON</t>
  </si>
  <si>
    <t>TRANSFÉRER POKéMON</t>
  </si>
  <si>
    <t>TRASFERISCI POKéMON</t>
  </si>
  <si>
    <t>TRANSFERIR POKéMON</t>
  </si>
  <si>
    <t>포켓몬을 전송하기</t>
  </si>
  <si>
    <t>option_dreamdex</t>
  </si>
  <si>
    <t>ゆめずかん</t>
  </si>
  <si>
    <t>DREAM DEX</t>
  </si>
  <si>
    <t>ONIRIDEX</t>
  </si>
  <si>
    <t>꿈도감</t>
  </si>
  <si>
    <t>option_credits</t>
  </si>
  <si>
    <t>クレジット</t>
  </si>
  <si>
    <t>CREDITS</t>
  </si>
  <si>
    <t>CRÉDITS</t>
  </si>
  <si>
    <t>RICONOSCIMENTI</t>
  </si>
  <si>
    <t>CRÉDITOS</t>
  </si>
  <si>
    <t>크레딧</t>
  </si>
  <si>
    <t>option_tutorial</t>
  </si>
  <si>
    <t>チュートリアルとようきゅうじこう</t>
  </si>
  <si>
    <t>TUTORIAL &amp; REQUIREMENTS</t>
  </si>
  <si>
    <t>TUTORIEL &amp; PRÉREQUIS</t>
  </si>
  <si>
    <t>TUTORIAL &amp; REQUISITI</t>
  </si>
  <si>
    <t>TUTORIAL Y REQUISITOS</t>
  </si>
  <si>
    <t>튜토리얼과 요구 사항</t>
  </si>
  <si>
    <t>option_text_debug</t>
  </si>
  <si>
    <t>デバッグテキストビューア</t>
  </si>
  <si>
    <t>Debug Text Viewer</t>
  </si>
  <si>
    <t>Débuggueur de texte</t>
  </si>
  <si>
    <t>Visualizzatore debug di testo</t>
  </si>
  <si>
    <t>Visor de Texto de Depuración</t>
  </si>
  <si>
    <t>Debugar Visualizador de Texto</t>
  </si>
  <si>
    <t>intro_first</t>
  </si>
  <si>
    <t>fullScreen</t>
  </si>
  <si>
    <t>Currently unused</t>
  </si>
  <si>
    <t>どうも！　ポケムーバーＧＢをしようしてくれて{NEW}ありがとうございます！　ポケムーバーＧＢは、ゲーム{NEW}ボーイとゲームボーイアドバンスどちらものセーブ{NEW}データをしゅうせいします。{NEW}ちゅうい！　ポケムーバーＧＢはもうベータばんじゃ{NEW}ないいっぽうで、しようするまえ、ゲームのセーブ{NEW}データをバックアップすることは、すいしょうします。{NEW}ごりょうしょうください。では、たのしんでください！{NEW}{NEW}ーＴｈｅ　Ｇｅａｒｓ　ｏｆ　Ｐｒｏｇｒｅｓｓ</t>
  </si>
  <si>
    <t>Hello! Thank you for using Poké Transporter GB!{NEW}{NEW}Just as a word of caution- Poké Transporter GB WILL modify both the Game Boy and Game Boy Advance save files.{NEW}{NEW}Please note that while Poké Transporter GB is no longer in beta, save file backups are still recommended before using. With that all being said, please enjoy!{NEW}{NEW}-The Gears of Progress</t>
  </si>
  <si>
    <t>Salut! Merci d’utiliser Poké Transfert GB!{NEW}Petit mot d’avertissement: Poké Transfert GB MODIFIE les sauvegardes des jeux Game Boy ET Game Boy Advance.{NEW}Notez que bien que Poké Transfert GB ne soit plus en bêta, les backups de sauvegardes restent recommandées avant son utilisation. Ceci étant dit, bons transferts!{NEW}-The Gears of Progress</t>
  </si>
  <si>
    <t xml:space="preserve">Ciao! Grazie per usare Pokétrasferitore GB!{NEW}{NEW}ATTENZIONE! I salvataggi GB e GBA saranno modificati.{NEW}{NEW}Il backup dei dati è consigliato prima di continuare. Buon divertimento!{NEW}{NEW}-The Gears of Progress
</t>
  </si>
  <si>
    <t>¡Hola! ¡Gracias por usar Poké Trasladador GB!{NEW}{NEW}Solo como advertencia- Poké Trasladador GB MODIFICARÁ los archivos de guardado de Game Boy y Game Boy Advance.{NEW}{NEW}Por favor, ten en cuenta que aunque Poké Transporter GB ya no está en beta, mantener copias de seguridad de tus archivos de guardado es recomendable. ¡Dicho esto, por favor, disfruta!{NEW}{NEW}- The Gears of Progress</t>
  </si>
  <si>
    <t>¡Hola! ¡Gracias por usar Poké Trasladador GB!{NEW}{NEW}Una advertencia: Poké Trasladador GB MODIFICARÁ las partidas tanto de Game Boy como de Game Boy Advance.{NEW}{NEW} Ten en cuenta que, aunque Poké Trasladador GB ya no está en fase beta, se recomienda hacer copias de seguridad de tus partidas. Dicho esto, ¡disfrútalo!{NEW}{NEW}-The Gears of Progress</t>
  </si>
  <si>
    <t>Olá! Obrigado por usar o Poké Transporter GB!{NEW}{NEW} Atenção: Poké Transporter GB VAI modificar os arquivos dos seus jogos de GB e GBA.{NEW}{NEW}Apesar de não estar mais  em fase beta, ainda é recomendável fazer backups. Dito isso, por favor aproveite!{NEW}{NEW}-The Gears of Progress</t>
  </si>
  <si>
    <t>intro_legal</t>
  </si>
  <si>
    <t>ポケムーバーＧＢは、ポケモンシリーズへのけいあいと{NEW}かんしゃからつくられたもので、りえきなど、いっさい{NEW}かんがえておりません。ポケムーバーＧＢは、これからも{NEW}ずっとムリョウで、ぶつりてきなカートリッジとして{NEW}はんばいされることは、けっしてありません。げんさくしゃを{NEW}サポートしてください。すべてのポケモンのなまえ、{NEW}ドットえ、そして、おんがくはニンテンドー、{NEW}クリーチャーズと、ゲームフリークにしょゆうされています。</t>
  </si>
  <si>
    <t>Poké Transporter GB was made out of love and appreciation for the POKéMON franchise with no profit in mind.{NEW}It will ALWAYS be free and never sold as a physical cartridge.{NEW}Please support the original developers.{NEW}All POKéMON names, sprites, and music are owned by Nintendo, Creatures, and GAME FREAK.</t>
  </si>
  <si>
    <t>Poké Transfert GB a été developpé avec amour et passion pour la licence POKéMON sans aucun objectif de profit.{NEW}Il sera TOUJOURS gratuit et jamais vendu en format physique.{NEW}Merci de soutenir les développeurs originaux.{NEW}Les noms des POKéMON, les sprites et les musiques sont la propriété de Nintendo, Creatures et GAME FREAK.</t>
  </si>
  <si>
    <t>Pokétrasferitore GB è stato creato con amore e passione verso il franchise POKéMON senza scopo di profitto.{NEW}Sarà SEMPRE gratis e non sarà mai venduto in formato fisico.{NEW}Si prega di supportare gli sviluppatori originali.{NEW}Tutti i nomi dei POKéMON, gli sprites e la musica sono di proprietà di Nintendo, Creatures, e GAME FREAK.</t>
  </si>
  <si>
    <t>Poké Trasladador GB fue creado por amor y aprecio a la franquicia de POKéMON sin ánimo de lucro.{NEW}SIEMPRE será gratis y nunca vendido como cartucho físico.{NEW}Por favor, apoya a los desarrolladores originales.{NEW}Todos los nombres de POKéMON, sprites y música son propiedad de Nintendo, Creatures y GAME FREAK.</t>
  </si>
  <si>
    <t>Poké Trasladador GB fue creado por amor y aprecio a la franquicia POKéMON sin fines de lucro. SIEMPRE será gratuito y nunca se venderá como un cartucho físico. Por favor apoya a los desarrolladores originales.{NEW}Todos los nombres de POKéMON, sprites y música son propiedad de Nintendo, Creatures y GAME FREAK.</t>
  </si>
  <si>
    <t>Poké Transporter GB foi feito por amor pela franquia de POKéMON e sem fins financeiros. Será SEMPRE gratuito e nunca será vendido em forma física.{NEW}Por favor apoie os desenvolvedores originais. Todos os nomes, POKéMON, imagens e recursos relacionados são propriedades da Nintendo, Creatures e GAME FREAK.</t>
  </si>
  <si>
    <t>cart_load_error</t>
  </si>
  <si>
    <t>creditsBox</t>
  </si>
  <si>
    <t>レポートのよみこみは、しっぱいしました。{NEW}こうしきなポケモンのゲームボーイアドバンス{NEW}カートリッジをさしこんで、Ａボタンをおしてください。{NEW}{NEW}あるいは、このプログラムをもうひとつのゲームボーイ{NEW}アドバンスにそうしんするには、ＳＥＬＥＣＴボタンを{NEW}おしてください。</t>
  </si>
  <si>
    <t>Failed to load the save file.{NEW}Please insert an official POKéMON Game Boy Advance Game Pak, and then press A.{NEW}{NEW}Alternatively, you can press SELECT to send this program to another Game Boy Advance.</t>
  </si>
  <si>
    <t>Échec du chagement de la sauvegarde.{NEW}Insérez une cartouche officielle puis appuyez sur A.{NEW}{NEW}Vous pouvez également appuyer sur SELECT pour envoyer ce programme vers une autre Game Boy Advance.</t>
  </si>
  <si>
    <t>I dati di salvataggio non sono stati caricati correttamente. Per favore inserisci una cassetta di gioco originale di POKéMON per Game Boy Advance e premi il tasto A.{NEW}Oppure, premi il tasto SELECT per trasferire questo programma ad un altro Game Boy Advance.</t>
  </si>
  <si>
    <t>Error al cargar el archivo de guardado.{NEW}Por favor, inserta un cartucho oficial de Game Boy Advance de POKéMON y presiona A.{NEW}De forma alternativa, puedes pulsar SELECT para mandar este programa a otra Game Boy Advance.</t>
  </si>
  <si>
    <t>No se pudo cargar la partida.{NEW}Inserta un cartucho oficial de POKéMON para Game Boy Advance y luego presiona A.{NEW}{NEW}O puedes presionar el botón Select para enviar este programa a otra Game Boy Advance.</t>
  </si>
  <si>
    <t>O arquivo de salvamento de POKéMON não foi carregado corretamente. Por favor remova e reinsira o jogo, e então pressione o botão A.{NEW}Como alternativa, pressione o botão SELECT para enviar esse programa para outro Game Boy Advance.</t>
  </si>
  <si>
    <t>pulled_cart_error</t>
  </si>
  <si>
    <t>largeBox</t>
  </si>
  <si>
    <t>ポケモンゲームは、とりはずされました。{NEW}でんげんをきって、プログラムを{NEW}さいきどうしてください。</t>
  </si>
  <si>
    <t>The POKéMON game was removed.{NEW}Please turn off the system and restart the program.</t>
  </si>
  <si>
    <t>La cartouche a été retirée.{NEW}{NEW}Éteignez la console puis redémarrez le programme.</t>
  </si>
  <si>
    <t>La cassetta è stato rimossa.{NEW}{NEW}Per favore spegni (OFF) la console e riavvia (ON) il software.</t>
  </si>
  <si>
    <t>El juego de POKéMON se ha retirado.{NEW}Por favor, apaga el sistema y reinicia el programa.</t>
  </si>
  <si>
    <t>El juego de POKéMON se retiró. Apaga el sistema y reinicia el programa.</t>
  </si>
  <si>
    <t>O jogo de POKéMON foi removido. Por favor desligue o sistema e reinicie o programa.</t>
  </si>
  <si>
    <t>send_multiboot_instructions</t>
  </si>
  <si>
    <t>ゲームボーイアドバンスせんようつうしんケーブルで{NEW}このほんたいを、マルチブートモードにしたもうひとつの{NEW}ゲームボーイアドバンスにつなげてください。{NEW}{NEW}それで、ふたつめのゲームボーイアドバンスに{NEW}ポケムーバーＧＢのそうしんをかいしするには、{NEW}Ａボタンをおしてください。</t>
  </si>
  <si>
    <t>Please connect this system to another Game Boy Advance in Multiboot mode with a Game Boy Advance Link Cable.{NEW}{NEW}Then, press the A button to begin sending Poké Transporter GB to the second Game Boy Advance.</t>
  </si>
  <si>
    <t>Connectez une autre Game Boy Advance en mode Multiboot à celle-ci avec un Câble Link pour Game Boy Advance.{NEW}{NEW}Appuyez ensuite sur A pour démarrer l’envoi du Poké Transfert GB.</t>
  </si>
  <si>
    <t>Per favore connetti questo sistema ad un altro Game Boy Advance in modalità Multiboot con un Game Link Cable per Game Boy Advance.{NEW}{NEW}Poi, premi il tasto A per iniziare il trasferimento di Poké Transporter GB sull’altro Game Boy Advance.</t>
  </si>
  <si>
    <t>Por favor, conecta este sistema a otra Game Boy Advance en modo Multiboot con un Cable Link de Game Boy Advance.{NEW}{NEW}Entoces, presiona el botón A para comenzar a mandar Poké Trasladador GB a la segunda Game Boy Advance.</t>
  </si>
  <si>
    <t>Conecta este sistema a otra Game Boy Advance en modo Multiboot con un cable link de Game Boy Advance. {NEW}{NEW}Luego, presiona el botón A para comenzar a enviar Poké Trasladador GB a la segunda Game Boy Advance.</t>
  </si>
  <si>
    <t>Por favor conecte esse sistema a outro Game Boy Advance no modo Multiboot através do Cabo Link de Game Boy Advance. {NEW}{NEW}Depois, pressione o botão A para começar a enviar o Poké Transporter GB para o outro Game Boy Advance.</t>
  </si>
  <si>
    <t>send_multiboot_wait</t>
  </si>
  <si>
    <t>ポケムーバーＧＢをもうひとつのゲームボーイアドバンス{NEW}ほんたいにそうしんちゅう。おまちください。{NEW}{NEW}Ｂボタンをながおしでキャンセル。</t>
  </si>
  <si>
    <t>Sending Poké Transporter GB to the second Game Boy Advance system.{NEW}Please wait.{NEW}{NEW}Hold B to cancel.</t>
  </si>
  <si>
    <t>Envoi du Poké Transfert GB vers l’autre Game Boy Advance.{NEW}Veuillez patienter.{NEW}{NEW}Maintenez B pour annuler.</t>
  </si>
  <si>
    <t>Inviando Pokétrasferitore GB ad un altro sistema Game Boy Advance. Attendi.{NEW}{NEW}Tieni premuto il tasto B per annullare.</t>
  </si>
  <si>
    <t>Enviando Poké Trasladador GB al segundo sistema Game Boy Advance.{NEW}Por favor, espera.{NEW}{NEW}Mantén B para cancelar.</t>
  </si>
  <si>
    <t>Enviando Poké Trasladador GB al segundo sistema Game Boy Advance. Por favor, espera.{NEW}{NEW}Mantén presionado B para cancelar.</t>
  </si>
  <si>
    <t>Enviando Poké Transporter GB para o segundo Game Boy Advance. Por favor aguarde. {NEW}{NEW}Segure o botão B para cancelar.</t>
  </si>
  <si>
    <t>send_multiboot_success</t>
  </si>
  <si>
    <t>ポケムーバーＧＢは、ぶじにそうしんされました！{NEW}このゲームボーイアドバンスほんたいのでんげんは{NEW}もうきってもいいです。</t>
  </si>
  <si>
    <t>Poké Transporter GB was sent successfully!{NEW}You may now power off this{NEW}Game Boy Advance system.</t>
  </si>
  <si>
    <t>Poké Transfert GB envoyé avec succès!{NEW}Vous pouvez éteindre la Game Boy Advance source.</t>
  </si>
  <si>
    <t>Pokétrasferitore GB è stato avviato correttamente!{NEW}Ora puoi spegnere questo{NEW}Game Boy Advance.</t>
  </si>
  <si>
    <t>¡Poké Trasladador GB se ha enviado con éxito!{NEW}Puedes apagar esta consola Game Boy Advance.</t>
  </si>
  <si>
    <t>¡Poké Trasladador GB se envió con éxito!{NEW}Ya puedes apagar este sistema{NEW}Game Boy Advance.</t>
  </si>
  <si>
    <t>{NEW}Poké Transporter GB foi enviado com sucesso! Agora você já pode desligar esse GameBoy Advance.</t>
  </si>
  <si>
    <t>send_multiboot_failure</t>
  </si>
  <si>
    <t>ポケムーバーＧＢそうしんちゅうにエラーが{NEW}はっせいしました。せつめいがめんにもどって{NEW}やりなおすには、Ａボタンをおしてください。</t>
  </si>
  <si>
    <t>An error occurred while sending{NEW}Poké Transporter GB.{NEW}{NEW}Press the A button to return to the instructions screen and try again.</t>
  </si>
  <si>
    <t>Une erreur est survenue lors de l’envoi du Poké Transfert GB.{NEW}{NEW}Appuyez sur A pour revenir à l’écran d’instructions puis réessayez.</t>
  </si>
  <si>
    <t>Si è verificato un errore durante il trasferimento.{NEW}{NEW}Premi il tasto A per tornare alla schermata delle istruzioni e riprova.</t>
  </si>
  <si>
    <t>Un error ha ocurrido mientras se enviaba Poké Trasladador GB.{NEW}{NEW}Pulsa el botón A para volver a la pantalla de instrucciones e intentarlo de nuevo.</t>
  </si>
  <si>
    <t>Ocurrió un error al enviar{NEW}Poké Trasladador GB.{NEW}{NEW}Presiona A para volver a la pantalla de instrucciones e inténtalo de nuevo.</t>
  </si>
  <si>
    <t>{NEW}Um erro ocorreu na transferência do Poké Transporter GB. Pressione o botão A para retornar para a tela de instruções e tentar novamente.</t>
  </si>
  <si>
    <t>kanto_name</t>
  </si>
  <si>
    <t>This is used in the Dex to show the number of Pokemon, hence the colon</t>
  </si>
  <si>
    <t>カントー：</t>
  </si>
  <si>
    <t>KANTO:</t>
  </si>
  <si>
    <t>관동:</t>
  </si>
  <si>
    <t>关都：</t>
  </si>
  <si>
    <t>關都：</t>
  </si>
  <si>
    <t>johto_name</t>
  </si>
  <si>
    <t>Ditto ^</t>
  </si>
  <si>
    <t>ジョウト：</t>
  </si>
  <si>
    <t>JOHTO:</t>
  </si>
  <si>
    <t>성도:</t>
  </si>
  <si>
    <t>城都：</t>
  </si>
  <si>
    <t>link_success</t>
  </si>
  <si>
    <t>mediumBox</t>
  </si>
  <si>
    <t>{CTR}ゲームボーイをはっけん！{NEW}こうかんをたいきちゅう‥‥{nCTR}</t>
  </si>
  <si>
    <t>{CTR}Game Boy found!{NEW}Waiting for trade…{nCTR}</t>
  </si>
  <si>
    <t>{CTR}Game Boy trouvée!{NEW}En attente de l’échange…{nCTR}</t>
  </si>
  <si>
    <t>{CTR}Game Boy trovato!{NEW}Attendi per lo scambio…{nCTR}</t>
  </si>
  <si>
    <t>{CTR}¡Game Boy detectada!{NEW}Esperando intercambio…{nCTR}</t>
  </si>
  <si>
    <t>{NEW}{CTR}A conexão foi um sucesso!{nCTR}{CTR}Aguardando troca{nCTR}</t>
  </si>
  <si>
    <t>link_success_yellow</t>
  </si>
  <si>
    <t>This is no longer used.</t>
  </si>
  <si>
    <t>{CTR}せつぞくにせいこう！{NEW}たいせんをたいきちゅう‥‥{nCTR}</t>
  </si>
  <si>
    <t>{CTR}Link was successful!{NEW}Waiting for battle…{nCTR}</t>
  </si>
  <si>
    <t>{CTR}Connexion établie!{NEW}En attente du combat…{nCTR}</t>
  </si>
  <si>
    <t>{CTR}Il collegamento è avvenuto con successo!{NEW}Attendi per la lotta…{nCTR}</t>
  </si>
  <si>
    <t>{CTR}¡Conectado con éxito!{NEW}Esperando batalla…{nCTR}</t>
  </si>
  <si>
    <t>{CTR}¡Conexión exitosa!{NEW}Esperando batalla...{nCTR}</t>
  </si>
  <si>
    <t>{NEW}{CTR}A conexão foi um sucesso!{nCTR}{CTR}Aguardando batalha{nCTR}</t>
  </si>
  <si>
    <t>connecting</t>
  </si>
  <si>
    <t>{CTR}ゲームボーイに{NEW}せつぞくちゅう‥‥{nCTR}</t>
  </si>
  <si>
    <t>{CTR}Connecting to{NEW}Game Boy…{nCTR}</t>
  </si>
  <si>
    <t>{NEW}{CTR}Connexion à{NEW}la Game Boy…{nCTR}</t>
  </si>
  <si>
    <t>{CTR}Connessione al{NEW}Game Boy…{nCTR}</t>
  </si>
  <si>
    <t>{CTR}Conectando con{NEW}Game Boy…{nCTR}</t>
  </si>
  <si>
    <t>{CTR}Conectando a{NEW}Game Boy…{nCTR}</t>
  </si>
  <si>
    <t>{NEW}{CTR}Conectando ao{nCTR}{CTR}Game Boy{nCTR}</t>
  </si>
  <si>
    <t>transferring</t>
  </si>
  <si>
    <t>{CTR}データをつうしんちゅう‥‥{NEW}おまちください！{nCTR}</t>
  </si>
  <si>
    <t>{CTR}Transferring data…{NEW}Please wait!{nCTR}</t>
  </si>
  <si>
    <t>{CTR}Transfert de données…{NEW}Veuillez patienter!{nCTR}</t>
  </si>
  <si>
    <t>{CTR}Trasferimento dati…{NEW}Attendi!{nCTR}</t>
  </si>
  <si>
    <t>{CTR}Transfiriendo datos…{NEW}Espera, por favor{nCTR}</t>
  </si>
  <si>
    <t>{CTR}Transfiriendo datos…{NEW}¡Por favor, espera!{nCTR}</t>
  </si>
  <si>
    <t>{NEW}{CTR}Transferindo dados…{nCTR}{CTR}Por favor aguarde!{nCTR}</t>
  </si>
  <si>
    <t>level</t>
  </si>
  <si>
    <t>This is used in the box menu (Lv:)</t>
  </si>
  <si>
    <t>{LVL}：</t>
  </si>
  <si>
    <t xml:space="preserve">{LVL}: </t>
  </si>
  <si>
    <t>{LVL}</t>
  </si>
  <si>
    <t>{LVL}:</t>
  </si>
  <si>
    <t>lang_mismatch_warning</t>
  </si>
  <si>
    <t>This can be removed once all languages are compatible with each other.
NOTE: Japanese flips the languages, since it will throw the error for a Latin game.</t>
  </si>
  <si>
    <t>ちゅうい！　げんざい、にほんごばんじゃないポケモン{NEW}ゲームは、よみこまれています。このビルドのＰＭＧＢと{NEW}かんぜんなきのうてきごかんせいがあります。しかし、{NEW}テキストをみるとき、グラフィックじょうのもんだいが{NEW}あるかもしれません。しゅうせいがてきおうされるまでの{NEW}あいだ、えいごばんビルドなどをしようすることで、この{NEW}もんだいをかいひできます。よろしくおねがいします。</t>
  </si>
  <si>
    <t>Warning! You currently have a Japanese Pokémon game loaded. This game is fully functionally compatible with this build of PTGB. However, there may be some graphical issues when viewing text. This can be avoided by using the Japanese build until a fix is pushed soon. Thanks!</t>
  </si>
  <si>
    <t>ATTENTION! Un jeu japonais est actuellement inséré. Ce n’est pas un problème pour le bon fonctionnement de PTGB, mais le texte peut subir des bugs purement graphiques. Ceci peut être évité en utilisant la version japonaise de PTGB en attendant un correctif. Merci!</t>
  </si>
  <si>
    <t>Attenzione! Hai caricato una cartuccia Pokémon giapponese. Questo gioco è totalmente compatibile con questa versione di PTGB. Potrebbero però verificarsi problemi grafici quando visualizzi il testo. Usa la versione giapponese in attesa dell’aggiornamento. Grazie!</t>
  </si>
  <si>
    <t>¡Atención! Tienes cargado un juego de Pokémon en japonés. Es totalmente compatible con esta versión de PTGB, pero podrían verse fallas gráficas en el texto. Puedes evitarlo usando la versión japonesa hasta que lancemos una solución muy pronto. ¡Gracias!</t>
  </si>
  <si>
    <t>credits_page_1</t>
  </si>
  <si>
    <t>{CTR}Ｔｈｅ　Ｇｅａｒｓ　ｏｆ　Ｐｒｏｇｒｅｓｓによってつくられた{NEW}{NEW}Ｓｔｒｉａｔｏｎ　Ｌａｂ　Ｔｅａｍによってかいはつされた{nCTR}</t>
  </si>
  <si>
    <t>{CTR}Created by The Gears of Progress{NEW}{NEW}Developed by the Striaton Lab Team{nCTR}</t>
  </si>
  <si>
    <t>{CTR}Créé par The Gears of Progress{NEW}{NEW}Développé par la Striaton Lab Team{nCTR}</t>
  </si>
  <si>
    <t>{CTR}Creato da The Gears of Progress{NEW}{NEW}Sviluppato dal Team Striaton Lab{nCTR}</t>
  </si>
  <si>
    <t>{CTR}Creado por The Gears of Progress{NEW}{NEW}Desarrollado por Team Striaton Lab{nCTR}</t>
  </si>
  <si>
    <t>{CTR}Creado por The Gears of Progress{NEW}{NEW}Desarrollado por el equipo Striaton Lab{nCTR}</t>
  </si>
  <si>
    <t>리드 개발자:{NEW}{NEW}The Gears of Progress</t>
  </si>
  <si>
    <t>Desenvolvedor principal:{NEW}{NEW}The Gears of Progress</t>
  </si>
  <si>
    <t>credits_page_2</t>
  </si>
  <si>
    <t>{CTR}ー　Ｓｔｒｉａｔｏｎ　Ｌａｂ　Ｔｅａｍ　ー{NEW}{NEW}かいはつしゃ：{NEW}-Ｔｈｅ　Ｇｅａｒｓ　ｏｆ　Ｐｒｏｇｒｅｓｓ{nCTR}{SPA}[8]-ＴｉｍｏＶＭ{SPA}[49]-ＲｉｓｉｎｇＰｈｉｌ{NEW}{SPA}[8]-ＥａｓｙＡｓＰｉ３１４{SPA}[8]-ａｅｓｔｅｌｌｉｃ{NEW}{SPA}[8]-Ｅｓｓｏｍｅｔｅｒ{SPA}[25]-ｖｐｒａｉｏｎ{CTR}- ａｎｔｏｉｎｅｏｋ{nCTR}</t>
  </si>
  <si>
    <t>{CTR}- Striaton Lab Team -{NEW}{NEW}Developers:{NEW}-The Gears of Progress{nCTR}{SPA}[26]-TimoVM{SPA}[54]-RisingPhil{NEW}{SPA}[26]-EasyAsPi314{SPA}[24]-aestellic{NEW}{SPA}[26]-Essometer{SPA}[35]-vpraion{CTR}- antoineok{nCTR}</t>
  </si>
  <si>
    <t>{CTR}- Striaton Lab Team -{NEW}{NEW}Développeurs:{NEW}-The Gears of Progress{nCTR}{SPA}[26]-TimoVM{SPA}[54]-RisingPhil{NEW}{SPA}[26]-EasyAsPi314{SPA}[24]-aestellic{NEW}{SPA}[26]-Essometer{SPA}[35]-vpraion{CTR}- antoineok{nCTR}</t>
  </si>
  <si>
    <t>{CTR}- Striaton Lab Team -{NEW}{NEW}Sviluppatori:{NEW}-The Gears of Progress{nCTR}{SPA}[26]-TimoVM{SPA}[54]-RisingPhil{NEW}{SPA}[26]-EasyAsPi314{SPA}[24]-aestellic{NEW}{SPA}[26]-Essometer{SPA}[35]-vpraion{CTR}- antoineok{nCTR}</t>
  </si>
  <si>
    <t>{CTR}- Team Striaton Lab -{NEW}{NEW}Desarrolladores:{NEW}-The Gears of Progress{nCTR}{SPA}[26]-TimoVM{SPA}[54]-RisingPhil{NEW}{SPA}[26]-EasyAsPi314{SPA}{24}-aestellic{NEW}{SPA}[26]-Essometer{SPA}[35]-vpraion{CTR}- antoineok{nCTR}</t>
  </si>
  <si>
    <t>{CTR}- Equipo Striaton Lab -{NEW}{NEW}Desarrollo:{NEW}-The Gears of Progress{nCTR}{SPA}[26]-TimoVM{SPA}[54]-RisingPhil{NEW}{SPA}[26]-EasyAsPi314{SPA}[24]-aestellic{NEW}{SPA}[26]-Essometer{SPA}[35]-vpraion{CTR}- antoineok{nCTR}</t>
  </si>
  <si>
    <t>로고와 및 공동 창안가:{NEW}-Jome{NEW}{NEW}스프라이트 제작자:{NEW}-LJ Birdman</t>
  </si>
  <si>
    <t>Logo e co-idealizador:{NEW}-Jome{NEW}{NEW}Arte de sprites:{NEW}-LJ Birdman</t>
  </si>
  <si>
    <t>credits_page_3</t>
  </si>
  <si>
    <t>{CTR}ー　Ｓｔｒｉａｔｏｎ　Ｌａｂ　Ｔｅａｍ　ー{NEW}{NEW}アーティスト：{NEW}-ＬＪＢｉｒｄｍａｎ{NEW}{NEW}おんがくか：{NEW}-ＡｑｕａｔｉｃＡｌｌｏｙ{NEW}-Ｍｉｎｒａ　Ｓｔａｒｌｉｇｈｔ{nCTR}</t>
  </si>
  <si>
    <t>{CTR}- Striaton Lab Team -{NEW}{NEW}Artists:{NEW}-LJBirdman{NEW}{NEW}Musicians: {NEW}-AquaticAlloy{NEW}-Minra Starlight{nCTR}</t>
  </si>
  <si>
    <t>{CTR}- Striaton Lab Team -{NEW}{NEW}Artistes:{NEW}-LJBirdman{NEW}{NEW}Musiciens:{NEW}-AquaticAlloy{NEW}-Minra Starlight{nCTR}</t>
  </si>
  <si>
    <t>{CTR}- Striaton Lab Team -{NEW}{NEW}Artisti:{NEW}-LJBirdman{NEW}{NEW}Musicisti: {NEW}-AquaticAlloy{NEW}-Minra Starlight{nCTR}</t>
  </si>
  <si>
    <t>{CTR}- Team Striaton Lab -{NEW}{NEW}Artistas:{NEW}-LJBirdman{NEW}{NEW}Músicos:{NEW}-AquaticAlloy{NEW}-Minra Starlight{nCTR}</t>
  </si>
  <si>
    <t>{CTR}- Equipo Striaton Lab -{NEW}{NEW}Arte:{NEW}-LJBirdman{NEW}{NEW}Música:{NEW}-AquaticAlloy{NEW}-Minra Starlight{nCTR}</t>
  </si>
  <si>
    <t>아이콘 스프라이트 제작자:{NEW}-LuigiTKO{NEW}-GuiAbel{NEW}-SourApple{NEW}&amp; POKéMON Showdown과 Crystal Clear의 아티스트들</t>
  </si>
  <si>
    <t>Sprites de ícones: {NEW}-LuigiTKO{NEW}-GuiAbel{NEW}-SourApple{NEW}e os artistas de POKéMON Showdown e Crystal Clear</t>
  </si>
  <si>
    <t>credits_page_4</t>
  </si>
  <si>
    <t>{CTR}ー　Ｓｔｒｉａｔｏｎ　Ｌａｂ　Ｔｅａｍ　ー{NEW}{NEW}ほんやくしゃ：{nCTR}{SPA}[32]にほんご：Ｐｅｔｒｏｓｊｄ{NEW}{SPA}[24]フランスご：Ｌｕｇｉａｄｒｉｅｎ{NEW}{SPA}[32]ドイツご：Ａｙｕｍｅａ{NEW}{SPA}[8]スペインごＥＳ：Ｙｕｒａｉｔｅ{NEW}{CTR}つぎのページにつづく{nCTR}</t>
  </si>
  <si>
    <t>{CTR}- Striaton Lab Team -{NEW}{NEW}Translators:{nCTR}{SPA}[35]Japanese: Petrosjd{NEW}{SPA}[48]French: Lugiadrien{NEW}{SPA}[48]German: Ayumea{NEW}{SPA}[25]Spanish-ES: Yuraite{NEW}{CTR}CONTINUED▶{nCTR}</t>
  </si>
  <si>
    <t>{CTR}- Striaton Lab Team -{NEW}{NEW}Traducteurs:{nCTR}{SPA}[37]Japonais: Petrosjd{NEW}{SPA}[38]Français: Lugiadrien{NEW}{SPA}[39]Allemand: Ayumea{NEW}{SPA}[19]Espagnol-ES: Yuraite{NEW}{CTR}SUITE▶{nCTR}</t>
  </si>
  <si>
    <t>{CTR}- Striaton Lab Team -{NEW}{NEW}Traduttori:{nCTR}{SPA}[25]Giapponese: Petrosjd{NEW}{SPA}[36]Francese: Lugiadrien{NEW}{SPA}[41]Tedesco: Ayumea{NEW}{SPA}[19]Spagnolo-ES: Yuraite{NEW}{CTR}CONTINUA▶{nCTR}</t>
  </si>
  <si>
    <t>{CTR}- Team Striaton Lab -{NEW}{NEW}Traductores:{nCTR}{SPA}[35]Japonés: Petrosjd{NEW}{SPA}[48]Francés: Lugiadrien{NEW}{SPA}[48]Alemán: Ayumea{NEW}{SPA}[25]Español-ES: Yuraite{NEW}{CTR}CONTINÚA▶{nCTR}</t>
  </si>
  <si>
    <t xml:space="preserve">{CTR}- Equipo Striaton Lab -{NEW}{NEW}Traducción:{nCTR}{SPA}[35]Japonés: Petrosjd{NEW}{SPA}[48]Francés: Lugiadrien{NEW}{SPA}[48]Alemán: Ayumea{NEW}{SPA}[25]Español-ES: Yuraite{NEW}{CTR}CONTINÚA▶{nCTR}
</t>
  </si>
  <si>
    <t>Assistência de execução de código remoto e arbitrário:{NEW}-TimoVM</t>
  </si>
  <si>
    <t>credits_page_5</t>
  </si>
  <si>
    <t>{CTR}ー　Ｓｔｒｉａｔｏｎ　Ｌａｂ　Ｔｅａｍ　ー{NEW}{NEW}ほんやくしゃ：{nCTR}{SPA}[24]イタリアご：Ｄ・「Ｌａｇｇｅｒ」Ｇａｒｌｉｎｉ{NEW}{SPA}[72]Ａ・Ｃｈｉｅｆｆｉ{NEW}{SPA}[8]スペインごＬＡ：Ｃｈｒｉｓｔóｂａｌ{NEW}{SPA}[24]ブラポルご：Ｈｙｄ</t>
  </si>
  <si>
    <t>{CTR}- Striaton Lab Team -{NEW}{NEW}Translators:{nCTR}{SPA}[45]Italian: D. ‘Lagger’ Garlini{NEW}{SPA}[92]A. Chieffi{NEW}{SPA}[25]Spanish-LA: Christóbal{NEW}{SPA}[6]Portuguese-BR: Hyd</t>
  </si>
  <si>
    <t>{CTR}- Striaton Lab Team -{NEW}{NEW}Traducteurs:{nCTR}{SPA}[45]Italien: Lagger / alechieffi{NEW}{SPA}[19]Espagnol-LA: Cristóbal{NEW}{SPA}[14]Portugais-BR: Hyd</t>
  </si>
  <si>
    <t>{CTR}- Striaton Lab Team -{NEW}{NEW}Traduttori:{nCTR}{SPA}[39]Italiano: D. ‘Lagger’ Garlini{NEW}{SPA}[92]A. Chieffi{NEW}{SPA}[19]Spagnolo-LA: Christóbal{NEW}{SPA}[6]Portoghese-BR: Hyd</t>
  </si>
  <si>
    <t>{CTR}- Team Striaton Lab -{NEW}{NEW}Traductores:{nCTR}{SPA}[45]Italiano: D. 'Lagger' Garlini{NEW}{SPA}[92]A. Chieffi{NEW}{SPA}[25]Español-LA: Christóbal{NEW}{SPA}[6]Portugués-BR: Hyd</t>
  </si>
  <si>
    <t xml:space="preserve">{CTR}- Equipo Striaton Lab -{NEW}{NEW}Traducción:{nCTR}{SPA}[45]Italiano: D. ‘Lagger’ Garlini{NEW}{SPA}[92]A. Chieffi{NEW}{SPA}[25]Español-LA: Cristóbal Sepúlveda{NEW}{SPA}[6]Portugués-BR: Hyd
</t>
  </si>
  <si>
    <t>Assistência de desenvolvimento:{NEW}-im a blisy{NEW}-rileyk64{NEW}-Shao</t>
  </si>
  <si>
    <t>credits_page_6</t>
  </si>
  <si>
    <t>{CTR}かいはつえんじょ：{NEW}-ｉｍ　ａ　ｂｌｉｓｙ{NEW}-ｒｉｌｅｙｋ６４{NEW}-Ｓｈａｏ{nCTR}</t>
  </si>
  <si>
    <t>{CTR}Development assistance:{NEW}-im a blisy{NEW}-rileyk64{NEW}-Shao{nCTR}</t>
  </si>
  <si>
    <t>{CTR}Support au développement:{NEW}-im a blisy{NEW}-rileyk64{NEW}-Shao{nCTR}</t>
  </si>
  <si>
    <t>{CTR}Sviluppatori aggiuntivi:{NEW}-im a blisy{NEW}-rileyk64{NEW}-Shao{nCTR}</t>
  </si>
  <si>
    <t>{CTR}Asistencia en el desarrollo:{NEW}-im a blisy{NEW}-rileyk64{NEW}-Shao{nCTR}</t>
  </si>
  <si>
    <t>{CTR}Asistencia de desarrollo:{NEW}-im a blisy{NEW}-rileyk64{NEW}-Shao{nCTR}</t>
  </si>
  <si>
    <t>Otimização de espaço:{NEW}-easyaspi314{NEW}{NEW}Funcionalidade de Multiboot remoto e compressão de dados:{NEW}-risingPhil</t>
  </si>
  <si>
    <t>credits_page_7</t>
  </si>
  <si>
    <t>{CTR}このライブラリーでビルドできた：{NEW}-ＤｅｖｋｉｔＰｒｏ{NEW}-ＬｉｂＴｏｎｃ{nCTR}</t>
  </si>
  <si>
    <t>{CTR}Built using:{NEW}-DevkitPro{NEW}-LibTonc{NEW}{nCTR}</t>
  </si>
  <si>
    <t>{CTR}Monté avec:{NEW}-DevkitPro{NEW}-LibTonc{NEW}{nCTR}</t>
  </si>
  <si>
    <t>{CTR}Sviluppato con:{NEW}-DevkitPro{NEW}-LibTonc{NEW}{nCTR}</t>
  </si>
  <si>
    <t>{CTR}Construido usando:{NEW}-DevkitPro{NEW}-LibTonc{NEW}{nCTR}</t>
  </si>
  <si>
    <t>{CTR}Desarrollado con:{NEW}-DevkitPro{NEW}-LibTonc{NEW}{nCTR}</t>
  </si>
  <si>
    <t>Construído usando:{NEW}-DevkitPro{NEW}-LibTonc{NEW}-LibGBA</t>
  </si>
  <si>
    <t>credits_page_8</t>
  </si>
  <si>
    <t>{CTR}このひとびとのできごとからひらめきをえた：{NEW}-Ｇｏｐｐｉｅｒ{NEW}-Ｌｏｒｅｎｚｏｏｏｎｅ{NEW}-ｉｍ　ａ　ｂｌｉｓｙ{NEW}-ＲＥＴＩＲＥ{nCTR}</t>
  </si>
  <si>
    <t>{CTR}Inspired by the works of:{NEW}-Goppier{NEW}-Lorenzooone{NEW}-im a blisy{NEW}-RETIRE{nCTR}</t>
  </si>
  <si>
    <t>{CTR}Inspiré du travail de:{NEW}-Goppier{NEW}-Lorenzooone{NEW}-im a blisy{NEW}-RETIRE{nCTR}</t>
  </si>
  <si>
    <t>{CTR}Ispirato dai progetti di:{NEW}-Goppier{NEW}-Lorenzooone{NEW}-im a blisy{NEW}-RETIRE{nCTR}</t>
  </si>
  <si>
    <t>{CTR}Inspirado por los trabajos de:{NEW}-Goppier{NEW}-Lorenzooone{NEW}-im a blisy{NEW}-RETIRE{nCTR}</t>
  </si>
  <si>
    <t>Inspirado pelos trabalhos de:{NEW}-Goppier{NEW}-Lorenzooone{NEW}-im a blisy{NEW}-RETIRE</t>
  </si>
  <si>
    <t>credits_page_9</t>
  </si>
  <si>
    <t>{CTR}つかわれたプログラム：{NEW}-ＨｅｘＭａｎｉａｃＡｄｖａｎｃｅ{NEW}-ＰＫＨｅＸ{NEW}-ＷＣ３Ｔｏｏｌ{NEW}-Ｕｓｅｎｔｉ{NEW}-ＳａｐｐｙＭｉｄＴｏＡＧＢ{nCTR}</t>
  </si>
  <si>
    <t>{CTR}Programs used:{NEW}-HexManiacAdvance{NEW}-PKHeX{NEW}-WC3Tool{NEW}-Usenti{NEW}-SappyMidToAGB{nCTR}</t>
  </si>
  <si>
    <t>{CTR}Programmes utilisés:{NEW}-HexManiacAdvance{NEW}-PKHeX{NEW}-WC3Tool{NEW}-Usenti{NEW}-SappyMidToAGB{nCTR}</t>
  </si>
  <si>
    <t>{CTR}Programmi utilizzati:{NEW}-HexManiacAdvance{NEW}-PKHeX{NEW}-WC3Tool{NEW}-Usenti{NEW}-SappyMidToAGB{nCTR}</t>
  </si>
  <si>
    <t>{CTR}Programas usados:{NEW}-HexManiacAdvance{NEW}-PKHeX{NEW}-WC3Tool{NEW}-Usenti{NEW}-SappyMidToAGB</t>
  </si>
  <si>
    <t>{CTR}Programas usados:{NEW}-HexManiacAdvance{NEW}-PKHeX{NEW}-WC3Tool{NEW}-Usenti{NEW}-SappyMidToAGB{nCTR}</t>
  </si>
  <si>
    <t>Programas usados:{NEW}-HexManiacAdvance{NEW}-PKHeX{NEW}-WX3Tool{NEW}-Usenti{NEW}-SappyMidToAGB</t>
  </si>
  <si>
    <t>credits_page_10</t>
  </si>
  <si>
    <t>{CTR}オープンソースコードとライブラリー：{NEW}-ｌｉｂｔｏｎｃ-ｅｘａｍｐｌｅｓ{NEW}-ＰｏｋｅｍｏｎＧｅｎ３ｔｏＧｅｎＸ{NEW}-ｇｂａ-ｌｉｎｋ-ｃｏｎｎｅｃｔｉｏｎ{NEW}-ａｗｅｓｏｍｅ-ｇｂａｄｅｖ{NEW}-ａｒｄｕｉｎｏ-ｐｏｋｅ-ｇｅｎ２{nCTR}</t>
  </si>
  <si>
    <t>{CTR}Open Source Code and Libraries:{NEW}-libtonc-examples{NEW}-PokemonGen3toGenX{NEW}-gba-link-connection{NEW}-awesome-gbadev{NEW}-arduino-poke-gen2{nCTR}</t>
  </si>
  <si>
    <t>{CTR}Code Open Source et bibliothèques:{NEW}-libtonc-examples{NEW}-PokemonGen3toGenX{NEW}-gba-link-connection{NEW}-awesome-gbadev{NEW}-arduino-poke-gen2{nCTR}</t>
  </si>
  <si>
    <t>{CTR}Codice open source e librerie:{NEW}-libtonc-examples{NEW}-PokemonGen3toGenX{NEW}-gba-link-connection{NEW}-awesome-gbadev{NEW}-arduino-poke-gen2{nCTR}</t>
  </si>
  <si>
    <t>{CTR}Código fuente abierto y librerías:{NEW}-libtonc-examples{NEW}PokemonGen3toGenX{NEW}-gba-link-connection{NEW}-awesome-gbadev{NEW}-arduino-poke-gen2{nCTR}</t>
  </si>
  <si>
    <t>{CTR}Código fuente abierto y librerías:{NEW}-libtonc-examples{NEW}-PokemonGen3toGenX{NEW}-gba-link-connection{NEW}-awesome-gbadev{NEW}-arduino-poke-gen2{nCTR}</t>
  </si>
  <si>
    <t>Código Open Source e Libraries:{NEW}-libtonc-examples{NEW}-PokemonGen3toGenX{NEW}-gba-link-connection{NEW}-awesome-gbadev{NEW}-arduino-poke-gen2</t>
  </si>
  <si>
    <t>credits_page_11</t>
  </si>
  <si>
    <t>{CTR}けんきゅうリソース：{NEW}-ａｒｍ-ｄｏｃｓ{NEW}-ＰｏｋｅｍｏｎＧｅｎ３ｔｏＧｅｎＸ{NEW}{NEW}すべてのリンクはこのプログラムのＧｉｔＨｕｂで{NEW}みつけることができます{nCTR}</t>
  </si>
  <si>
    <t>{CTR}Research resources:{NEW}-arm-docs{NEW}-PokemonGen3toGenX{NEW}{NEW}Full links can be found on this program’s GitHub{nCTR}</t>
  </si>
  <si>
    <t>{CTR}Ressources des recherches:{NEW}-arm-docs{NEW}-PokemonGen3toGenX{NEW}{NEW}Tous les liens sont disponibles sur le Github du programme{nCTR}</t>
  </si>
  <si>
    <t>{CTR}Fonti di ricerca:{NEW}-arm-docs{NEW}-PokemonGen3toGenX{NEW}{NEW}I link completi possono essere trovati sul GitHub di questo programma.{nCTR}</t>
  </si>
  <si>
    <t>{CTR}Recursos de investigación:{NEW}-arm-docs{NEW}-PokemonGen3toGenX{NEW}{NEW}Enlaces completos pueden encontrarse en el GitHub de este programa{nCTR}</t>
  </si>
  <si>
    <t>{CTR}Recursos de investigación:{NEW}-arm-docs{NEW}-PokemonGen3toGenX{NEW}Los enlaces completos se pueden encontrar en el GitHub de este programa{nCTR}</t>
  </si>
  <si>
    <t>Research resources:{NEW}-arm-docs{NEW}-PokemonGen3toGenX{NEW}{NEW}Full links can be found on this program’s GitHub</t>
  </si>
  <si>
    <t>credits_page_12</t>
  </si>
  <si>
    <t>{CTR}ロムのデータは、Ｎａｒｉｓｈｍａ-ｇｂとＰＲＥＴの{NEW}チームがデコンパイルしたもの、そして、はてなブログの{NEW}おせけんがおこなったリサーチからきました。{nCTR}</t>
  </si>
  <si>
    <t>{CTR}ROM data obtained from decompilations created by the PRET team and Narishma-gb, as well as research on the Hatena Blog of vs prof oak, aka “Oseken”{nCTR}</t>
  </si>
  <si>
    <t>{CTR}Données de ROM obtenues par{NEW}les décompilaltions créées par{NEW}la team PRET et Narishma-gb,{NEW}ainsi que les recherches sur{NEW}le Hatena Blog de vs prof oak,{NEW}alias « Oseken »{nCTR}</t>
  </si>
  <si>
    <t>{CTR}I dati delle ROM sono stati ottenuti dalle decompilazioni create dal team PRET.{nCTR}</t>
  </si>
  <si>
    <t>{CTR}Datos de ROMs obtenidos de decompilaciones creadas por el equipo PRET{nCTR}</t>
  </si>
  <si>
    <t>{CTR}Datos de ROM obtenidos de descompilaciones creadas por el equipo PRET y Narishma-gb, además de investigaciones realizadas por Hatena Blogのvs prof oak{nCTR}</t>
  </si>
  <si>
    <t>Dados das ROMs obtidos das descompilações criadas pela equipe PRET</t>
  </si>
  <si>
    <t>credits_page_13</t>
  </si>
  <si>
    <t>{CTR}ポケモンのデータのもと：{NEW}-Ｂｕｌｂａｐｅｄｉａ{NEW}-Ｓｅｒｅｂｉｉ{NEW}-ＰｏｋｅＡＰＩ.{SPA}[0]ｃｏｍ{nCTR}</t>
  </si>
  <si>
    <t>{CTR}POKéMON data obtained from:{NEW}-Bulbapedia{NEW}-Serebii{NEW}-PokeAPI.com{nCTR}</t>
  </si>
  <si>
    <t>{CTR}Données des POKéMON obtenues sur:{NEW}-Bulbapedia{NEW}-Serebii{NEW}-PokeAPI.com{nCTR}</t>
  </si>
  <si>
    <t>{CTR}I dati dei POKéMON sono stati ottenuti da:{NEW}-Bulbapedia{NEW}-Serebii{NEW}-PokeAPI.com{nCTR}</t>
  </si>
  <si>
    <t>{CTR}Datos de POKéMON obtenidos de:{NEW}-Bulbapedia{NEW}-Serebii{NEW}-PokeAPI.com{nCTR}</t>
  </si>
  <si>
    <t>Dados dos POKéMON obtidos de: {NEW}-Bulbapedia{NEW}-Serebii{NEW}-PokeAPI.com</t>
  </si>
  <si>
    <t>credits_page_14</t>
  </si>
  <si>
    <t>{CTR}Ｄｉｓｃｏｒｄコミュニティーのえんじょ：{NEW}-Ｈｅｘ　Ｍａｎｉａｃ　Ａｄｖａｎｃｅ{NEW}Ｄｅｖｅｌｏｐｍｅｎｔ{NEW}-ｇｂａｄｅｖ{NEW}-ｐｒｅｔ{nCTR}</t>
  </si>
  <si>
    <t>{CTR}Discord community assistance:{NEW}-Hex Maniac Advance{NEW} Development{NEW}-gbadev{NEW}-pret{nCTR}</t>
  </si>
  <si>
    <t>{CTR}Support communautaire Discord:{NEW}-Hex Maniac Advance{NEW}Développement{NEW}-gbadev{NEW}-pret{nCTR}</t>
  </si>
  <si>
    <t>{CTR}Supporto Discord{NEW}-Hex Maniac Advance{NEW} Sviluppo{NEW}-gbadev{NEW}-pret{nCTR}</t>
  </si>
  <si>
    <t>{CTR}Asistencia de la comunidad de Discord:{NEW}-Hex Maniac Advance{NEW}Development{NEW}-gbadev{NEW}-pret{nCTR}</t>
  </si>
  <si>
    <t>{CTR}Asistencia de la comunidad de Discord:{NEW}-Hex Maniac Advance{NEW} Development{NEW}-gbadev{NEW}-pret{nCTR}</t>
  </si>
  <si>
    <t>Ajuda com a comunidade do Discord:{NEW}-Hex Maniac Advance{NEW} Desenvolvimento{NEW}-gbadev{NEW}-pret</t>
  </si>
  <si>
    <t>credits_page_15</t>
  </si>
  <si>
    <t>{CTR}さくぶんえんじょ：{NEW}-Ｍａｄ{nCTR}</t>
  </si>
  <si>
    <t>{CTR}Writing assistance:{NEW}-Mad{nCTR}</t>
  </si>
  <si>
    <t>{CTR}Aide à l’écriture:{NEW}-Mad{nCTR}</t>
  </si>
  <si>
    <t>{CTR}Aiuto scrittura:{NEW}-Mad{nCTR}</t>
  </si>
  <si>
    <t>{CTR}Asistencia de redacción:{NEW}-Mad{nCTR}</t>
  </si>
  <si>
    <t>Assistência de escrita: {NEW}-Mad</t>
  </si>
  <si>
    <t>credits_page_16</t>
  </si>
  <si>
    <t>{CTR}セーブデータのよみこみ、そして、かきこみのてつだいを{NEW}してくださったＬｏｒｅｎｚｏｏｏｎｅへのひじょうに{NEW}おおきなありがとうございますをもうしあげます。{NEW}そのてつだいぬきでは、このプロジェクトは{NEW}ふかのうでした。{nCTR}</t>
  </si>
  <si>
    <t>{CTR}An immense thanks to Lorenzooone for their assistance in reading &amp; writing save data. Without them, this project would not have been possible.{nCTR}</t>
  </si>
  <si>
    <t>{CTR}Un grand merci à Lorenzooone pour son aide à la lecture et l’écriture des données de sauvegarde.{NEW}Sans iel, ce projet n’aurait jamais été possible.{nCTR}</t>
  </si>
  <si>
    <t>{CTR}Un grande ringraziamento a Lorenzooone per il suo aiuto nella lettura e la scrittura dei dati di salvataggio. Senza di essi, questo progetto non sarebbe stato possibile.{nCTR}</t>
  </si>
  <si>
    <t>{CTR}Un inmenso agradecimiento a Lorenzooone por su asistencia en la lectura y escritura de los archivos de guardado. Sin su apoyo, este proyecto no habría sido posible.{nCTR}</t>
  </si>
  <si>
    <t>{CTR}Un gran agradecimiento a Lorenzooone por su ayuda en{NEW}la lectura y escritura de las{NEW}partidas. Sin su apoyo,{NEW} este proyecto no existiría.{nCTR}</t>
  </si>
  <si>
    <t>Um grande obrigado para Lorenzooone por sua assistência em leitura &amp; escrita dos dados de salvamento do jogo. Sem isso esse projeto não seria possível.</t>
  </si>
  <si>
    <t>credits_page_17</t>
  </si>
  <si>
    <t>{CTR}ｒｏｋｕ、Ｓｌｅｅｐｙ、Ｅｚａ、{NEW}ｓａｒａｈｔｏｎｉｎ、Ｂａｓａｂｉ、Ｍａｄ、そして、{NEW}なんすうねんもこのせいさくについてのはなしをきいて{NEW}くれたみなさまへ、とくべつなありがとうございますを！{nCTR}</t>
  </si>
  <si>
    <t>{CTR}Special thanks to roku, Sleepy, Eza, sarahtonin, Basabi, Mad, and everyone who has listened to me talk about this for multiple years!{nCTR}</t>
  </si>
  <si>
    <t>{CTR}Remerciements spéciaux à roku, Sleepy, Eza, sarahtonin, Basabi, Mad et toutes celles et ceux qui m’ont écouté parler de ce projet pendant des années!{nCTR}</t>
  </si>
  <si>
    <t>{CTR}Un ringraziamento speciale a roku, Sleepy, Eza, sarahtonin, Basabi, Mad, e a tutti coloro che mi hanno ascoltato in questi anni quando parlavo di questo progetto!{nCTR}</t>
  </si>
  <si>
    <t>{CTR}Agradecimientos especiales a roku, Sleepy, Eza, sarahtonin, Basabi, Mad, ¡y a todo el mundo que me ha escuchado hablar de esto durante años!{nCTR}</t>
  </si>
  <si>
    <t>{CTR}Agradecimientos especiales a roku, Sleepy, Eza, sarahtonin, Basabi, Mad, ¡y a todos los que me han escuchado hablar de esto durante años!{nCTR}</t>
  </si>
  <si>
    <t>Agradecimento especial para roky, Sleepy, Eza, sarahtonin, Basabi, Mad e todos que me ouviram falando sobre isso por vários anos!</t>
  </si>
  <si>
    <t>credits_page_18</t>
  </si>
  <si>
    <t>{CTR}すべてのポケモンのなまえ、ドットえ、かんれんの{NEW}リソースのなまえは、ニンテンドー、クリーチャーズと、{NEW}ゲームフリークのちょさくけんです。{nCTR}</t>
  </si>
  <si>
    <t>{CTR}All POKéMON names, sprites, and names of related resources are copyright Nintendo, Creatures, and GAME FREAK.{nCTR}</t>
  </si>
  <si>
    <t>{CTR}Les noms des POKéMON, les sprites et les noms de toute ressource y étant relatives sont la propriété de Nintendo, Creatures et GAME FREAK.{nCTR}</t>
  </si>
  <si>
    <t>{CTR}Tutti i nomi POKéMON, gli sprites,{NEW}e i tutti i nomi relativi alle opere sono copyright di Nintendo, Creatures, e GAME FREAK.{nCTR}</t>
  </si>
  <si>
    <t>{CTR}Todos los nombres de POKéMON, sprites y nombres de recursos relacionados son copyright de Nintendo, Creatures y GAME FREAK.{nCTR}</t>
  </si>
  <si>
    <t>{CTR}Todos los nombres de POKéMON, sprites y nombres de recursos relacionados son propiedad de Nintendo, Creatures y{NEW}GAME FREAK.{nCTR}</t>
  </si>
  <si>
    <t>Todos os nomes dos POKéMON, suas imagens e nomes de recursos relacionados são propriedades da Nintendo, Creatures e GAME FREAK.</t>
  </si>
  <si>
    <t>credits_page_19</t>
  </si>
  <si>
    <t>{CTR}このプロジェクトは、ゲームフリーク/ニンテンドーに{NEW}よって、しょうにんされていません。{NEW}{NEW}げんさくしゃをサポートしてください。{nCTR}</t>
  </si>
  <si>
    <t>{CTR}This project is not endorsed or supported by GAME FREAK/Nintendo.{NEW}{NEW}Please support the original developers.{nCTR}</t>
  </si>
  <si>
    <t>{CTR}Ce projet n’est ni approuvé ni soutenu par GAME FREAK/Nintendo.{NEW}{NEW}Merci de soutenir les développeurs originaux.{nCTR}</t>
  </si>
  <si>
    <t>{CTR}Questo progetto non è sostenuto o supportato da GAME FREAK/Nintendo.{NEW}{NEW}Si prega di supportare gli sviluppatori originali.{nCTR}</t>
  </si>
  <si>
    <t>{CTR}Este proyecto no está avalado ni apoyado por GAME FREAK o Nintendo.{NEW}{NEW}Por favor, apoya a los desarrolladores originales.{nCTR}</t>
  </si>
  <si>
    <t>{CTR}Este proyecto no está avalado ni respaldado por GAME FREAK/Nintendo.{NEW}{NEW}Por favor, apoya a los desarrolladores originales.{nCTR}</t>
  </si>
  <si>
    <t>Esse projeto não é aprovado ou suportado pela GRAME FREAK/Nintendo.{NEW}{NEW}Por favor apoie os desenvolvedores originais.</t>
  </si>
  <si>
    <t>TUTORIAL</t>
  </si>
  <si>
    <t>tutorial_page_1</t>
  </si>
  <si>
    <t>{CTR}ー　ひつようなきき　ー{nCTR}・このゲームボーイアドバンス{NEW}・もうひとつのゲームボーイアドバンス、または、{NEW}{SPA}[8]ゲームボーイカラー{NEW}・ゲームボーイカラーせんようつうしんケーブル{NEW}・ゲームボーイアドバンスせんようつうしんケーブル{NEW}{SPA}[8]---にんい、マルチブートせんよう---{NEW}{SPA}[192]つぎ</t>
  </si>
  <si>
    <t>{CTR}- REQUIRED EQUIPMENT -{nCTR}・This Game Boy Advance{NEW}・Another Game Boy Advance or{NEW}{SPA}[3]a Game Boy Color{NEW}・Game Boy Color Link Cable{NEW}・Game Boy Advance Link Cable{NEW}{SPA}[3](optional, for Multiboot only){NEW}{SPA}[201]➡</t>
  </si>
  <si>
    <t>{CTR}- MATÉRIEL REQUIS -{nCTR}・Cette Game Boy Advance{NEW}・Une autre Game Boy Advance ou{NEW}{SPA}[3]une Game Boy Color{NEW}・Un Câble Link de Game Boy Color{NEW}・Un Câble Link de Game Boy Advance{NEW}{SPA}[3](optionnel,  Multiboot uniquement){NEW}{SPA}[201]➡</t>
  </si>
  <si>
    <t>{CTR}- STRUMENTI RICHIESTI -{nCTR}・Questo Game Boy Advance{NEW}・Un altro Game Boy Advance o{NEW}{SPA}[3]un Game Boy Color{NEW}・Cavo Game Link per Game Boy Color {NEW}・Cavo Game Link per Game Boy Advance (opzionale, per Multiboot){NEW}{SPA}[201]➡</t>
  </si>
  <si>
    <t>{CTR}- EQUIPO REQUERIDO -{nCTR}・Esta Game Boy Advance{NEW}・Otra Game Boy Advance o{NEW}{SPA}[3]una Game Boy Color{NEW}・Cable Link de Game Boy Color{NEW}・Cable Link de Game Boy Advance{NEW}{SPA}[3](opcional, solo para Multiboot){NEW}{SPA}[201]➡</t>
  </si>
  <si>
    <t>tutorial_page_2</t>
  </si>
  <si>
    <t>{CTR}ー　ゲームのごじゅんび　ー{nCTR}{NEW}ゲームボーイアドバンスのようきゅうじこう：{NEW}・でんどういりしたことがあること{NEW}・ふしぎなおくりものがゆうこうであること{NEW}・てんそうされたポケモンぶんのじゅうぶんなスペースが{NEW}{SPA}[8]パソコンのボックスにあることをかくにんすること{NEW}まえ{SPA}[176]つぎ</t>
  </si>
  <si>
    <t>{CTR}- PREPARE YOUR GAMES -{nCTR}{NEW}Game Boy Advance game requirements:{NEW}・Have entered the HALL OF FAME{NEW}・MYSTERY GIFT enabled{NEW}・Make sure your PC has enough space to receive the transferred POKéMON{NEW}⬅{SPA}[194]➡</t>
  </si>
  <si>
    <t>{CTR}- PRÉPARER SES JEUX -{nCTR}{NEW}Préréquis des jeux Game Boy Advance:{NEW}・Être entré au PANTHEON{NEW}・CADEAU MYSTERE activé{NEW}・Assez d’espace dans le PC pour{NEW}{SPA}[3]recevoir les POKéMON transférés{NEW}⬅{SPA}[194]➡</t>
  </si>
  <si>
    <t>{CTR}- PREPARAZIONE -{nCTR}Requisiti di gioco per Game Boy Advance:{NEW}・Essendo entrato nella SALA D’ONORE{NEW}・Abilitato il DONO SEGRETO{NEW}・Spazio sufficiente sul PC per ricevere i Pokémon trasferiti{NEW}⬅{SPA}[194]➡</t>
  </si>
  <si>
    <t>{CTR}- PREPARA TUS JUEGOS -{nCTR}Requisitos para juego de Game Boy Advance:{NEW}・Haber entrado en el HALL DE LA FAMA{NEW}・REGALO MISTERIOSO habilitado{NEW}・Suficiente espacio en el PC para recibir los POKéMON transferidos{NEW}⬅{SPA}[194]➡</t>
  </si>
  <si>
    <t>{CTR}- PREPARA TUS JUEGOS -{nCTR}Requisitos para juego de Game Boy Advance:{NEW}・Haber entrado en el SALÓN DE LA FAMA{NEW}・REGALO MISTERIOSO habilitado{NEW}・Suficiente espacio en la PC para recibir los POKéMON transferidos{NEW}⬅{SPA}[194]➡</t>
  </si>
  <si>
    <t>tutorial_page_3</t>
  </si>
  <si>
    <t>{CTR}ー　ゲームのごじゅんび　ー{NEW}ルビーとサファイアでのふしぎなおくりものを{NEW}ゆうこうにするほうほう{nCTR}{NEW}トウカシティのポケモンセンターで、パソコンのよこに{NEW}いるひとにつぎのようにいうこと：{NEW}{CTR}ふしぎ　できごと　わくわく　ドキドキ{nCTR}まえ{SPA}[176]つぎ</t>
  </si>
  <si>
    <t>{CTR}- PREPARE YOUR GAMES -{NEW}How to activate the MYSTERY GIFT{NEW}in RUBY &amp; SAPPHIRE{nCTR}{NEW}In PETALBURG POKéMON CENTER,{NEW}tell the man next to the PC:{NEW}{CTR}MYSTERY EVENT IS EXCITING{nCTR}⬅{SPA}[194]➡</t>
  </si>
  <si>
    <t>{CTR}- PRÉPARER SES JEUX -{NEW}Activer le CADEAU MYSTERE dans{NEW}RUBIS &amp; SAPHIR{nCTR}{NEW}CENTRE POKéMON de CLEMENTI-VILLE, répondez à l’homme près du PC:{NEW}{CTR}EVENEMENT MYSTERE EST PASSIONNANT{nCTR}⬅{SPA}[194]➡</t>
  </si>
  <si>
    <t>{CTR}- PREPARAZIONE -{NEW}Come attivare il DONO SEGRETO in{NEW}RUBINO &amp; ZAFFIRO{nCTR}{NEW}Al CENTRO POKéMON DI PETALIPOLI,{NEW}riferisci all’uomo vicino al PC:{NEW}{CTR}EVENTO SEGRETO È FANTASTICO{nCTR}⬅{SPA}[194]➡</t>
  </si>
  <si>
    <t>{CTR}- PREPARA TUS JUEGOS -{NEW}Cómo activar el REGALO MISTERIOSO en{NEW}RUBÍ y ZAFIRO{nCTR}{NEW}En el CENTRO POKéMON de CIUDAD PETALIA, dile al hombre al lado del PC:{NEW}{CTR}REGALO MISTERIOSO ES DEMASIADO{nCTR}⬅{SPA}[194]➡</t>
  </si>
  <si>
    <t>{CTR}- PREPARA TUS JUEGOS -{NEW}Cómo activar el REGALO MISTERIOSO en{NEW}RUBÍ y ZAFIRO{nCTR}{NEW}En el CENTRO POKéMON de CIUDAD PETALBURGO, dile al hombre al lado de la PC:{NEW}{CTR}REGALO MISTERIOSO ES EMOCIONANTE{nCTR}⬅{SPA}[194]➡</t>
  </si>
  <si>
    <t>tutorial_page_4</t>
  </si>
  <si>
    <t>{CTR}ー　ゲームのごじゅんび　ー{NEW}ファイヤーレッド、リーフグリーンとエメラルドでの{NEW}ふしぎなおくりものをゆうこうにするほうほう{nCTR}{NEW}フレンドリィショップで、カウンターにあるアンケートを{NEW}つぎのようにこたえること：{NEW}{CTR}ともだち　いっぱい　ふしぎ　つうしん{nCTR}まえ{SPA}[176]つぎ</t>
  </si>
  <si>
    <t>{CTR}- PREPARE YOUR GAMES -{NEW}How to activate the MYSTERY GIFT{NEW}in FIRE RED, LEAF GREEN &amp; EMERALD{nCTR}{NEW}In a POKéMON MART, fill out the questionnaire as follows:{NEW}{CTR}LINK TOGETHER WITH ALL{nCTR}⬅{SPA}[194]➡</t>
  </si>
  <si>
    <t>{CTR}- PRÉPARER SES JEUX -{NEW}Activer le CADEAU MYSTERE dans{NEW}ROUGE FEU, VERT FEUILLE &amp; ÉMERAUDE{nCTR}{NEW}Dans une BOUTIQUE POKéMON, répondez au questionnaire sur le comptoir:{NEW}{CTR}CONNEXION AVEC LES DRESSEUR{nCTR}⬅{SPA}[194]➡</t>
  </si>
  <si>
    <t>{CTR}- PREPARAZIONE -{NEW}Come attivare il DONO SEGRETO in{NEW}ROSSO FUOCO, VERDE FOGLIA, SMERALDO{nCTR}{NEW}In un POKéMON-MARKET, compila il questionario come segue:{NEW}{CTR}INSIEME IN LINK !{nCTR}⬅{SPA}[194]➡</t>
  </si>
  <si>
    <t>{CTR}- PREPARA TUS JUEGOS -{NEW}Cómo activar el REGALO MISTERIOSO en{NEW}ROJO FUEGO, VERDE HOJA y ESMERALDA{nCTR}{NEW}En una TIENDA POKéMON, rellena el cuestionario del siguiente modo:{NEW}{CTR}CONEXIÓN CON TODOS{nCTR}⬅{SPA}[194]➡</t>
  </si>
  <si>
    <t>tutorial_page_5</t>
  </si>
  <si>
    <t>{CTR}ー　ゲームのごじゅんび　ー{nCTR}{NEW}ゲームボーイのようきゅうじこう：{NEW}・げんざい、パソコンでせんたくされているボックスは、{NEW}{SPA}[8]てんそうもとにしたいボックスになっていることを{NEW}{SPA}[8]かくにんすること{NEW}{NEW}まえ{SPA}[176]つぎ</t>
  </si>
  <si>
    <t>{CTR}- PREPARE YOUR GAMES -{nCTR}{NEW}Game Boy game requirements:{NEW}・Make sure the current active BOX in your PC is the one you want to transfer POKéMON from{NEW}{NEW}⬅{SPA}[194]➡</t>
  </si>
  <si>
    <t>{CTR}- PRÉPARER SES JEUX -{nCTR}{NEW}Préréquis des jeux Game Boy:{NEW}・S’assurer que la BOITE active du PC soit celle à partir de laquelle vous voulez transférer vos POKéMON{NEW}{NEW}⬅{SPA}[194]➡</t>
  </si>
  <si>
    <t>{CTR}- PREPARAZIONE -{nCTR}{NEW}Requisiti nel gioco per Game Boy:{NEW}・Assicurati che il BOX nel tuo PC sia quello da cui intendi trasferire i POKéMON{NEW}{NEW}⬅{SPA}[194]➡</t>
  </si>
  <si>
    <t>{CTR}- PREPARA TUS JUEGOS -{nCTR}{NEW}Requisitos para juego de Game Boy:{NEW}・Asegúrate de que la CAJA activa en tu PC es de la que quieres transferir a tus POKéMON{NEW}{NEW}⬅{SPA}[194]➡</t>
  </si>
  <si>
    <t>tutorial_page_6</t>
  </si>
  <si>
    <t>{CTR}ー　おすすめ　ー{nCTR}{NEW}ポケムーバーＧＢは、まだまだげんざいかいはつちゅうの{NEW}ツールです。そのため、かのうであれば、セーブデータの{NEW}バックアップをさくせいすることをおすすめします。{NEW}{NEW}{NEW}まえ{SPA}[176]つぎ</t>
  </si>
  <si>
    <t>{CTR}- RECOMMENDATIONS -{nCTR}{NEW}Poké Transporter GB is still a work in progress. As such and if possible, we recommend you to make backups of your saves.{NEW}{NEW}⬅{SPA}[194]➡</t>
  </si>
  <si>
    <t>{CTR}- RECOMMANDATIONS -{nCTR}{NEW}Poké Transfert GB est toujours en développement. Par conséquent et si possible, nous vous recommandons de faire des backups de vos sauvegardes.{NEW}⬅{SPA}[194]➡</t>
  </si>
  <si>
    <t>{CTR}- RACCOMANDAZIONI -{nCTR}{NEW}PokéTrasferitore GB è ancora in corso d’opera. Per questo, se possibile, ti raccomandiamo di fare dei backup dei tuoi salvataggi.{NEW}{NEW}⬅{SPA}[194]➡</t>
  </si>
  <si>
    <t>{CTR}- RECOMENDACIONES -{nCTR}{NEW}Poké Trasladador GB aún está en desarrollo. Como tal y si es posible, te recomendamos hacer copias de seguridad de tus partidas.{NEW}{NEW}⬅{SPA}[194]➡</t>
  </si>
  <si>
    <t>{CTR}- RECOMENDACIONES -{nCTR}{NEW}Poké Trasladador GB aún está en desarrollo. Si puedes, te recomendamos hacer copias de seguridad de tus partidas.{NEW}{NEW}⬅{SPA}[194]➡</t>
  </si>
  <si>
    <t>tutorial_page_7</t>
  </si>
  <si>
    <t>{CTR}ー　サポートがまだなところ　ー{nCTR}{NEW}{NEW}・かんこくごばんのきんとぎんバージョン{NEW}{NEW}{NEW}{NEW}まえ{SPA}[176]つぎ</t>
  </si>
  <si>
    <t>{CTR}- NOT YET SUPPORTED -{nCTR}{NEW}{NEW}・Korean GOLD and SILVER versions{NEW}{NEW}{NEW}{NEW}⬅{SPA}[194]➡</t>
  </si>
  <si>
    <t>{CTR}- COMPATIBILITÉS EN ATTENTE -{nCTR}{NEW}{NEW}・Versions OR et ARGENT coréennes{NEW}{NEW}{NEW}{NEW}⬅{SPA}[194]➡</t>
  </si>
  <si>
    <t>{CTR}- NON ANCORA SUPPORTATI -{nCTR}{NEW}{NEW}・ORO e ARGENTO in lingua Coreana{NEW}{NEW}{NEW}{NEW}⬅{SPA}[194]➡</t>
  </si>
  <si>
    <t>{CTR}- AÚN NO COMPATIBLE -{nCTR}{NEW}・Todos los juegos en Japonés{NEW}・Las versiones koreanas de ORO y PLATA{NEW}{NEW}{NEW} ⬅{SPA}[194]➡</t>
  </si>
  <si>
    <t>{CTR}- AÚN NO COMPATIBLE -{nCTR}{NEW}{NEW}・Las versiones coreanas de ORO y PLATA{NEW}{NEW}{NEW}⬅{SPA}[194]➡</t>
  </si>
  <si>
    <t>tutorial_page_8</t>
  </si>
  <si>
    <t>{CTR}ー　きちなふぐあい　ー{nCTR}・にほんごばんビルドのＰＭＧＢで、にほんごいがいの{NEW}ニックネームをみることは、あるいはそのぎゃくは、{NEW}ただしくないもじをひょうじさせることがあります。{NEW}これはじゅんすいにみためだけのもんだいで、{NEW}てんそうされたポケモンは、ただしいニックネームを{NEW}もっているはずです。{NEW}まえ</t>
  </si>
  <si>
    <t>{CTR}- KNOWN ERRORS -{nCTR}・Viewing Japanese nicknames with a non-Japanese build of PTGB (or vice-versa) can cause incorrect characters to appear. This is purely visual and transferred POKéMON will have the correct names.{NEW}⬅</t>
  </si>
  <si>
    <t>{CTR}- ERREURS CONNUES -{nCTR}・L’affichage de caractères japonais sur les versions non-japonaises de Poké Transfert GB (et inversement) peut être buggué. Ce problème est purement visuel et n’affecte en rien les POKéMON transférés.{NEW}⬅</t>
  </si>
  <si>
    <t>{CTR}- ERRORI NOTI -{nCTR}・A causa di ragioni non identificate, PokéTrasferitore GB potrebbe chiudersi dopo aver premuto “CONFERMA” per inviare POKéMON ad alcuni salvataggi di SMERALDO. Se anche non accadesse, la sprite di BELLOCCHIO potrebbe apparire distorta.{NEW}⬅</t>
  </si>
  <si>
    <t>{CTR}- ERRORES CONOCIDOS -{nCTR}・Por motivos por esclarecer, Poké Trasladador GB puede fallar tras presionar “CONFIRMAR” para enviar POKéMON a algunos archivos de guardado de ESMERALDA. Si no se bloquea, el sprite de HANDSOME puede aparecer distorsionado.⬅</t>
  </si>
  <si>
    <t>{CTR}- ERRORES CONOCIDOS -{nCTR}・Ver apodos en japonés con una versión de PTGB que no sea japonesa (o viceversa) puede hacer que aparezcan caracteres incorrectos. Esto es solo visual y los POKéMON transferidos tendrán los nombres correctos.{NEW}⬅</t>
  </si>
  <si>
    <t>PKMN_NAMES</t>
  </si>
  <si>
    <t>けつばん</t>
  </si>
  <si>
    <t>MISSINGNO.</t>
  </si>
  <si>
    <t>フシギダネ</t>
  </si>
  <si>
    <t>BULBASAUR</t>
  </si>
  <si>
    <t>BULBIZARRE</t>
  </si>
  <si>
    <t>BISASAM</t>
  </si>
  <si>
    <t>이상해씨</t>
  </si>
  <si>
    <t>妙蛙种子</t>
  </si>
  <si>
    <t>妙蛙種子</t>
  </si>
  <si>
    <t>フシギソウ</t>
  </si>
  <si>
    <t>IVYSAUR</t>
  </si>
  <si>
    <t>HERBIZARRE</t>
  </si>
  <si>
    <t>BISAKNOSP</t>
  </si>
  <si>
    <t>이상해풀</t>
  </si>
  <si>
    <t>妙蛙草</t>
  </si>
  <si>
    <t>フシギバナ</t>
  </si>
  <si>
    <t>VENUSAUR</t>
  </si>
  <si>
    <t>FLORIZARRE</t>
  </si>
  <si>
    <t>BISAFLOR</t>
  </si>
  <si>
    <t>이상해꽃</t>
  </si>
  <si>
    <t>妙蛙花</t>
  </si>
  <si>
    <t>ヒトカゲ</t>
  </si>
  <si>
    <t>CHARMANDER</t>
  </si>
  <si>
    <t>SALAMECHE</t>
  </si>
  <si>
    <t>GLUMANDA</t>
  </si>
  <si>
    <t>파이리</t>
  </si>
  <si>
    <t>小火龙</t>
  </si>
  <si>
    <t>小火龍</t>
  </si>
  <si>
    <t>リザード</t>
  </si>
  <si>
    <t>CHARMELEON</t>
  </si>
  <si>
    <t>REPTINCEL</t>
  </si>
  <si>
    <t>GLUTEXO</t>
  </si>
  <si>
    <t>리자드</t>
  </si>
  <si>
    <t>火恐龙</t>
  </si>
  <si>
    <t>火恐龍</t>
  </si>
  <si>
    <t>リザードン</t>
  </si>
  <si>
    <t>CHARIZARD</t>
  </si>
  <si>
    <t>DRACAUFEU</t>
  </si>
  <si>
    <t>GLURAK</t>
  </si>
  <si>
    <t>리자몽</t>
  </si>
  <si>
    <t>喷火龙</t>
  </si>
  <si>
    <t>噴火龍</t>
  </si>
  <si>
    <t>ゼニガメ</t>
  </si>
  <si>
    <t>SQUIRTLE</t>
  </si>
  <si>
    <t>CARAPUCE</t>
  </si>
  <si>
    <t>SCHIGGY</t>
  </si>
  <si>
    <t>꼬부기</t>
  </si>
  <si>
    <t>杰尼龟</t>
  </si>
  <si>
    <t>傑尼龜</t>
  </si>
  <si>
    <t>カメール</t>
  </si>
  <si>
    <t>WARTORTLE</t>
  </si>
  <si>
    <t>CARABAFFE</t>
  </si>
  <si>
    <t>SCHILLOK</t>
  </si>
  <si>
    <t>어니부기</t>
  </si>
  <si>
    <t>卡咪龟</t>
  </si>
  <si>
    <t>卡咪龜</t>
  </si>
  <si>
    <t>カメックス</t>
  </si>
  <si>
    <t>BLASTOISE</t>
  </si>
  <si>
    <t>TORTANK</t>
  </si>
  <si>
    <t>TURTOK</t>
  </si>
  <si>
    <t>거북왕</t>
  </si>
  <si>
    <t>水箭龟</t>
  </si>
  <si>
    <t>水箭龜</t>
  </si>
  <si>
    <t>キャタピー</t>
  </si>
  <si>
    <t>CATERPIE</t>
  </si>
  <si>
    <t>CHENIPAN</t>
  </si>
  <si>
    <t>RAUPY</t>
  </si>
  <si>
    <t>캐터피</t>
  </si>
  <si>
    <t>绿毛虫</t>
  </si>
  <si>
    <t>綠毛蟲</t>
  </si>
  <si>
    <t>トランセル</t>
  </si>
  <si>
    <t>METAPOD</t>
  </si>
  <si>
    <t>CHRYSACIER</t>
  </si>
  <si>
    <t>SAFCON</t>
  </si>
  <si>
    <t>단데기</t>
  </si>
  <si>
    <t>铁甲蛹</t>
  </si>
  <si>
    <t>鐵甲蛹</t>
  </si>
  <si>
    <t>バタフリー</t>
  </si>
  <si>
    <t>BUTTERFREE</t>
  </si>
  <si>
    <t>PAPILUSION</t>
  </si>
  <si>
    <t>SMETTBO</t>
  </si>
  <si>
    <t>버터플</t>
  </si>
  <si>
    <t>巴大蝶</t>
  </si>
  <si>
    <t>ビードル</t>
  </si>
  <si>
    <t>WEEDLE</t>
  </si>
  <si>
    <t>ASPICOT</t>
  </si>
  <si>
    <t>HORNLIU</t>
  </si>
  <si>
    <t>뿔충이</t>
  </si>
  <si>
    <t>独角虫</t>
  </si>
  <si>
    <t>獨角蟲</t>
  </si>
  <si>
    <t>コクーン</t>
  </si>
  <si>
    <t>KAKUNA</t>
  </si>
  <si>
    <t>COCONFORT</t>
  </si>
  <si>
    <t>KOKUNA</t>
  </si>
  <si>
    <t>딱충이</t>
  </si>
  <si>
    <t>铁壳蛹</t>
  </si>
  <si>
    <t>鐵殼蛹</t>
  </si>
  <si>
    <t>スピアー</t>
  </si>
  <si>
    <t>BEEDRILL</t>
  </si>
  <si>
    <t>DARDARGNAN</t>
  </si>
  <si>
    <t>BIBOR</t>
  </si>
  <si>
    <t>독침붕</t>
  </si>
  <si>
    <t>大针蜂</t>
  </si>
  <si>
    <t>大針蜂</t>
  </si>
  <si>
    <t>ポッポ</t>
  </si>
  <si>
    <t>PIDGEY</t>
  </si>
  <si>
    <t>ROUCOOL</t>
  </si>
  <si>
    <t>TAUBSI</t>
  </si>
  <si>
    <t>구구</t>
  </si>
  <si>
    <t>波波</t>
  </si>
  <si>
    <t>ピジョン</t>
  </si>
  <si>
    <t>PIDGEOTTO</t>
  </si>
  <si>
    <t>ROUCOUPS</t>
  </si>
  <si>
    <t>TAUBOGA</t>
  </si>
  <si>
    <t>피죤</t>
  </si>
  <si>
    <t>比比鸟</t>
  </si>
  <si>
    <t>比比鳥</t>
  </si>
  <si>
    <t>ピジョット</t>
  </si>
  <si>
    <t>PIDGEOT</t>
  </si>
  <si>
    <t>ROUCARNAGE</t>
  </si>
  <si>
    <t>TAUBOSS</t>
  </si>
  <si>
    <t>피죤투</t>
  </si>
  <si>
    <t>大比鸟</t>
  </si>
  <si>
    <t>大比鳥</t>
  </si>
  <si>
    <t>コラッタ</t>
  </si>
  <si>
    <t>RATTATA</t>
  </si>
  <si>
    <t>RATTFRATZ</t>
  </si>
  <si>
    <t>꼬렛</t>
  </si>
  <si>
    <t>小拉达</t>
  </si>
  <si>
    <t>小拉達</t>
  </si>
  <si>
    <t>ラッタ</t>
  </si>
  <si>
    <t>RATICATE</t>
  </si>
  <si>
    <t>RATTATAC</t>
  </si>
  <si>
    <t>RATTIKARL</t>
  </si>
  <si>
    <t>레트라</t>
  </si>
  <si>
    <t>拉达</t>
  </si>
  <si>
    <t>拉達</t>
  </si>
  <si>
    <t>オニスズメ</t>
  </si>
  <si>
    <t>SPEAROW</t>
  </si>
  <si>
    <t>PIAFABEC</t>
  </si>
  <si>
    <t>HABITAK</t>
  </si>
  <si>
    <t>깨비참</t>
  </si>
  <si>
    <t>烈雀</t>
  </si>
  <si>
    <t>オニドリル</t>
  </si>
  <si>
    <t>FEAROW</t>
  </si>
  <si>
    <t>RAPASDEPIC</t>
  </si>
  <si>
    <t>IBITAK</t>
  </si>
  <si>
    <t>깨비드릴조</t>
  </si>
  <si>
    <t>大嘴雀</t>
  </si>
  <si>
    <t>アーボ</t>
  </si>
  <si>
    <t>EKANS</t>
  </si>
  <si>
    <t>ABO</t>
  </si>
  <si>
    <t>RETTAN</t>
  </si>
  <si>
    <t>아보</t>
  </si>
  <si>
    <t>阿柏蛇</t>
  </si>
  <si>
    <t>アーボック</t>
  </si>
  <si>
    <t>ARBOK</t>
  </si>
  <si>
    <t>아보크</t>
  </si>
  <si>
    <t>阿柏怪</t>
  </si>
  <si>
    <t>PIKACHU</t>
  </si>
  <si>
    <t>ライチュウ</t>
  </si>
  <si>
    <t>RAICHU</t>
  </si>
  <si>
    <t>라이츄</t>
  </si>
  <si>
    <t>雷丘</t>
  </si>
  <si>
    <t>サンド</t>
  </si>
  <si>
    <t>SANDSHREW</t>
  </si>
  <si>
    <t>SABELETTE</t>
  </si>
  <si>
    <t>SANDAN</t>
  </si>
  <si>
    <t>모래두지</t>
  </si>
  <si>
    <t>穿山鼠</t>
  </si>
  <si>
    <t>サンドパン</t>
  </si>
  <si>
    <t>SANDSLASH</t>
  </si>
  <si>
    <t>SABLAIREAU</t>
  </si>
  <si>
    <t>SANDAMER</t>
  </si>
  <si>
    <t>고지</t>
  </si>
  <si>
    <t>穿山王</t>
  </si>
  <si>
    <t>ニドラン♀</t>
  </si>
  <si>
    <t>NIDORAN♀</t>
  </si>
  <si>
    <t>니드런♀</t>
  </si>
  <si>
    <t>尼多兰</t>
  </si>
  <si>
    <t>尼多蘭</t>
  </si>
  <si>
    <t>ニドリーナ</t>
  </si>
  <si>
    <t>NIDORINA</t>
  </si>
  <si>
    <t>니드리나</t>
  </si>
  <si>
    <t>尼多娜</t>
  </si>
  <si>
    <t>ニドクイン</t>
  </si>
  <si>
    <t>NIDOQUEEN</t>
  </si>
  <si>
    <t>니드퀸</t>
  </si>
  <si>
    <t>尼多后</t>
  </si>
  <si>
    <t>ニドラン♂</t>
  </si>
  <si>
    <t>NIDORAN♂</t>
  </si>
  <si>
    <t>니드런♂</t>
  </si>
  <si>
    <t>尼多朗</t>
  </si>
  <si>
    <t>ニドリーノ</t>
  </si>
  <si>
    <t>NIDORINO</t>
  </si>
  <si>
    <t>니드리노</t>
  </si>
  <si>
    <t>尼多力诺</t>
  </si>
  <si>
    <t>尼多力諾</t>
  </si>
  <si>
    <t>ニドキング</t>
  </si>
  <si>
    <t>NIDOKING</t>
  </si>
  <si>
    <t>니드킹</t>
  </si>
  <si>
    <t>尼多王</t>
  </si>
  <si>
    <t>ピッピ</t>
  </si>
  <si>
    <t>CLEFAIRY</t>
  </si>
  <si>
    <t>MELOFEE</t>
  </si>
  <si>
    <t>PIEPI</t>
  </si>
  <si>
    <t>삐삐</t>
  </si>
  <si>
    <t>皮皮</t>
  </si>
  <si>
    <t>ピクシー</t>
  </si>
  <si>
    <t>CLEFABLE</t>
  </si>
  <si>
    <t>MELODELFE</t>
  </si>
  <si>
    <t>PIXI</t>
  </si>
  <si>
    <t>픽시</t>
  </si>
  <si>
    <t>皮可西</t>
  </si>
  <si>
    <t>ロコン</t>
  </si>
  <si>
    <t>VULPIX</t>
  </si>
  <si>
    <t>GOUPIX</t>
  </si>
  <si>
    <t>식스테일</t>
  </si>
  <si>
    <t>六尾</t>
  </si>
  <si>
    <t>キュウコン</t>
  </si>
  <si>
    <t>NINETALES</t>
  </si>
  <si>
    <t>FEUNARD</t>
  </si>
  <si>
    <t>VULNONA</t>
  </si>
  <si>
    <t>나인테일</t>
  </si>
  <si>
    <t>九尾</t>
  </si>
  <si>
    <t>プリン</t>
  </si>
  <si>
    <t>JIGGLYPUFF</t>
  </si>
  <si>
    <t>RONDOUDOU</t>
  </si>
  <si>
    <t>PUMMELUFF</t>
  </si>
  <si>
    <t>푸린</t>
  </si>
  <si>
    <t>胖丁</t>
  </si>
  <si>
    <t>プクリン</t>
  </si>
  <si>
    <t>WIGGLYTUFF</t>
  </si>
  <si>
    <t>GRODOUDOU</t>
  </si>
  <si>
    <t>KNUDDELUFF</t>
  </si>
  <si>
    <t>푸크린</t>
  </si>
  <si>
    <t>胖可丁</t>
  </si>
  <si>
    <t>ズバット</t>
  </si>
  <si>
    <t>ZUBAT</t>
  </si>
  <si>
    <t>NOSFERAPTI</t>
  </si>
  <si>
    <t>주뱃</t>
  </si>
  <si>
    <t>超音蝠</t>
  </si>
  <si>
    <t>ゴルバット</t>
  </si>
  <si>
    <t>GOLBAT</t>
  </si>
  <si>
    <t>NOSFERALTO</t>
  </si>
  <si>
    <t>골뱃</t>
  </si>
  <si>
    <t>大嘴蝠</t>
  </si>
  <si>
    <t>ナゾノクサ</t>
  </si>
  <si>
    <t>ODDISH</t>
  </si>
  <si>
    <t>MYSTHERBE</t>
  </si>
  <si>
    <t>MYRAPLA</t>
  </si>
  <si>
    <t>뚜벅쵸</t>
  </si>
  <si>
    <t>走路草</t>
  </si>
  <si>
    <t>クサイハナ</t>
  </si>
  <si>
    <t>GLOOM</t>
  </si>
  <si>
    <t>ORTIDE</t>
  </si>
  <si>
    <t>DUFLOR</t>
  </si>
  <si>
    <t>냄새꼬</t>
  </si>
  <si>
    <t>臭臭花</t>
  </si>
  <si>
    <t>ラフレシア</t>
  </si>
  <si>
    <t>VILEPLUME</t>
  </si>
  <si>
    <t>RAFFLESIA</t>
  </si>
  <si>
    <t>GIFLOR</t>
  </si>
  <si>
    <t>라플레시아</t>
  </si>
  <si>
    <t>霸王花</t>
  </si>
  <si>
    <t>パラス</t>
  </si>
  <si>
    <t>PARAS</t>
  </si>
  <si>
    <t>파라스</t>
  </si>
  <si>
    <t>派拉斯</t>
  </si>
  <si>
    <t>パラセクト</t>
  </si>
  <si>
    <t>PARASECT</t>
  </si>
  <si>
    <t>PARASEK</t>
  </si>
  <si>
    <t>파라섹트</t>
  </si>
  <si>
    <t>派拉斯特</t>
  </si>
  <si>
    <t>コンパン</t>
  </si>
  <si>
    <t>VENONAT</t>
  </si>
  <si>
    <t>MIMITOSS</t>
  </si>
  <si>
    <t>BLUZUK</t>
  </si>
  <si>
    <t>콘팡</t>
  </si>
  <si>
    <t>毛球</t>
  </si>
  <si>
    <t>モルフォン</t>
  </si>
  <si>
    <t>VENOMOTH</t>
  </si>
  <si>
    <t>AEROMITE</t>
  </si>
  <si>
    <t>OMOT</t>
  </si>
  <si>
    <t>도나리</t>
  </si>
  <si>
    <t>摩鲁蛾</t>
  </si>
  <si>
    <t>摩魯蛾</t>
  </si>
  <si>
    <t>ディグダ</t>
  </si>
  <si>
    <t>DIGLETT</t>
  </si>
  <si>
    <t>TAUPIQUEUR</t>
  </si>
  <si>
    <t>DIGDA</t>
  </si>
  <si>
    <t>디그다</t>
  </si>
  <si>
    <t>地鼠</t>
  </si>
  <si>
    <t>ダグトリオ</t>
  </si>
  <si>
    <t>DUGTRIO</t>
  </si>
  <si>
    <t>TRIOPIKEUR</t>
  </si>
  <si>
    <t>DIGDRI</t>
  </si>
  <si>
    <t>닥트리오</t>
  </si>
  <si>
    <t>三地鼠</t>
  </si>
  <si>
    <t>ニャース</t>
  </si>
  <si>
    <t>MEOWTH</t>
  </si>
  <si>
    <t>MIAOUSS</t>
  </si>
  <si>
    <t>MAUZI</t>
  </si>
  <si>
    <t>나옹</t>
  </si>
  <si>
    <t>喵喵</t>
  </si>
  <si>
    <t>ペルシアン</t>
  </si>
  <si>
    <t>PERSIAN</t>
  </si>
  <si>
    <t>SNOBILIKAT</t>
  </si>
  <si>
    <t>페르시온</t>
  </si>
  <si>
    <t>猫老大</t>
  </si>
  <si>
    <t>貓老大</t>
  </si>
  <si>
    <t>コダック</t>
  </si>
  <si>
    <t>PSYDUCK</t>
  </si>
  <si>
    <t>PSYKOKWAK</t>
  </si>
  <si>
    <t>ENTON</t>
  </si>
  <si>
    <t>고라파덕</t>
  </si>
  <si>
    <t>可达鸭</t>
  </si>
  <si>
    <t>可達鴨</t>
  </si>
  <si>
    <t>ゴルダック</t>
  </si>
  <si>
    <t>GOLDUCK</t>
  </si>
  <si>
    <t>AKWAKWAK</t>
  </si>
  <si>
    <t>ENTORON</t>
  </si>
  <si>
    <t>골덕</t>
  </si>
  <si>
    <t>哥达鸭</t>
  </si>
  <si>
    <t>哥達鴨</t>
  </si>
  <si>
    <t>マンキー</t>
  </si>
  <si>
    <t>MANKEY</t>
  </si>
  <si>
    <t>FEROSINGE</t>
  </si>
  <si>
    <t>MENKI</t>
  </si>
  <si>
    <t>망키</t>
  </si>
  <si>
    <t>猴怪</t>
  </si>
  <si>
    <t>オコリザル</t>
  </si>
  <si>
    <t>PRIMEAPE</t>
  </si>
  <si>
    <t>COLOSSINGE</t>
  </si>
  <si>
    <t>RASAFF</t>
  </si>
  <si>
    <t>성원숭</t>
  </si>
  <si>
    <t>火暴猴</t>
  </si>
  <si>
    <t>火爆猴</t>
  </si>
  <si>
    <t>ガーディ</t>
  </si>
  <si>
    <t>GROWLITHE</t>
  </si>
  <si>
    <t>CANINOS</t>
  </si>
  <si>
    <t>FUKANO</t>
  </si>
  <si>
    <t>가디</t>
  </si>
  <si>
    <t>卡蒂狗</t>
  </si>
  <si>
    <t>ウインディ</t>
  </si>
  <si>
    <t>ARCANINE</t>
  </si>
  <si>
    <t>ARCANIN</t>
  </si>
  <si>
    <t>ARKANI</t>
  </si>
  <si>
    <t>윈디</t>
  </si>
  <si>
    <t>风速狗</t>
  </si>
  <si>
    <t>風速狗</t>
  </si>
  <si>
    <t>ニョロモ</t>
  </si>
  <si>
    <t>POLIWAG</t>
  </si>
  <si>
    <t>PTITARD</t>
  </si>
  <si>
    <t>QUAPSEL</t>
  </si>
  <si>
    <t>발챙이</t>
  </si>
  <si>
    <t>蚊香蝌蚪</t>
  </si>
  <si>
    <t>ニョロゾ</t>
  </si>
  <si>
    <t>POLIWHIRL</t>
  </si>
  <si>
    <t>TETARTE</t>
  </si>
  <si>
    <t>QUAPUTZI</t>
  </si>
  <si>
    <t>슈륙챙이</t>
  </si>
  <si>
    <t>蚊香君</t>
  </si>
  <si>
    <t>ニョロボン</t>
  </si>
  <si>
    <t>POLIWRATH</t>
  </si>
  <si>
    <t>TARTARD</t>
  </si>
  <si>
    <t>QUAPPO</t>
  </si>
  <si>
    <t>강챙이</t>
  </si>
  <si>
    <t>蚊香泳士</t>
  </si>
  <si>
    <t>ケーシィ</t>
  </si>
  <si>
    <t>ABRA</t>
  </si>
  <si>
    <t>캐이시</t>
  </si>
  <si>
    <t>凯西</t>
  </si>
  <si>
    <t>凱西</t>
  </si>
  <si>
    <t>ユンゲラー</t>
  </si>
  <si>
    <t>KADABRA</t>
  </si>
  <si>
    <t>윤겔라</t>
  </si>
  <si>
    <t>勇基拉</t>
  </si>
  <si>
    <t>フーディン</t>
  </si>
  <si>
    <t>ALAKAZAM</t>
  </si>
  <si>
    <t>SIMSALA</t>
  </si>
  <si>
    <t>후딘</t>
  </si>
  <si>
    <t>胡地</t>
  </si>
  <si>
    <t>ワンリキー</t>
  </si>
  <si>
    <t>MACHOP</t>
  </si>
  <si>
    <t>MACHOC</t>
  </si>
  <si>
    <t>MACHOLLO</t>
  </si>
  <si>
    <t>알통몬</t>
  </si>
  <si>
    <t>腕力</t>
  </si>
  <si>
    <t>ゴーリキー</t>
  </si>
  <si>
    <t>MACHOKE</t>
  </si>
  <si>
    <t>MACHOPEUR</t>
  </si>
  <si>
    <t>MASCHOCK</t>
  </si>
  <si>
    <t>근육몬</t>
  </si>
  <si>
    <t>豪力</t>
  </si>
  <si>
    <t>カイリキー</t>
  </si>
  <si>
    <t>MACHAMP</t>
  </si>
  <si>
    <t>MACKOGNEUR</t>
  </si>
  <si>
    <t>MACHOMEI</t>
  </si>
  <si>
    <t>괴력몬</t>
  </si>
  <si>
    <t>怪力</t>
  </si>
  <si>
    <t>マダツボミ</t>
  </si>
  <si>
    <t>BELLSPROUT</t>
  </si>
  <si>
    <t>CHETIFLOR</t>
  </si>
  <si>
    <t>KNOFENSA</t>
  </si>
  <si>
    <t>모다피</t>
  </si>
  <si>
    <t>喇叭芽</t>
  </si>
  <si>
    <t>ウツドン</t>
  </si>
  <si>
    <t>WEEPINBELL</t>
  </si>
  <si>
    <t>BOUSTIFLOR</t>
  </si>
  <si>
    <t>ULTRIGARIA</t>
  </si>
  <si>
    <t>우츠동</t>
  </si>
  <si>
    <t>口呆花</t>
  </si>
  <si>
    <t>ウツボット</t>
  </si>
  <si>
    <t>VICTREEBEL</t>
  </si>
  <si>
    <t>EMPIFLOR</t>
  </si>
  <si>
    <t>SARZENIA</t>
  </si>
  <si>
    <t>우츠보트</t>
  </si>
  <si>
    <t>大食花</t>
  </si>
  <si>
    <t>メノクラゲ</t>
  </si>
  <si>
    <t>TENTACOOL</t>
  </si>
  <si>
    <t>TENTACHA</t>
  </si>
  <si>
    <t>왕눈해</t>
  </si>
  <si>
    <t>玛瑙水母</t>
  </si>
  <si>
    <t>瑪瑙水母</t>
  </si>
  <si>
    <t>ドククラゲ</t>
  </si>
  <si>
    <t>TENTACRUEL</t>
  </si>
  <si>
    <t>TENTOXA</t>
  </si>
  <si>
    <t>독파리</t>
  </si>
  <si>
    <t>毒刺水母</t>
  </si>
  <si>
    <t>イシツブテ</t>
  </si>
  <si>
    <t>GEODUDE</t>
  </si>
  <si>
    <t>RACAILLOU</t>
  </si>
  <si>
    <t>KLEINSTEIN</t>
  </si>
  <si>
    <t>꼬마돌</t>
  </si>
  <si>
    <t>小拳石</t>
  </si>
  <si>
    <t>ゴローン</t>
  </si>
  <si>
    <t>GRAVELER</t>
  </si>
  <si>
    <t>GRAVALANCH</t>
  </si>
  <si>
    <t>GEOROK</t>
  </si>
  <si>
    <t>데구리</t>
  </si>
  <si>
    <t>隆隆石</t>
  </si>
  <si>
    <t>ゴローニャ</t>
  </si>
  <si>
    <t>GOLEM</t>
  </si>
  <si>
    <t>GROLEM</t>
  </si>
  <si>
    <t>GEOWAZ</t>
  </si>
  <si>
    <t>딱구리</t>
  </si>
  <si>
    <t>隆隆岩</t>
  </si>
  <si>
    <t>ポニータ</t>
  </si>
  <si>
    <t>PONYTA</t>
  </si>
  <si>
    <t>PONITA</t>
  </si>
  <si>
    <t>포니타</t>
  </si>
  <si>
    <t>小火马</t>
  </si>
  <si>
    <t>小火馬</t>
  </si>
  <si>
    <t>ギャロップ</t>
  </si>
  <si>
    <t>RAPIDASH</t>
  </si>
  <si>
    <t>GALOPA</t>
  </si>
  <si>
    <t>GALLOPA</t>
  </si>
  <si>
    <t>날쌩마</t>
  </si>
  <si>
    <t>烈焰马</t>
  </si>
  <si>
    <t>烈焰馬</t>
  </si>
  <si>
    <t>ヤドン</t>
  </si>
  <si>
    <t>SLOWPOKE</t>
  </si>
  <si>
    <t>RAMOLOSS</t>
  </si>
  <si>
    <t>FLEGMON</t>
  </si>
  <si>
    <t>야돈</t>
  </si>
  <si>
    <t>呆呆兽</t>
  </si>
  <si>
    <t>呆呆獸</t>
  </si>
  <si>
    <t>ヤドラン</t>
  </si>
  <si>
    <t>SLOWBRO</t>
  </si>
  <si>
    <t>FLAGADOSS</t>
  </si>
  <si>
    <t>LAHMUS</t>
  </si>
  <si>
    <t>야도란</t>
  </si>
  <si>
    <t>呆壳兽</t>
  </si>
  <si>
    <t>呆殼獸</t>
  </si>
  <si>
    <t>コイル</t>
  </si>
  <si>
    <t>MAGNEMITE</t>
  </si>
  <si>
    <t>MAGNETI</t>
  </si>
  <si>
    <t>MAGNETILO</t>
  </si>
  <si>
    <t>코일</t>
  </si>
  <si>
    <t>小磁怪</t>
  </si>
  <si>
    <t>レアコイル</t>
  </si>
  <si>
    <t>MAGNETON</t>
  </si>
  <si>
    <t>레어코일</t>
  </si>
  <si>
    <t>三合一磁怪</t>
  </si>
  <si>
    <t>カモネギ</t>
  </si>
  <si>
    <t>FARFETCH’D</t>
  </si>
  <si>
    <t>CANARTICHO</t>
  </si>
  <si>
    <t>PORENTA</t>
  </si>
  <si>
    <t>FARFETCH'D</t>
  </si>
  <si>
    <t>파오리</t>
  </si>
  <si>
    <t>大葱鸭</t>
  </si>
  <si>
    <t>大蔥鴨</t>
  </si>
  <si>
    <t>ドードー</t>
  </si>
  <si>
    <t>DODUO</t>
  </si>
  <si>
    <t>DODU</t>
  </si>
  <si>
    <t>두두</t>
  </si>
  <si>
    <t>嘟嘟</t>
  </si>
  <si>
    <t>ドードリオ</t>
  </si>
  <si>
    <t>DODRIO</t>
  </si>
  <si>
    <t>DODRI</t>
  </si>
  <si>
    <t>두트리오</t>
  </si>
  <si>
    <t>嘟嘟利</t>
  </si>
  <si>
    <t>パウワウ</t>
  </si>
  <si>
    <t>SEEL</t>
  </si>
  <si>
    <t>OTARIA</t>
  </si>
  <si>
    <t>JUROB</t>
  </si>
  <si>
    <t>쥬쥬</t>
  </si>
  <si>
    <t>小海狮</t>
  </si>
  <si>
    <t>小海獅</t>
  </si>
  <si>
    <t>ジュゴン</t>
  </si>
  <si>
    <t>DEWGONG</t>
  </si>
  <si>
    <t>LAMANTINE</t>
  </si>
  <si>
    <t>JUGONG</t>
  </si>
  <si>
    <t>쥬레곤</t>
  </si>
  <si>
    <t>白海狮</t>
  </si>
  <si>
    <t>白海獅</t>
  </si>
  <si>
    <t>ベトベター</t>
  </si>
  <si>
    <t>GRIMER</t>
  </si>
  <si>
    <t>TADMORV</t>
  </si>
  <si>
    <t>SLEIMA</t>
  </si>
  <si>
    <t>질퍽이</t>
  </si>
  <si>
    <t>臭泥</t>
  </si>
  <si>
    <t>ベトベトン</t>
  </si>
  <si>
    <t>MUK</t>
  </si>
  <si>
    <t>GROTADMORV</t>
  </si>
  <si>
    <t>SLEIMOK</t>
  </si>
  <si>
    <t>질뻐기</t>
  </si>
  <si>
    <t>臭臭泥</t>
  </si>
  <si>
    <t>シェルダー</t>
  </si>
  <si>
    <t>SHELLDER</t>
  </si>
  <si>
    <t>KOKIYAS</t>
  </si>
  <si>
    <t>MUSCHAS</t>
  </si>
  <si>
    <t>셀러</t>
  </si>
  <si>
    <t>大舌贝</t>
  </si>
  <si>
    <t>大舌貝</t>
  </si>
  <si>
    <t>パルシェン</t>
  </si>
  <si>
    <t>CLOYSTER</t>
  </si>
  <si>
    <t>CRUSTABRI</t>
  </si>
  <si>
    <t>AUSTOS</t>
  </si>
  <si>
    <t>파르셀</t>
  </si>
  <si>
    <t>刺甲贝</t>
  </si>
  <si>
    <t>刺甲貝</t>
  </si>
  <si>
    <t>ゴース</t>
  </si>
  <si>
    <t>GASTLY</t>
  </si>
  <si>
    <t>FANTOMINUS</t>
  </si>
  <si>
    <t>NEBULAK</t>
  </si>
  <si>
    <t>고오스</t>
  </si>
  <si>
    <t>鬼斯</t>
  </si>
  <si>
    <t>ゴースト</t>
  </si>
  <si>
    <t>HAUNTER</t>
  </si>
  <si>
    <t>SPECTRUM</t>
  </si>
  <si>
    <t>ALPOLLO</t>
  </si>
  <si>
    <t>고우스트</t>
  </si>
  <si>
    <t>鬼斯通</t>
  </si>
  <si>
    <t>ゲンガー</t>
  </si>
  <si>
    <t>GENGAR</t>
  </si>
  <si>
    <t>ECTOPLASMA</t>
  </si>
  <si>
    <t>팬텀</t>
  </si>
  <si>
    <t>耿鬼</t>
  </si>
  <si>
    <t>イワーク</t>
  </si>
  <si>
    <t>ONIX</t>
  </si>
  <si>
    <t>롱스톤</t>
  </si>
  <si>
    <t>大岩蛇</t>
  </si>
  <si>
    <t>スリープ</t>
  </si>
  <si>
    <t>DROWZEE</t>
  </si>
  <si>
    <t>SOPORIFIK</t>
  </si>
  <si>
    <t>TRAUMATO</t>
  </si>
  <si>
    <t>슬리프</t>
  </si>
  <si>
    <t>催眠貘</t>
  </si>
  <si>
    <t>スリーパー</t>
  </si>
  <si>
    <t>HYPNO</t>
  </si>
  <si>
    <t>HYPNOMADE</t>
  </si>
  <si>
    <t>슬리퍼</t>
  </si>
  <si>
    <t>引梦貘人</t>
  </si>
  <si>
    <t>引夢貘人</t>
  </si>
  <si>
    <t>クラブ</t>
  </si>
  <si>
    <t>KRABBY</t>
  </si>
  <si>
    <t>크랩</t>
  </si>
  <si>
    <t>大钳蟹</t>
  </si>
  <si>
    <t>大鉗蟹</t>
  </si>
  <si>
    <t>キングラー</t>
  </si>
  <si>
    <t>KINGLER</t>
  </si>
  <si>
    <t>KRABBOSS</t>
  </si>
  <si>
    <t>킹크랩</t>
  </si>
  <si>
    <t>巨钳蟹</t>
  </si>
  <si>
    <t>巨鉗蟹</t>
  </si>
  <si>
    <t>ビリリダマ</t>
  </si>
  <si>
    <t>VOLTORB</t>
  </si>
  <si>
    <t>VOLTORBE</t>
  </si>
  <si>
    <t>VOLTOBAL</t>
  </si>
  <si>
    <t>찌리리공</t>
  </si>
  <si>
    <t>霹雳电球</t>
  </si>
  <si>
    <t>霹靂電球</t>
  </si>
  <si>
    <t>マルマイン</t>
  </si>
  <si>
    <t>ELECTRODE</t>
  </si>
  <si>
    <t>LEKTROBAL</t>
  </si>
  <si>
    <t>붐볼</t>
  </si>
  <si>
    <t>顽皮雷弹</t>
  </si>
  <si>
    <t>頑皮雷彈</t>
  </si>
  <si>
    <t>タマタマ</t>
  </si>
  <si>
    <t>EXEGGCUTE</t>
  </si>
  <si>
    <t>NOEUNOEUF</t>
  </si>
  <si>
    <t>OWEI</t>
  </si>
  <si>
    <t>아라리</t>
  </si>
  <si>
    <t>蛋蛋</t>
  </si>
  <si>
    <t>ナッシー</t>
  </si>
  <si>
    <t>EXEGGUTOR</t>
  </si>
  <si>
    <t>NOADKOKO</t>
  </si>
  <si>
    <t>KOKOWEI</t>
  </si>
  <si>
    <t>나시</t>
  </si>
  <si>
    <t>椰蛋树</t>
  </si>
  <si>
    <t>椰蛋樹</t>
  </si>
  <si>
    <t>カラカラ</t>
  </si>
  <si>
    <t>CUBONE</t>
  </si>
  <si>
    <t>OSSELAIT</t>
  </si>
  <si>
    <t>TRAGOSSO</t>
  </si>
  <si>
    <t>탕구리</t>
  </si>
  <si>
    <t>卡拉卡拉</t>
  </si>
  <si>
    <t>ガラガラ</t>
  </si>
  <si>
    <t>MAROWAK</t>
  </si>
  <si>
    <t>OSSATUEUR</t>
  </si>
  <si>
    <t>KNOGGA</t>
  </si>
  <si>
    <t>텅구리</t>
  </si>
  <si>
    <t>嘎啦嘎啦</t>
  </si>
  <si>
    <t>サワムラー</t>
  </si>
  <si>
    <t>HITMONLEE</t>
  </si>
  <si>
    <t>KICKLEE</t>
  </si>
  <si>
    <t>시라소몬</t>
  </si>
  <si>
    <t>飞腿郎</t>
  </si>
  <si>
    <t>飛腿郎</t>
  </si>
  <si>
    <t>エビワラー</t>
  </si>
  <si>
    <t>HITMONCHAN</t>
  </si>
  <si>
    <t>TYGNON</t>
  </si>
  <si>
    <t>NOCKCHAN</t>
  </si>
  <si>
    <t>홍수몬</t>
  </si>
  <si>
    <t>快拳郎</t>
  </si>
  <si>
    <t>ベロリンガ</t>
  </si>
  <si>
    <t>LICKITUNG</t>
  </si>
  <si>
    <t>EXCELANGUE</t>
  </si>
  <si>
    <t>SCHLURP</t>
  </si>
  <si>
    <t>내루미</t>
  </si>
  <si>
    <t>大舌头</t>
  </si>
  <si>
    <t>大舌頭</t>
  </si>
  <si>
    <t>ドガース</t>
  </si>
  <si>
    <t>KOFFING</t>
  </si>
  <si>
    <t>SMOGO</t>
  </si>
  <si>
    <t>SMOGON</t>
  </si>
  <si>
    <t>또가스</t>
  </si>
  <si>
    <t>瓦斯弹</t>
  </si>
  <si>
    <t>瓦斯彈</t>
  </si>
  <si>
    <t>マタドガス</t>
  </si>
  <si>
    <t>WEEZING</t>
  </si>
  <si>
    <t>SMOGOGO</t>
  </si>
  <si>
    <t>SMOGMOG</t>
  </si>
  <si>
    <t>또도가스</t>
  </si>
  <si>
    <t>双弹瓦斯</t>
  </si>
  <si>
    <t>雙彈瓦斯</t>
  </si>
  <si>
    <t>サイホーン</t>
  </si>
  <si>
    <t>RHYHORN</t>
  </si>
  <si>
    <t>RHINOCORNE</t>
  </si>
  <si>
    <t>RIHORN</t>
  </si>
  <si>
    <t>뿔카노</t>
  </si>
  <si>
    <t>独角犀牛</t>
  </si>
  <si>
    <t>獨角犀牛</t>
  </si>
  <si>
    <t>サイドン</t>
  </si>
  <si>
    <t>RHYDON</t>
  </si>
  <si>
    <t>RHINOFEROS</t>
  </si>
  <si>
    <t>RIZEROS</t>
  </si>
  <si>
    <t>코뿌리</t>
  </si>
  <si>
    <t>钻角犀兽</t>
  </si>
  <si>
    <t>鑽角犀獸</t>
  </si>
  <si>
    <t>ラッキー</t>
  </si>
  <si>
    <t>CHANSEY</t>
  </si>
  <si>
    <t>LEVEINARD</t>
  </si>
  <si>
    <t>CHANEIRA</t>
  </si>
  <si>
    <t>럭키</t>
  </si>
  <si>
    <t>吉利蛋</t>
  </si>
  <si>
    <t>モンジャラ</t>
  </si>
  <si>
    <t>TANGELA</t>
  </si>
  <si>
    <t>SAQUEDENEU</t>
  </si>
  <si>
    <t>덩쿠리</t>
  </si>
  <si>
    <t>蔓藤怪</t>
  </si>
  <si>
    <t>ガルーラ</t>
  </si>
  <si>
    <t>KANGASKHAN</t>
  </si>
  <si>
    <t>KANGOUREX</t>
  </si>
  <si>
    <t>KANGAMA</t>
  </si>
  <si>
    <t>캥카</t>
  </si>
  <si>
    <t>袋兽</t>
  </si>
  <si>
    <t>袋獸</t>
  </si>
  <si>
    <t>タッツー</t>
  </si>
  <si>
    <t>HORSEA</t>
  </si>
  <si>
    <t>HYPOTREMPE</t>
  </si>
  <si>
    <t>SEEPER</t>
  </si>
  <si>
    <t>쏘드라</t>
  </si>
  <si>
    <t>墨海马</t>
  </si>
  <si>
    <t>墨海馬</t>
  </si>
  <si>
    <t>シードラ</t>
  </si>
  <si>
    <t>SEADRA</t>
  </si>
  <si>
    <t>HYPOCEAN</t>
  </si>
  <si>
    <t>SEEMON</t>
  </si>
  <si>
    <t>시드라</t>
  </si>
  <si>
    <t>海刺龙</t>
  </si>
  <si>
    <t>海刺龍</t>
  </si>
  <si>
    <t>トサキント</t>
  </si>
  <si>
    <t>GOLDEEN</t>
  </si>
  <si>
    <t>POISSIRENE</t>
  </si>
  <si>
    <t>GOLDINI</t>
  </si>
  <si>
    <t>콘치</t>
  </si>
  <si>
    <t>角金鱼</t>
  </si>
  <si>
    <t>角金魚</t>
  </si>
  <si>
    <t>アズマオウ</t>
  </si>
  <si>
    <t>SEAKING</t>
  </si>
  <si>
    <t>POISSOROY</t>
  </si>
  <si>
    <t>GOLKING</t>
  </si>
  <si>
    <t>왕콘치</t>
  </si>
  <si>
    <t>金鱼王</t>
  </si>
  <si>
    <t>金魚王</t>
  </si>
  <si>
    <t>ヒトデマン</t>
  </si>
  <si>
    <t>STARYU</t>
  </si>
  <si>
    <t>STARI</t>
  </si>
  <si>
    <t>STERNDU</t>
  </si>
  <si>
    <t>별가사리</t>
  </si>
  <si>
    <t>海星星</t>
  </si>
  <si>
    <t>スターミー</t>
  </si>
  <si>
    <t>STARMIE</t>
  </si>
  <si>
    <t>STAROSS</t>
  </si>
  <si>
    <t>아쿠스타</t>
  </si>
  <si>
    <t>宝石海星</t>
  </si>
  <si>
    <t>寶石海星</t>
  </si>
  <si>
    <t>バリヤード</t>
  </si>
  <si>
    <t>MR. MIME</t>
  </si>
  <si>
    <t>M. MIME</t>
  </si>
  <si>
    <t>PANTIMOS</t>
  </si>
  <si>
    <t>마임맨</t>
  </si>
  <si>
    <t>魔墙人偶</t>
  </si>
  <si>
    <t>魔牆人偶</t>
  </si>
  <si>
    <t>ストライク</t>
  </si>
  <si>
    <t>SCYTHER</t>
  </si>
  <si>
    <t>INSECATEUR</t>
  </si>
  <si>
    <t>SICHLOR</t>
  </si>
  <si>
    <t>스라크</t>
  </si>
  <si>
    <t>飞天螳螂</t>
  </si>
  <si>
    <t>飛天螳螂</t>
  </si>
  <si>
    <t>ルージュラ</t>
  </si>
  <si>
    <t>JYNX</t>
  </si>
  <si>
    <t>LIPPOUTOU</t>
  </si>
  <si>
    <t>ROSSANA</t>
  </si>
  <si>
    <t>루주라</t>
  </si>
  <si>
    <t>迷唇姐</t>
  </si>
  <si>
    <t>エレブー</t>
  </si>
  <si>
    <t>ELECTABUZZ</t>
  </si>
  <si>
    <t>ELEKTEK</t>
  </si>
  <si>
    <t>에레브</t>
  </si>
  <si>
    <t>电击兽</t>
  </si>
  <si>
    <t>電擊獸</t>
  </si>
  <si>
    <t>ブーバー</t>
  </si>
  <si>
    <t>MAGMAR</t>
  </si>
  <si>
    <t>마그마</t>
  </si>
  <si>
    <t>鸭嘴火兽</t>
  </si>
  <si>
    <t>鴨嘴火獸</t>
  </si>
  <si>
    <t>カイロス</t>
  </si>
  <si>
    <t>PINSIR</t>
  </si>
  <si>
    <t>SCARABRUTE</t>
  </si>
  <si>
    <t>쁘사이저</t>
  </si>
  <si>
    <t>凯罗斯</t>
  </si>
  <si>
    <t>凱羅斯</t>
  </si>
  <si>
    <t>ケンタロス</t>
  </si>
  <si>
    <t>TAUROS</t>
  </si>
  <si>
    <t>켄타로스</t>
  </si>
  <si>
    <t>肯泰罗</t>
  </si>
  <si>
    <t>肯泰羅</t>
  </si>
  <si>
    <t>コイキング</t>
  </si>
  <si>
    <t>MAGIKARP</t>
  </si>
  <si>
    <t>MAGICARPE</t>
  </si>
  <si>
    <t>KARPADOR</t>
  </si>
  <si>
    <t>잉어킹</t>
  </si>
  <si>
    <t>鲤鱼王</t>
  </si>
  <si>
    <t>鯉魚王</t>
  </si>
  <si>
    <t>ギャラドス</t>
  </si>
  <si>
    <t>GYARADOS</t>
  </si>
  <si>
    <t>LEVIATOR</t>
  </si>
  <si>
    <t>GARADOS</t>
  </si>
  <si>
    <t>갸라도스</t>
  </si>
  <si>
    <t>暴鲤龙</t>
  </si>
  <si>
    <t>暴鯉龍</t>
  </si>
  <si>
    <t>ラプラス</t>
  </si>
  <si>
    <t>LAPRAS</t>
  </si>
  <si>
    <t>LOKHLASS</t>
  </si>
  <si>
    <t>라프라스</t>
  </si>
  <si>
    <t>拉普拉斯</t>
  </si>
  <si>
    <t>メタモン</t>
  </si>
  <si>
    <t>DITTO</t>
  </si>
  <si>
    <t>METAMORPH</t>
  </si>
  <si>
    <t>메타몽</t>
  </si>
  <si>
    <t>百变怪</t>
  </si>
  <si>
    <t>百變怪</t>
  </si>
  <si>
    <t>イーブイ</t>
  </si>
  <si>
    <t>EEVEE</t>
  </si>
  <si>
    <t>EVOLI</t>
  </si>
  <si>
    <t>이브이</t>
  </si>
  <si>
    <t>伊布</t>
  </si>
  <si>
    <t>シャワーズ</t>
  </si>
  <si>
    <t>VAPOREON</t>
  </si>
  <si>
    <t>AQUALI</t>
  </si>
  <si>
    <t>AQUANA</t>
  </si>
  <si>
    <t>샤미드</t>
  </si>
  <si>
    <t>水伊布</t>
  </si>
  <si>
    <t>サンダース</t>
  </si>
  <si>
    <t>JOLTEON</t>
  </si>
  <si>
    <t>VOLTALI</t>
  </si>
  <si>
    <t>BLITZA</t>
  </si>
  <si>
    <t>쥬피썬더</t>
  </si>
  <si>
    <t>雷伊布</t>
  </si>
  <si>
    <t>ブースター</t>
  </si>
  <si>
    <t>FLAREON</t>
  </si>
  <si>
    <t>PYROLI</t>
  </si>
  <si>
    <t>FLAMARA</t>
  </si>
  <si>
    <t>부스터</t>
  </si>
  <si>
    <t>火伊布</t>
  </si>
  <si>
    <t>ポリゴン</t>
  </si>
  <si>
    <t>PORYGON</t>
  </si>
  <si>
    <t>폴리곤</t>
  </si>
  <si>
    <t>多边兽</t>
  </si>
  <si>
    <t>多邊獸</t>
  </si>
  <si>
    <t>オムナイト</t>
  </si>
  <si>
    <t>OMANYTE</t>
  </si>
  <si>
    <t>AMONITA</t>
  </si>
  <si>
    <t>AMONITAS</t>
  </si>
  <si>
    <t>암나이트</t>
  </si>
  <si>
    <t>菊石兽</t>
  </si>
  <si>
    <t>菊石獸</t>
  </si>
  <si>
    <t>オムスター</t>
  </si>
  <si>
    <t>OMASTAR</t>
  </si>
  <si>
    <t>AMONISTAR</t>
  </si>
  <si>
    <t>AMOROSO</t>
  </si>
  <si>
    <t>암스타</t>
  </si>
  <si>
    <t>多刺菊石兽</t>
  </si>
  <si>
    <t>多刺菊石獸</t>
  </si>
  <si>
    <t>カブト</t>
  </si>
  <si>
    <t>KABUTO</t>
  </si>
  <si>
    <t>투구</t>
  </si>
  <si>
    <t>化石盔</t>
  </si>
  <si>
    <t>カブトプス</t>
  </si>
  <si>
    <t>KABUTOPS</t>
  </si>
  <si>
    <t>투구푸스</t>
  </si>
  <si>
    <t>镰刀盔</t>
  </si>
  <si>
    <t>鐮刀盔</t>
  </si>
  <si>
    <t>プテラ</t>
  </si>
  <si>
    <t>AERODACTYL</t>
  </si>
  <si>
    <t>PTERA</t>
  </si>
  <si>
    <t>프테라</t>
  </si>
  <si>
    <t>化石翼龙</t>
  </si>
  <si>
    <t>化石翼龍</t>
  </si>
  <si>
    <t>カビゴン</t>
  </si>
  <si>
    <t>SNORLAX</t>
  </si>
  <si>
    <t>RONFLEX</t>
  </si>
  <si>
    <t>RELAXO</t>
  </si>
  <si>
    <t>잠만보</t>
  </si>
  <si>
    <t>卡比兽</t>
  </si>
  <si>
    <t>卡比獸</t>
  </si>
  <si>
    <t>フリーザー</t>
  </si>
  <si>
    <t>ARTICUNO</t>
  </si>
  <si>
    <t>ARTIKODIN</t>
  </si>
  <si>
    <t>ARKTOS</t>
  </si>
  <si>
    <t>프리져</t>
  </si>
  <si>
    <t>急冻鸟</t>
  </si>
  <si>
    <t>急凍鳥</t>
  </si>
  <si>
    <t>サンダー</t>
  </si>
  <si>
    <t>ZAPDOS</t>
  </si>
  <si>
    <t>ELECTHOR</t>
  </si>
  <si>
    <t>썬더</t>
  </si>
  <si>
    <t>闪电鸟</t>
  </si>
  <si>
    <t>閃電鳥</t>
  </si>
  <si>
    <t>ファイヤー</t>
  </si>
  <si>
    <t>MOLTRES</t>
  </si>
  <si>
    <t>SULFURA</t>
  </si>
  <si>
    <t>LAVADOS</t>
  </si>
  <si>
    <t>파이어</t>
  </si>
  <si>
    <t>火焰鸟</t>
  </si>
  <si>
    <t>火焰鳥</t>
  </si>
  <si>
    <t>ミニリュウ</t>
  </si>
  <si>
    <t>DRATINI</t>
  </si>
  <si>
    <t>MINIDRACO</t>
  </si>
  <si>
    <t>미뇽</t>
  </si>
  <si>
    <t>迷你龙</t>
  </si>
  <si>
    <t>迷你龍</t>
  </si>
  <si>
    <t>ハクリュー</t>
  </si>
  <si>
    <t>DRAGONAIR</t>
  </si>
  <si>
    <t>DRACO</t>
  </si>
  <si>
    <t>DRAGONIR</t>
  </si>
  <si>
    <t>신뇽</t>
  </si>
  <si>
    <t>哈克龙</t>
  </si>
  <si>
    <t>哈克龍</t>
  </si>
  <si>
    <t>カイリュー</t>
  </si>
  <si>
    <t>DRAGONITE</t>
  </si>
  <si>
    <t>DRACOLOSSE</t>
  </si>
  <si>
    <t>DRAGORAN</t>
  </si>
  <si>
    <t>망나뇽</t>
  </si>
  <si>
    <t>快龙</t>
  </si>
  <si>
    <t>快龍</t>
  </si>
  <si>
    <t>ミュウツー</t>
  </si>
  <si>
    <t>MEWTWO</t>
  </si>
  <si>
    <t>MEWTU</t>
  </si>
  <si>
    <t>뮤츠</t>
  </si>
  <si>
    <t>超梦</t>
  </si>
  <si>
    <t>超夢</t>
  </si>
  <si>
    <t>ミュウ</t>
  </si>
  <si>
    <t>MEW</t>
  </si>
  <si>
    <t>뮤</t>
  </si>
  <si>
    <t>梦幻</t>
  </si>
  <si>
    <t>夢幻</t>
  </si>
  <si>
    <t>チコリータ</t>
  </si>
  <si>
    <t>CHIKORITA</t>
  </si>
  <si>
    <t>GERMIGNON</t>
  </si>
  <si>
    <t>ENDIVIE</t>
  </si>
  <si>
    <t>치코리타</t>
  </si>
  <si>
    <t>菊草叶</t>
  </si>
  <si>
    <t>菊草葉</t>
  </si>
  <si>
    <t>ベイリーフ</t>
  </si>
  <si>
    <t>BAYLEEF</t>
  </si>
  <si>
    <t>MACRONIUM</t>
  </si>
  <si>
    <t>LORBLATT</t>
  </si>
  <si>
    <t>베이리프</t>
  </si>
  <si>
    <t>月桂叶</t>
  </si>
  <si>
    <t>月桂葉</t>
  </si>
  <si>
    <t>メガニウム</t>
  </si>
  <si>
    <t>MEGANIUM</t>
  </si>
  <si>
    <t>MEGANIE</t>
  </si>
  <si>
    <t>메가니움</t>
  </si>
  <si>
    <t>大竺葵</t>
  </si>
  <si>
    <t>ヒノアラシ</t>
  </si>
  <si>
    <t>CYNDAQUIL</t>
  </si>
  <si>
    <t>HERICENDRE</t>
  </si>
  <si>
    <t>FEURIGEL</t>
  </si>
  <si>
    <t>브케인</t>
  </si>
  <si>
    <t>火球鼠</t>
  </si>
  <si>
    <t>マグマラシ</t>
  </si>
  <si>
    <t>QUILAVA</t>
  </si>
  <si>
    <t>FEURISSON</t>
  </si>
  <si>
    <t>IGELAVAR</t>
  </si>
  <si>
    <t>마그케인</t>
  </si>
  <si>
    <t>火岩鼠</t>
  </si>
  <si>
    <t>バクフーン</t>
  </si>
  <si>
    <t>TYPHLOSION</t>
  </si>
  <si>
    <t>TORNUPTO</t>
  </si>
  <si>
    <t>블레이범</t>
  </si>
  <si>
    <t>火暴兽</t>
  </si>
  <si>
    <t>火爆獸</t>
  </si>
  <si>
    <t>ワニノコ</t>
  </si>
  <si>
    <t>TOTODILE</t>
  </si>
  <si>
    <t>KAIMINUS</t>
  </si>
  <si>
    <t>KARNIMANI</t>
  </si>
  <si>
    <t>리아코</t>
  </si>
  <si>
    <t>小锯鳄</t>
  </si>
  <si>
    <t>小鋸鱷</t>
  </si>
  <si>
    <t>アリゲイツ</t>
  </si>
  <si>
    <t>CROCONAW</t>
  </si>
  <si>
    <t>CROCRODIL</t>
  </si>
  <si>
    <t>TYRACROC</t>
  </si>
  <si>
    <t>엘리게이</t>
  </si>
  <si>
    <t>蓝鳄</t>
  </si>
  <si>
    <t>藍鱷</t>
  </si>
  <si>
    <t>オーダイル</t>
  </si>
  <si>
    <t>FERALIGATR</t>
  </si>
  <si>
    <t>ALIGATUEUR</t>
  </si>
  <si>
    <t>IMPERGATOR</t>
  </si>
  <si>
    <t>장크로다일</t>
  </si>
  <si>
    <t>大力鳄</t>
  </si>
  <si>
    <t>大力鱷</t>
  </si>
  <si>
    <t>オタチ</t>
  </si>
  <si>
    <t>SENTRET</t>
  </si>
  <si>
    <t>FOUINETTE</t>
  </si>
  <si>
    <t>WIESOR</t>
  </si>
  <si>
    <t>꼬리선</t>
  </si>
  <si>
    <t>尾立</t>
  </si>
  <si>
    <t>オオタチ</t>
  </si>
  <si>
    <t>FURRET</t>
  </si>
  <si>
    <t>FOUINAR</t>
  </si>
  <si>
    <t>WIESENIOR</t>
  </si>
  <si>
    <t>다꼬리</t>
  </si>
  <si>
    <t>大尾立</t>
  </si>
  <si>
    <t>ホーホー</t>
  </si>
  <si>
    <t>HOOTHOOT</t>
  </si>
  <si>
    <t>부우부</t>
  </si>
  <si>
    <t>咕咕</t>
  </si>
  <si>
    <t>ヨルノズク</t>
  </si>
  <si>
    <t>NOCTOWL</t>
  </si>
  <si>
    <t>NOARFANG</t>
  </si>
  <si>
    <t>NOCTUH</t>
  </si>
  <si>
    <t>야부엉</t>
  </si>
  <si>
    <t>猫头夜鹰</t>
  </si>
  <si>
    <t>貓頭夜鷹</t>
  </si>
  <si>
    <t>レディバ</t>
  </si>
  <si>
    <t>LEDYBA</t>
  </si>
  <si>
    <t>COXY</t>
  </si>
  <si>
    <t>레디바</t>
  </si>
  <si>
    <t>芭瓢虫</t>
  </si>
  <si>
    <t>芭瓢蟲</t>
  </si>
  <si>
    <t>レディアン</t>
  </si>
  <si>
    <t>LEDIAN</t>
  </si>
  <si>
    <t>COXYCLAQUE</t>
  </si>
  <si>
    <t>레디안</t>
  </si>
  <si>
    <t>安瓢虫</t>
  </si>
  <si>
    <t>安瓢蟲</t>
  </si>
  <si>
    <t>イトマル</t>
  </si>
  <si>
    <t>SPINARAK</t>
  </si>
  <si>
    <t>MIMIGAL</t>
  </si>
  <si>
    <t>WEBARAK</t>
  </si>
  <si>
    <t>페이검</t>
  </si>
  <si>
    <t>圆丝蛛</t>
  </si>
  <si>
    <t>圓絲蛛</t>
  </si>
  <si>
    <t>アリアドス</t>
  </si>
  <si>
    <t>ARIADOS</t>
  </si>
  <si>
    <t>MIGALOS</t>
  </si>
  <si>
    <t>아리아도스</t>
  </si>
  <si>
    <t>阿利多斯</t>
  </si>
  <si>
    <t>クロバット</t>
  </si>
  <si>
    <t>CROBAT</t>
  </si>
  <si>
    <t>NOSTENFER</t>
  </si>
  <si>
    <t>IKSBAT</t>
  </si>
  <si>
    <t>크로뱃</t>
  </si>
  <si>
    <t>叉字蝠</t>
  </si>
  <si>
    <t>チョンチー</t>
  </si>
  <si>
    <t>CHINCHOU</t>
  </si>
  <si>
    <t>LOUPIO</t>
  </si>
  <si>
    <t>LAMPI</t>
  </si>
  <si>
    <t>초라기</t>
  </si>
  <si>
    <t>灯笼鱼</t>
  </si>
  <si>
    <t>燈籠魚</t>
  </si>
  <si>
    <t>ランターン</t>
  </si>
  <si>
    <t>LANTURN</t>
  </si>
  <si>
    <t>랜턴</t>
  </si>
  <si>
    <t>电灯怪</t>
  </si>
  <si>
    <t>電燈怪</t>
  </si>
  <si>
    <t>ピチュー</t>
  </si>
  <si>
    <t>PICHU</t>
  </si>
  <si>
    <t>피츄</t>
  </si>
  <si>
    <t>皮丘</t>
  </si>
  <si>
    <t>ピィ</t>
  </si>
  <si>
    <t>CLEFFA</t>
  </si>
  <si>
    <t>MELO</t>
  </si>
  <si>
    <t>PII</t>
  </si>
  <si>
    <t>삐</t>
  </si>
  <si>
    <t>皮宝宝</t>
  </si>
  <si>
    <t>皮寶寶</t>
  </si>
  <si>
    <t>ププリン</t>
  </si>
  <si>
    <t>IGGLYBUFF</t>
  </si>
  <si>
    <t>TOUDOUDOU</t>
  </si>
  <si>
    <t>FLUFFELUFF</t>
  </si>
  <si>
    <t>푸푸린</t>
  </si>
  <si>
    <t>宝宝丁</t>
  </si>
  <si>
    <t>寶寶丁</t>
  </si>
  <si>
    <t>トゲピー</t>
  </si>
  <si>
    <t>TOGEPI</t>
  </si>
  <si>
    <t>토게피</t>
  </si>
  <si>
    <t>波克比</t>
  </si>
  <si>
    <t>トゲチック</t>
  </si>
  <si>
    <t>TOGETIC</t>
  </si>
  <si>
    <t>토게틱</t>
  </si>
  <si>
    <t>波克基古</t>
  </si>
  <si>
    <t>ネイティ</t>
  </si>
  <si>
    <t>NATU</t>
  </si>
  <si>
    <t>네이티</t>
  </si>
  <si>
    <t>天然雀</t>
  </si>
  <si>
    <t>ネイティオ</t>
  </si>
  <si>
    <t>XATU</t>
  </si>
  <si>
    <t>네이티오</t>
  </si>
  <si>
    <t>天然鸟</t>
  </si>
  <si>
    <t>天然鳥</t>
  </si>
  <si>
    <t>メリープ</t>
  </si>
  <si>
    <t>MAREEP</t>
  </si>
  <si>
    <t>WATTOUAT</t>
  </si>
  <si>
    <t>VOLTILAMM</t>
  </si>
  <si>
    <t>메리프</t>
  </si>
  <si>
    <t>咩利羊</t>
  </si>
  <si>
    <t>モココ</t>
  </si>
  <si>
    <t>FLAAFFY</t>
  </si>
  <si>
    <t>LAINERGIE</t>
  </si>
  <si>
    <t>WAATY</t>
  </si>
  <si>
    <t>보송송</t>
  </si>
  <si>
    <t>茸茸羊</t>
  </si>
  <si>
    <t>デンリュウ</t>
  </si>
  <si>
    <t>AMPHAROS</t>
  </si>
  <si>
    <t>PHARAMP</t>
  </si>
  <si>
    <t>전룡</t>
  </si>
  <si>
    <t>电龙</t>
  </si>
  <si>
    <t>電龍</t>
  </si>
  <si>
    <t>キレイハナ</t>
  </si>
  <si>
    <t>BELLOSSOM</t>
  </si>
  <si>
    <t>JOLIFLOR</t>
  </si>
  <si>
    <t>BLUBELLA</t>
  </si>
  <si>
    <t>아르코</t>
  </si>
  <si>
    <t>美丽花</t>
  </si>
  <si>
    <t>美麗花</t>
  </si>
  <si>
    <t>マリル</t>
  </si>
  <si>
    <t>MARILL</t>
  </si>
  <si>
    <t>마릴</t>
  </si>
  <si>
    <t>玛力露</t>
  </si>
  <si>
    <t>瑪力露</t>
  </si>
  <si>
    <t>マリルリ</t>
  </si>
  <si>
    <t>AZUMARILL</t>
  </si>
  <si>
    <t>마릴리</t>
  </si>
  <si>
    <t>玛力露丽</t>
  </si>
  <si>
    <t>瑪力露麗</t>
  </si>
  <si>
    <t>ウソッキー</t>
  </si>
  <si>
    <t>SUDOWOODO</t>
  </si>
  <si>
    <t>SIMULARBRE</t>
  </si>
  <si>
    <t>MOGELBAUM</t>
  </si>
  <si>
    <t>꼬지모</t>
  </si>
  <si>
    <t>树才怪</t>
  </si>
  <si>
    <t>樹才怪</t>
  </si>
  <si>
    <t>ニョロトノ</t>
  </si>
  <si>
    <t>POLITOED</t>
  </si>
  <si>
    <t>TARPAUD</t>
  </si>
  <si>
    <t>QUAXO</t>
  </si>
  <si>
    <t>왕구리</t>
  </si>
  <si>
    <t>蚊香蛙皇</t>
  </si>
  <si>
    <t>ハネッコ</t>
  </si>
  <si>
    <t>HOPPIP</t>
  </si>
  <si>
    <t>GRANIVOL</t>
  </si>
  <si>
    <t>HOPPSPROSS</t>
  </si>
  <si>
    <t>통통코</t>
  </si>
  <si>
    <t>毽子草</t>
  </si>
  <si>
    <t>ポポッコ</t>
  </si>
  <si>
    <t>SKIPLOOM</t>
  </si>
  <si>
    <t>FLORAVOL</t>
  </si>
  <si>
    <t>HUBELUPF</t>
  </si>
  <si>
    <t>두코</t>
  </si>
  <si>
    <t>毽子花</t>
  </si>
  <si>
    <t>ワタッコ</t>
  </si>
  <si>
    <t>JUMPLUFF</t>
  </si>
  <si>
    <t>COTOVOL</t>
  </si>
  <si>
    <t>PAPUNGHA</t>
  </si>
  <si>
    <t>솜솜코</t>
  </si>
  <si>
    <t>毽子棉</t>
  </si>
  <si>
    <t>エイパム</t>
  </si>
  <si>
    <t>AIPOM</t>
  </si>
  <si>
    <t>CAPUMAIN</t>
  </si>
  <si>
    <t>GRIFFEL</t>
  </si>
  <si>
    <t>에이팜</t>
  </si>
  <si>
    <t>长尾怪手</t>
  </si>
  <si>
    <t>長尾怪手</t>
  </si>
  <si>
    <t>ヒマナッツ</t>
  </si>
  <si>
    <t>SUNKERN</t>
  </si>
  <si>
    <t>TOURNEGRIN</t>
  </si>
  <si>
    <t>SONNKERN</t>
  </si>
  <si>
    <t>해너츠</t>
  </si>
  <si>
    <t>向日种子</t>
  </si>
  <si>
    <t>向日種子</t>
  </si>
  <si>
    <t>キマワリ</t>
  </si>
  <si>
    <t>SUNFLORA</t>
  </si>
  <si>
    <t>HELIATRONC</t>
  </si>
  <si>
    <t>SONNFLORA</t>
  </si>
  <si>
    <t>해루미</t>
  </si>
  <si>
    <t>向日花怪</t>
  </si>
  <si>
    <t>ヤンヤンマ</t>
  </si>
  <si>
    <t>YANMA</t>
  </si>
  <si>
    <t>왕자리</t>
  </si>
  <si>
    <t>蜻蜻蜓</t>
  </si>
  <si>
    <t>ウパー</t>
  </si>
  <si>
    <t>WOOPER</t>
  </si>
  <si>
    <t>AXOLOTO</t>
  </si>
  <si>
    <t>FELINO</t>
  </si>
  <si>
    <t>우파</t>
  </si>
  <si>
    <t>乌波</t>
  </si>
  <si>
    <t>烏波</t>
  </si>
  <si>
    <t>ヌオー</t>
  </si>
  <si>
    <t>QUAGSIRE</t>
  </si>
  <si>
    <t>MARAISTE</t>
  </si>
  <si>
    <t>MORLORD</t>
  </si>
  <si>
    <t>누오</t>
  </si>
  <si>
    <t>沼王</t>
  </si>
  <si>
    <t>エーフィ</t>
  </si>
  <si>
    <t>ESPEON</t>
  </si>
  <si>
    <t>MENTALI</t>
  </si>
  <si>
    <t>PSIANA</t>
  </si>
  <si>
    <t>에브이</t>
  </si>
  <si>
    <t>太阳伊布</t>
  </si>
  <si>
    <t>太陽伊布</t>
  </si>
  <si>
    <t>ブラッキー</t>
  </si>
  <si>
    <t>UMBREON</t>
  </si>
  <si>
    <t>NOCTALI</t>
  </si>
  <si>
    <t>NACHTARA</t>
  </si>
  <si>
    <t>블래키</t>
  </si>
  <si>
    <t>月亮伊布</t>
  </si>
  <si>
    <t>ヤミカラス</t>
  </si>
  <si>
    <t>MURKROW</t>
  </si>
  <si>
    <t>CORNEBRE</t>
  </si>
  <si>
    <t>KRAMURX</t>
  </si>
  <si>
    <t>니로우</t>
  </si>
  <si>
    <t>黑暗鸦</t>
  </si>
  <si>
    <t>黑暗鴉</t>
  </si>
  <si>
    <t>ヤドキング</t>
  </si>
  <si>
    <t>SLOWKING</t>
  </si>
  <si>
    <t>ROIGADA</t>
  </si>
  <si>
    <t>LASCHOKING</t>
  </si>
  <si>
    <t>야도킹</t>
  </si>
  <si>
    <t>呆呆王</t>
  </si>
  <si>
    <t>ムウマ</t>
  </si>
  <si>
    <t>MISDREAVUS</t>
  </si>
  <si>
    <t>FEUFOREVE</t>
  </si>
  <si>
    <t>TRAUNFUGIL</t>
  </si>
  <si>
    <t>무우마</t>
  </si>
  <si>
    <t>梦妖</t>
  </si>
  <si>
    <t>夢妖</t>
  </si>
  <si>
    <t>アンノーン</t>
  </si>
  <si>
    <t>UNOWN</t>
  </si>
  <si>
    <t>ZARBI</t>
  </si>
  <si>
    <t>ICOGNITO</t>
  </si>
  <si>
    <t>안농</t>
  </si>
  <si>
    <t>未知图腾</t>
  </si>
  <si>
    <t>未知圖騰</t>
  </si>
  <si>
    <t>ソーナンス</t>
  </si>
  <si>
    <t>WOBBUFFET</t>
  </si>
  <si>
    <t>QULBUTOKE</t>
  </si>
  <si>
    <t>WOINGENAU</t>
  </si>
  <si>
    <t>마자용</t>
  </si>
  <si>
    <t>果然翁</t>
  </si>
  <si>
    <t>キリンリキ</t>
  </si>
  <si>
    <t>GIRAFARIG</t>
  </si>
  <si>
    <t>키링키</t>
  </si>
  <si>
    <t>麒麟奇</t>
  </si>
  <si>
    <t>クヌギダマ</t>
  </si>
  <si>
    <t>PINECO</t>
  </si>
  <si>
    <t>POMDEPIK</t>
  </si>
  <si>
    <t>TANNZA</t>
  </si>
  <si>
    <t>피콘</t>
  </si>
  <si>
    <t>榛果球</t>
  </si>
  <si>
    <t>フォレトス</t>
  </si>
  <si>
    <t>FORRETRESS</t>
  </si>
  <si>
    <t>FORETRESS</t>
  </si>
  <si>
    <t>FORSTELLKA</t>
  </si>
  <si>
    <t>쏘콘</t>
  </si>
  <si>
    <t>佛烈托斯</t>
  </si>
  <si>
    <t>ノコッチ</t>
  </si>
  <si>
    <t>DUNSPARCE</t>
  </si>
  <si>
    <t>INSOLOURDO</t>
  </si>
  <si>
    <t>DUMMISEL</t>
  </si>
  <si>
    <t>노고치</t>
  </si>
  <si>
    <t>土龙弟弟</t>
  </si>
  <si>
    <t>土龍弟弟</t>
  </si>
  <si>
    <t>グライガー</t>
  </si>
  <si>
    <t>GLIGAR</t>
  </si>
  <si>
    <t>SCORPLANE</t>
  </si>
  <si>
    <t>SKORGLA</t>
  </si>
  <si>
    <t>글라이거</t>
  </si>
  <si>
    <t>天蝎</t>
  </si>
  <si>
    <t>天蠍</t>
  </si>
  <si>
    <t>ハガネール</t>
  </si>
  <si>
    <t>STEELIX</t>
  </si>
  <si>
    <t>STAHLOS</t>
  </si>
  <si>
    <t>강철톤</t>
  </si>
  <si>
    <t>大钢蛇</t>
  </si>
  <si>
    <t>大鋼蛇</t>
  </si>
  <si>
    <t>ブルー</t>
  </si>
  <si>
    <t>SNUBBULL</t>
  </si>
  <si>
    <t>布鲁</t>
  </si>
  <si>
    <t>布魯</t>
  </si>
  <si>
    <t>グランブル</t>
  </si>
  <si>
    <t>GRANBULL</t>
  </si>
  <si>
    <t>그랑블루</t>
  </si>
  <si>
    <t>布鲁皇</t>
  </si>
  <si>
    <t>布魯皇</t>
  </si>
  <si>
    <t>ハリーセン</t>
  </si>
  <si>
    <t>QWILFISH</t>
  </si>
  <si>
    <t>BALDORFISH</t>
  </si>
  <si>
    <t>침바루</t>
  </si>
  <si>
    <t>千针鱼</t>
  </si>
  <si>
    <t>千針魚</t>
  </si>
  <si>
    <t>ハッサム</t>
  </si>
  <si>
    <t>SCIZOR</t>
  </si>
  <si>
    <t>CIZAYOX</t>
  </si>
  <si>
    <t>SCHEROX</t>
  </si>
  <si>
    <t>핫삼</t>
  </si>
  <si>
    <t>巨钳螳螂</t>
  </si>
  <si>
    <t>巨鉗螳螂</t>
  </si>
  <si>
    <t>ツボツボ</t>
  </si>
  <si>
    <t>SHUCKLE</t>
  </si>
  <si>
    <t>CARATROC</t>
  </si>
  <si>
    <t>POTTROTT</t>
  </si>
  <si>
    <t>단단지</t>
  </si>
  <si>
    <t>壶壶</t>
  </si>
  <si>
    <t>壺壺</t>
  </si>
  <si>
    <t>ヘラクロス</t>
  </si>
  <si>
    <t>HERACROSS</t>
  </si>
  <si>
    <t>SCARHINO</t>
  </si>
  <si>
    <t>SKARABORN</t>
  </si>
  <si>
    <t>헤라크로스</t>
  </si>
  <si>
    <t>赫拉克罗斯</t>
  </si>
  <si>
    <t>赫拉克羅斯</t>
  </si>
  <si>
    <t>ニューラ</t>
  </si>
  <si>
    <t>SNEASEL</t>
  </si>
  <si>
    <t>FARFURET</t>
  </si>
  <si>
    <t>SNIEBEL</t>
  </si>
  <si>
    <t>포푸니</t>
  </si>
  <si>
    <t>狃拉</t>
  </si>
  <si>
    <t>ヒメグマ</t>
  </si>
  <si>
    <t>TEDDIURSA</t>
  </si>
  <si>
    <t>깜지곰</t>
  </si>
  <si>
    <t>熊宝宝</t>
  </si>
  <si>
    <t>熊寶寶</t>
  </si>
  <si>
    <t>リングマ</t>
  </si>
  <si>
    <t>URSARING</t>
  </si>
  <si>
    <t>링곰</t>
  </si>
  <si>
    <t>圈圈熊</t>
  </si>
  <si>
    <t>マグマッグ</t>
  </si>
  <si>
    <t>SLUGMA</t>
  </si>
  <si>
    <t>LIMAGMA</t>
  </si>
  <si>
    <t>SCHNECKMAG</t>
  </si>
  <si>
    <t>마그마그</t>
  </si>
  <si>
    <t>熔岩虫</t>
  </si>
  <si>
    <t>熔岩蟲</t>
  </si>
  <si>
    <t>マグカルゴ</t>
  </si>
  <si>
    <t>MAGCARGO</t>
  </si>
  <si>
    <t>VOLCAROPOD</t>
  </si>
  <si>
    <t>마그카르고</t>
  </si>
  <si>
    <t>熔岩蜗牛</t>
  </si>
  <si>
    <t>熔岩蝸牛</t>
  </si>
  <si>
    <t>ウリムー</t>
  </si>
  <si>
    <t>SWINUB</t>
  </si>
  <si>
    <t>MARCACRIN</t>
  </si>
  <si>
    <t>QUIEKEL</t>
  </si>
  <si>
    <t>꾸꾸리</t>
  </si>
  <si>
    <t>小山猪</t>
  </si>
  <si>
    <t>小山豬</t>
  </si>
  <si>
    <t>イノムー</t>
  </si>
  <si>
    <t>PILOSWINE</t>
  </si>
  <si>
    <t>COCHIGNON</t>
  </si>
  <si>
    <t>KEIFEL</t>
  </si>
  <si>
    <t>메꾸리</t>
  </si>
  <si>
    <t>长毛猪</t>
  </si>
  <si>
    <t>長毛豬</t>
  </si>
  <si>
    <t>サニーゴ</t>
  </si>
  <si>
    <t>CORSOLA</t>
  </si>
  <si>
    <t>CORAYON</t>
  </si>
  <si>
    <t>CORASONN</t>
  </si>
  <si>
    <t>코산호</t>
  </si>
  <si>
    <t>太阳珊瑚</t>
  </si>
  <si>
    <t>太陽珊瑚</t>
  </si>
  <si>
    <t>テッポウオ</t>
  </si>
  <si>
    <t>REMORAID</t>
  </si>
  <si>
    <t>총어</t>
  </si>
  <si>
    <t>铁炮鱼</t>
  </si>
  <si>
    <t>鐵炮魚</t>
  </si>
  <si>
    <t>オクタン</t>
  </si>
  <si>
    <t>OCTILLERY</t>
  </si>
  <si>
    <t>대포무노</t>
  </si>
  <si>
    <t>章鱼桶</t>
  </si>
  <si>
    <t>章魚桶</t>
  </si>
  <si>
    <t>デリバード</t>
  </si>
  <si>
    <t>DELIBIRD</t>
  </si>
  <si>
    <t>CADOIZO</t>
  </si>
  <si>
    <t>BOTOGEL</t>
  </si>
  <si>
    <t>딜리버드</t>
  </si>
  <si>
    <t>信使鸟</t>
  </si>
  <si>
    <t>信使鳥</t>
  </si>
  <si>
    <t>マンタイン</t>
  </si>
  <si>
    <t>MANTINE</t>
  </si>
  <si>
    <t>DEMANTA</t>
  </si>
  <si>
    <t>MANTAX</t>
  </si>
  <si>
    <t>만타인</t>
  </si>
  <si>
    <t>巨翅飞鱼</t>
  </si>
  <si>
    <t>巨翅飛魚</t>
  </si>
  <si>
    <t>エアームド</t>
  </si>
  <si>
    <t>SKARMORY</t>
  </si>
  <si>
    <t>AIRMURE</t>
  </si>
  <si>
    <t>PANZAERON</t>
  </si>
  <si>
    <t>무장조</t>
  </si>
  <si>
    <t>盔甲鸟</t>
  </si>
  <si>
    <t>盔甲鳥</t>
  </si>
  <si>
    <t>デルビル</t>
  </si>
  <si>
    <t>HOUNDOUR</t>
  </si>
  <si>
    <t>MALOSSE</t>
  </si>
  <si>
    <t>HUNDUSTER</t>
  </si>
  <si>
    <t>델빌</t>
  </si>
  <si>
    <t>戴鲁比</t>
  </si>
  <si>
    <t>戴魯比</t>
  </si>
  <si>
    <t>ヘルガー</t>
  </si>
  <si>
    <t>HOUNDOOM</t>
  </si>
  <si>
    <t>DEMOLOSSE</t>
  </si>
  <si>
    <t>HUNDEMON</t>
  </si>
  <si>
    <t>헬가</t>
  </si>
  <si>
    <t>黑鲁加</t>
  </si>
  <si>
    <t>黑魯加</t>
  </si>
  <si>
    <t>キングドラ</t>
  </si>
  <si>
    <t>KINGDRA</t>
  </si>
  <si>
    <t>HYPOROI</t>
  </si>
  <si>
    <t>SEEDRAKING</t>
  </si>
  <si>
    <t>킹드라</t>
  </si>
  <si>
    <t>刺龙王</t>
  </si>
  <si>
    <t>刺龍王</t>
  </si>
  <si>
    <t>ゴマゾウ</t>
  </si>
  <si>
    <t>PHANPY</t>
  </si>
  <si>
    <t>코코리</t>
  </si>
  <si>
    <t>小小象</t>
  </si>
  <si>
    <t>ドンファン</t>
  </si>
  <si>
    <t>DONPHAN</t>
  </si>
  <si>
    <t>코리갑</t>
  </si>
  <si>
    <t>顿甲</t>
  </si>
  <si>
    <t>頓甲</t>
  </si>
  <si>
    <t>ポリゴン２</t>
  </si>
  <si>
    <t>PORYGON2</t>
  </si>
  <si>
    <t>폴리곤2</t>
  </si>
  <si>
    <t>多边兽２型</t>
  </si>
  <si>
    <t>多邊獸Ⅱ</t>
  </si>
  <si>
    <t>オドシシ</t>
  </si>
  <si>
    <t>STANTLER</t>
  </si>
  <si>
    <t>CERFROUSSE</t>
  </si>
  <si>
    <t>DAMHIRPLEX</t>
  </si>
  <si>
    <t>노라키</t>
  </si>
  <si>
    <t>惊角鹿</t>
  </si>
  <si>
    <t>驚角鹿</t>
  </si>
  <si>
    <t>ドーブル</t>
  </si>
  <si>
    <t>SMEARGLE</t>
  </si>
  <si>
    <t>QUEULORIOR</t>
  </si>
  <si>
    <t>FARBEAGLE</t>
  </si>
  <si>
    <t>루브도</t>
  </si>
  <si>
    <t>图图犬</t>
  </si>
  <si>
    <t>圖圖犬</t>
  </si>
  <si>
    <t>バルキー</t>
  </si>
  <si>
    <t>TYROGUE</t>
  </si>
  <si>
    <t>DEBUGANT</t>
  </si>
  <si>
    <t>RABAUZ</t>
  </si>
  <si>
    <t>배루키</t>
  </si>
  <si>
    <t>无畏小子</t>
  </si>
  <si>
    <t>無畏小子</t>
  </si>
  <si>
    <t>カポエラー</t>
  </si>
  <si>
    <t>HITMONTOP</t>
  </si>
  <si>
    <t>KAPOERA</t>
  </si>
  <si>
    <t>카포에라</t>
  </si>
  <si>
    <t>战舞郎</t>
  </si>
  <si>
    <t>戰舞郎</t>
  </si>
  <si>
    <t>ムチュール</t>
  </si>
  <si>
    <t>SMOOCHUM</t>
  </si>
  <si>
    <t>LIPPOUTI</t>
  </si>
  <si>
    <t>KUSSILLA</t>
  </si>
  <si>
    <t>뽀뽀라</t>
  </si>
  <si>
    <t>迷唇娃</t>
  </si>
  <si>
    <t>エレキッド</t>
  </si>
  <si>
    <t>ELEKID</t>
  </si>
  <si>
    <t>에레키드</t>
  </si>
  <si>
    <t>电击怪</t>
  </si>
  <si>
    <t>電擊怪</t>
  </si>
  <si>
    <t>ブビィ</t>
  </si>
  <si>
    <t>MAGBY</t>
  </si>
  <si>
    <t>마그비</t>
  </si>
  <si>
    <t>鸭嘴宝宝</t>
  </si>
  <si>
    <t>鴨嘴寶寶</t>
  </si>
  <si>
    <t>ミルタンク</t>
  </si>
  <si>
    <t>MILTANK</t>
  </si>
  <si>
    <t>ECREMEUH</t>
  </si>
  <si>
    <t>밀탱크</t>
  </si>
  <si>
    <t>大奶罐</t>
  </si>
  <si>
    <t>ハピナス</t>
  </si>
  <si>
    <t>BLISSEY</t>
  </si>
  <si>
    <t>LEUPHORIE</t>
  </si>
  <si>
    <t>HEITEIRA</t>
  </si>
  <si>
    <t>해피너스</t>
  </si>
  <si>
    <t>幸福蛋</t>
  </si>
  <si>
    <t>ライコウ</t>
  </si>
  <si>
    <t>RAIKOU</t>
  </si>
  <si>
    <t>라이코</t>
  </si>
  <si>
    <t>雷公</t>
  </si>
  <si>
    <t>エンテイ</t>
  </si>
  <si>
    <t>ENTEI</t>
  </si>
  <si>
    <t>앤테이</t>
  </si>
  <si>
    <t>炎帝</t>
  </si>
  <si>
    <t>スイクン</t>
  </si>
  <si>
    <t>SUICUNE</t>
  </si>
  <si>
    <t>스이쿤</t>
  </si>
  <si>
    <t>水君</t>
  </si>
  <si>
    <t>ヨーギラス</t>
  </si>
  <si>
    <t>LARVITAR</t>
  </si>
  <si>
    <t>EMBRYLEX</t>
  </si>
  <si>
    <t>애버라스</t>
  </si>
  <si>
    <t>幼基拉斯</t>
  </si>
  <si>
    <t>サナギラス</t>
  </si>
  <si>
    <t>PUPITAR</t>
  </si>
  <si>
    <t>YMPHECT</t>
  </si>
  <si>
    <t>데기라스</t>
  </si>
  <si>
    <t>沙基拉斯</t>
  </si>
  <si>
    <t>バンギラス</t>
  </si>
  <si>
    <t>TYRANITAR</t>
  </si>
  <si>
    <t>TYRANOCIF</t>
  </si>
  <si>
    <t>DESPOTAR</t>
  </si>
  <si>
    <t>마기라스</t>
  </si>
  <si>
    <t>班基拉斯</t>
  </si>
  <si>
    <t>ルギア</t>
  </si>
  <si>
    <t>LUGIA</t>
  </si>
  <si>
    <t>루기아</t>
  </si>
  <si>
    <t>洛奇亚</t>
  </si>
  <si>
    <t>洛奇亞</t>
  </si>
  <si>
    <t>ホウオウ</t>
  </si>
  <si>
    <t>HO-OH</t>
  </si>
  <si>
    <t>칠색조</t>
  </si>
  <si>
    <t>凤王</t>
  </si>
  <si>
    <t>鳳王</t>
  </si>
  <si>
    <t>セレビィ</t>
  </si>
  <si>
    <t>CELEBI</t>
  </si>
  <si>
    <t>세레비</t>
  </si>
  <si>
    <t>时拉比</t>
  </si>
  <si>
    <t>時拉比</t>
  </si>
  <si>
    <t>Japanese</t>
  </si>
  <si>
    <t>ChineseSI</t>
  </si>
  <si>
    <t>ChineseTR</t>
  </si>
  <si>
    <t>ProtoIntxKO</t>
  </si>
  <si>
    <t>À</t>
  </si>
  <si>
    <t>Á</t>
  </si>
  <si>
    <t>Â</t>
  </si>
  <si>
    <t>Ç</t>
  </si>
  <si>
    <t>È</t>
  </si>
  <si>
    <t>É</t>
  </si>
  <si>
    <t>Ê</t>
  </si>
  <si>
    <t>Ë</t>
  </si>
  <si>
    <t>Ì</t>
  </si>
  <si>
    <t>Ã</t>
  </si>
  <si>
    <t>Î</t>
  </si>
  <si>
    <t>Ï</t>
  </si>
  <si>
    <t>Ò</t>
  </si>
  <si>
    <t>Ó</t>
  </si>
  <si>
    <t>Ô</t>
  </si>
  <si>
    <t>あ</t>
  </si>
  <si>
    <t>い</t>
  </si>
  <si>
    <t>う</t>
  </si>
  <si>
    <t>え</t>
  </si>
  <si>
    <t>お</t>
  </si>
  <si>
    <t>か</t>
  </si>
  <si>
    <t>き</t>
  </si>
  <si>
    <t>く</t>
  </si>
  <si>
    <t>け</t>
  </si>
  <si>
    <t>こ</t>
  </si>
  <si>
    <t>さ</t>
  </si>
  <si>
    <t>し</t>
  </si>
  <si>
    <t>す</t>
  </si>
  <si>
    <t>せ</t>
  </si>
  <si>
    <t>そ</t>
  </si>
  <si>
    <t>ㄱ</t>
  </si>
  <si>
    <t>ㄴ</t>
  </si>
  <si>
    <t>ㄷ</t>
  </si>
  <si>
    <t>ㄹ</t>
  </si>
  <si>
    <t>ㅁ</t>
  </si>
  <si>
    <t>ㅂ</t>
  </si>
  <si>
    <t>ㅅ</t>
  </si>
  <si>
    <t>ㅇ</t>
  </si>
  <si>
    <t>ㅈ</t>
  </si>
  <si>
    <t>ㅊ</t>
  </si>
  <si>
    <t>ㅋ</t>
  </si>
  <si>
    <t>ㅌ</t>
  </si>
  <si>
    <t>ㅍ</t>
  </si>
  <si>
    <t>ㅎ</t>
  </si>
  <si>
    <t>ㄲ</t>
  </si>
  <si>
    <t>Œ</t>
  </si>
  <si>
    <t>Ù</t>
  </si>
  <si>
    <t>Ú</t>
  </si>
  <si>
    <t>Û</t>
  </si>
  <si>
    <t>Ñ</t>
  </si>
  <si>
    <t>ß</t>
  </si>
  <si>
    <t>à</t>
  </si>
  <si>
    <t>á</t>
  </si>
  <si>
    <t>Õ</t>
  </si>
  <si>
    <t>ç</t>
  </si>
  <si>
    <t>è</t>
  </si>
  <si>
    <t>é</t>
  </si>
  <si>
    <t>ê</t>
  </si>
  <si>
    <t>ë</t>
  </si>
  <si>
    <t>ì</t>
  </si>
  <si>
    <t>ã</t>
  </si>
  <si>
    <t>た</t>
  </si>
  <si>
    <t>ち</t>
  </si>
  <si>
    <t>つ</t>
  </si>
  <si>
    <t>て</t>
  </si>
  <si>
    <t>と</t>
  </si>
  <si>
    <t>な</t>
  </si>
  <si>
    <t>に</t>
  </si>
  <si>
    <t>ぬ</t>
  </si>
  <si>
    <t>ね</t>
  </si>
  <si>
    <t>の</t>
  </si>
  <si>
    <t>は</t>
  </si>
  <si>
    <t>ひ</t>
  </si>
  <si>
    <t>ふ</t>
  </si>
  <si>
    <t>へ</t>
  </si>
  <si>
    <t>ほ</t>
  </si>
  <si>
    <t>ま</t>
  </si>
  <si>
    <t>ㄸ</t>
  </si>
  <si>
    <t>ㅃ</t>
  </si>
  <si>
    <t>ㅆ</t>
  </si>
  <si>
    <t>ㅉ</t>
  </si>
  <si>
    <t>ó</t>
  </si>
  <si>
    <t>î</t>
  </si>
  <si>
    <t>ï</t>
  </si>
  <si>
    <t>ò</t>
  </si>
  <si>
    <t>ô</t>
  </si>
  <si>
    <t>œ</t>
  </si>
  <si>
    <t>ù</t>
  </si>
  <si>
    <t>ú</t>
  </si>
  <si>
    <t>û</t>
  </si>
  <si>
    <t>ñ</t>
  </si>
  <si>
    <t>º</t>
  </si>
  <si>
    <t>ª</t>
  </si>
  <si>
    <t>ᵉʳ</t>
  </si>
  <si>
    <t>&amp;</t>
  </si>
  <si>
    <t>+</t>
  </si>
  <si>
    <t>õ</t>
  </si>
  <si>
    <t>み</t>
  </si>
  <si>
    <t>む</t>
  </si>
  <si>
    <t>め</t>
  </si>
  <si>
    <t>も</t>
  </si>
  <si>
    <t>や</t>
  </si>
  <si>
    <t>ゆ</t>
  </si>
  <si>
    <t>よ</t>
  </si>
  <si>
    <t>ら</t>
  </si>
  <si>
    <t>り</t>
  </si>
  <si>
    <t>る</t>
  </si>
  <si>
    <t>れ</t>
  </si>
  <si>
    <t>ろ</t>
  </si>
  <si>
    <t>わ</t>
  </si>
  <si>
    <t>を</t>
  </si>
  <si>
    <t>ん</t>
  </si>
  <si>
    <t>ぁ</t>
  </si>
  <si>
    <t>ㅏ</t>
  </si>
  <si>
    <t>ㅑ</t>
  </si>
  <si>
    <t>ㅓ</t>
  </si>
  <si>
    <t>ㅕ</t>
  </si>
  <si>
    <t>ㅗ</t>
  </si>
  <si>
    <t>ㅛ</t>
  </si>
  <si>
    <t>ㅜ</t>
  </si>
  <si>
    <t>ㅠ</t>
  </si>
  <si>
    <t>ㅡ</t>
  </si>
  <si>
    <t>ㅣ</t>
  </si>
  <si>
    <t>ㅐ</t>
  </si>
  <si>
    <t>ㅒ</t>
  </si>
  <si>
    <t>ㅔ</t>
  </si>
  <si>
    <t>ㅖ</t>
  </si>
  <si>
    <t>ㅘ</t>
  </si>
  <si>
    <t>ㅙ</t>
  </si>
  <si>
    <t>ｌ</t>
  </si>
  <si>
    <t>𝑙</t>
  </si>
  <si>
    <t>𝓁</t>
  </si>
  <si>
    <t>𝔩</t>
  </si>
  <si>
    <t>𝚕</t>
  </si>
  <si>
    <t>=</t>
  </si>
  <si>
    <t>;</t>
  </si>
  <si>
    <t>„</t>
  </si>
  <si>
    <t>ぃ</t>
  </si>
  <si>
    <t>ぅ</t>
  </si>
  <si>
    <t>ぇ</t>
  </si>
  <si>
    <t>ぉ</t>
  </si>
  <si>
    <t>ゃ</t>
  </si>
  <si>
    <t>ゅ</t>
  </si>
  <si>
    <t>ょ</t>
  </si>
  <si>
    <t>が</t>
  </si>
  <si>
    <t>ぎ</t>
  </si>
  <si>
    <t>ぐ</t>
  </si>
  <si>
    <t>げ</t>
  </si>
  <si>
    <t>ご</t>
  </si>
  <si>
    <t>ざ</t>
  </si>
  <si>
    <t>じ</t>
  </si>
  <si>
    <t>ず</t>
  </si>
  <si>
    <t>ぜ</t>
  </si>
  <si>
    <t>ㅚ</t>
  </si>
  <si>
    <t>ㅝ</t>
  </si>
  <si>
    <t>ㅞ</t>
  </si>
  <si>
    <t>ㅟ</t>
  </si>
  <si>
    <t>ㅢ</t>
  </si>
  <si>
    <t>@</t>
  </si>
  <si>
    <t>ぞ</t>
  </si>
  <si>
    <t>だ</t>
  </si>
  <si>
    <t>ぢ</t>
  </si>
  <si>
    <t>づ</t>
  </si>
  <si>
    <t>で</t>
  </si>
  <si>
    <t>ど</t>
  </si>
  <si>
    <t>ば</t>
  </si>
  <si>
    <t>び</t>
  </si>
  <si>
    <t>ぶ</t>
  </si>
  <si>
    <t>べ</t>
  </si>
  <si>
    <t>ぼ</t>
  </si>
  <si>
    <t>ぱ</t>
  </si>
  <si>
    <t>ぴ</t>
  </si>
  <si>
    <t>ぷ</t>
  </si>
  <si>
    <t>ぺ</t>
  </si>
  <si>
    <t>ぽ</t>
  </si>
  <si>
    <t>▯</t>
  </si>
  <si>
    <t>¿</t>
  </si>
  <si>
    <t>¡</t>
  </si>
  <si>
    <t>Í</t>
  </si>
  <si>
    <t>%</t>
  </si>
  <si>
    <t>(</t>
  </si>
  <si>
    <t>)</t>
  </si>
  <si>
    <t>っ</t>
  </si>
  <si>
    <t>ア</t>
  </si>
  <si>
    <t>イ</t>
  </si>
  <si>
    <t>ウ</t>
  </si>
  <si>
    <t>エ</t>
  </si>
  <si>
    <t>オ</t>
  </si>
  <si>
    <t>カ</t>
  </si>
  <si>
    <t>キ</t>
  </si>
  <si>
    <t>ク</t>
  </si>
  <si>
    <t>ケ</t>
  </si>
  <si>
    <t>コ</t>
  </si>
  <si>
    <t>サ</t>
  </si>
  <si>
    <t>シ</t>
  </si>
  <si>
    <t>ス</t>
  </si>
  <si>
    <t>セ</t>
  </si>
  <si>
    <t>ソ</t>
  </si>
  <si>
    <t>𝒑</t>
  </si>
  <si>
    <t>𝚙</t>
  </si>
  <si>
    <t>â</t>
  </si>
  <si>
    <t>í</t>
  </si>
  <si>
    <t>タ</t>
  </si>
  <si>
    <t>チ</t>
  </si>
  <si>
    <t>ツ</t>
  </si>
  <si>
    <t>テ</t>
  </si>
  <si>
    <t>ト</t>
  </si>
  <si>
    <t>ナ</t>
  </si>
  <si>
    <t>ニ</t>
  </si>
  <si>
    <t>ヌ</t>
  </si>
  <si>
    <t>ネ</t>
  </si>
  <si>
    <t>ノ</t>
  </si>
  <si>
    <t>ハ</t>
  </si>
  <si>
    <t>ヒ</t>
  </si>
  <si>
    <t>フ</t>
  </si>
  <si>
    <t>ヘ</t>
  </si>
  <si>
    <t>ホ</t>
  </si>
  <si>
    <t>マ</t>
  </si>
  <si>
    <t>~</t>
  </si>
  <si>
    <t>ｎ</t>
  </si>
  <si>
    <t>𝐧</t>
  </si>
  <si>
    <t>𝓃</t>
  </si>
  <si>
    <t>𝚗</t>
  </si>
  <si>
    <t>⬆</t>
  </si>
  <si>
    <t>⬇</t>
  </si>
  <si>
    <t>⬅</t>
  </si>
  <si>
    <t>➡</t>
  </si>
  <si>
    <t>ミ</t>
  </si>
  <si>
    <t>ム</t>
  </si>
  <si>
    <t>メ</t>
  </si>
  <si>
    <t>モ</t>
  </si>
  <si>
    <t>ヤ</t>
  </si>
  <si>
    <t>ユ</t>
  </si>
  <si>
    <t>ヨ</t>
  </si>
  <si>
    <t>ラ</t>
  </si>
  <si>
    <t>リ</t>
  </si>
  <si>
    <t>ル</t>
  </si>
  <si>
    <t>レ</t>
  </si>
  <si>
    <t>ロ</t>
  </si>
  <si>
    <t>ワ</t>
  </si>
  <si>
    <t>ヲ</t>
  </si>
  <si>
    <t>ン</t>
  </si>
  <si>
    <t>ァ</t>
  </si>
  <si>
    <t>ᵉ</t>
  </si>
  <si>
    <t>&lt;</t>
  </si>
  <si>
    <t>&gt;</t>
  </si>
  <si>
    <t>«</t>
  </si>
  <si>
    <t>»</t>
  </si>
  <si>
    <t>ィ</t>
  </si>
  <si>
    <t>ゥ</t>
  </si>
  <si>
    <t>ェ</t>
  </si>
  <si>
    <t>ォ</t>
  </si>
  <si>
    <t>ャ</t>
  </si>
  <si>
    <t>ュ</t>
  </si>
  <si>
    <t>ョ</t>
  </si>
  <si>
    <t>ガ</t>
  </si>
  <si>
    <t>ギ</t>
  </si>
  <si>
    <t>グ</t>
  </si>
  <si>
    <t>ゲ</t>
  </si>
  <si>
    <t>ゴ</t>
  </si>
  <si>
    <t>ザ</t>
  </si>
  <si>
    <t>ジ</t>
  </si>
  <si>
    <t>ズ</t>
  </si>
  <si>
    <t>ゼ</t>
  </si>
  <si>
    <t>ゾ</t>
  </si>
  <si>
    <t>ダ</t>
  </si>
  <si>
    <t>ヂ</t>
  </si>
  <si>
    <t>ヅ</t>
  </si>
  <si>
    <t>デ</t>
  </si>
  <si>
    <t>ド</t>
  </si>
  <si>
    <t>バ</t>
  </si>
  <si>
    <t>ビ</t>
  </si>
  <si>
    <t>ブ</t>
  </si>
  <si>
    <t>ベ</t>
  </si>
  <si>
    <t>ボ</t>
  </si>
  <si>
    <t>パ</t>
  </si>
  <si>
    <t>ピ</t>
  </si>
  <si>
    <t>プ</t>
  </si>
  <si>
    <t>ペ</t>
  </si>
  <si>
    <t>ポ</t>
  </si>
  <si>
    <t>①</t>
  </si>
  <si>
    <t>②</t>
  </si>
  <si>
    <t>③</t>
  </si>
  <si>
    <t>④</t>
  </si>
  <si>
    <t>⑤</t>
  </si>
  <si>
    <t>⑥</t>
  </si>
  <si>
    <t>⑦</t>
  </si>
  <si>
    <t>⑧</t>
  </si>
  <si>
    <t>⑨</t>
  </si>
  <si>
    <t>◎</t>
  </si>
  <si>
    <t>△</t>
  </si>
  <si>
    <t>╳</t>
  </si>
  <si>
    <t>ʳᵉ</t>
  </si>
  <si>
    <t>!</t>
  </si>
  <si>
    <t>?</t>
  </si>
  <si>
    <t>.</t>
  </si>
  <si>
    <t>・</t>
  </si>
  <si>
    <t>ッ</t>
  </si>
  <si>
    <t>０</t>
  </si>
  <si>
    <t>１</t>
  </si>
  <si>
    <t>２</t>
  </si>
  <si>
    <t>３</t>
  </si>
  <si>
    <t>４</t>
  </si>
  <si>
    <t>５</t>
  </si>
  <si>
    <t>６</t>
  </si>
  <si>
    <t>７</t>
  </si>
  <si>
    <t>８</t>
  </si>
  <si>
    <t>９</t>
  </si>
  <si>
    <t>！</t>
  </si>
  <si>
    <t>？</t>
  </si>
  <si>
    <t>。</t>
  </si>
  <si>
    <t>ー</t>
  </si>
  <si>
    <t>…</t>
  </si>
  <si>
    <t>“</t>
  </si>
  <si>
    <t>”</t>
  </si>
  <si>
    <t>‘</t>
  </si>
  <si>
    <t>’</t>
  </si>
  <si>
    <t>♂</t>
  </si>
  <si>
    <t>♀</t>
  </si>
  <si>
    <t>,</t>
  </si>
  <si>
    <t>×</t>
  </si>
  <si>
    <t>/</t>
  </si>
  <si>
    <t>A</t>
  </si>
  <si>
    <t>B</t>
  </si>
  <si>
    <t>C</t>
  </si>
  <si>
    <t>D</t>
  </si>
  <si>
    <t>E</t>
  </si>
  <si>
    <t>‥</t>
  </si>
  <si>
    <t>『</t>
  </si>
  <si>
    <t>』</t>
  </si>
  <si>
    <t>「</t>
  </si>
  <si>
    <t>」</t>
  </si>
  <si>
    <t>円</t>
  </si>
  <si>
    <t>Ａ</t>
  </si>
  <si>
    <t>Ｂ</t>
  </si>
  <si>
    <t>Ｃ</t>
  </si>
  <si>
    <t>Ｄ</t>
  </si>
  <si>
    <t>Ｅ</t>
  </si>
  <si>
    <t>₽</t>
  </si>
  <si>
    <t>F</t>
  </si>
  <si>
    <t>G</t>
  </si>
  <si>
    <t>H</t>
  </si>
  <si>
    <t>I</t>
  </si>
  <si>
    <t>J</t>
  </si>
  <si>
    <t>K</t>
  </si>
  <si>
    <t>L</t>
  </si>
  <si>
    <t>M</t>
  </si>
  <si>
    <t>N</t>
  </si>
  <si>
    <t>O</t>
  </si>
  <si>
    <t>P</t>
  </si>
  <si>
    <t>Q</t>
  </si>
  <si>
    <t>R</t>
  </si>
  <si>
    <t>S</t>
  </si>
  <si>
    <t>T</t>
  </si>
  <si>
    <t>U</t>
  </si>
  <si>
    <t>Ｆ</t>
  </si>
  <si>
    <t>Ｇ</t>
  </si>
  <si>
    <t>Ｈ</t>
  </si>
  <si>
    <t>Ｉ</t>
  </si>
  <si>
    <t>Ｊ</t>
  </si>
  <si>
    <t>Ｋ</t>
  </si>
  <si>
    <t>Ｌ</t>
  </si>
  <si>
    <t>Ｍ</t>
  </si>
  <si>
    <t>Ｎ</t>
  </si>
  <si>
    <t>Ｏ</t>
  </si>
  <si>
    <t>Ｐ</t>
  </si>
  <si>
    <t>Ｑ</t>
  </si>
  <si>
    <t>Ｒ</t>
  </si>
  <si>
    <t>Ｓ</t>
  </si>
  <si>
    <t>Ｔ</t>
  </si>
  <si>
    <t>Ｕ</t>
  </si>
  <si>
    <t>V</t>
  </si>
  <si>
    <t>W</t>
  </si>
  <si>
    <t>X</t>
  </si>
  <si>
    <t>Y</t>
  </si>
  <si>
    <t>Z</t>
  </si>
  <si>
    <t>a</t>
  </si>
  <si>
    <t>b</t>
  </si>
  <si>
    <t>c</t>
  </si>
  <si>
    <t>d</t>
  </si>
  <si>
    <t>e</t>
  </si>
  <si>
    <t>f</t>
  </si>
  <si>
    <t>g</t>
  </si>
  <si>
    <t>h</t>
  </si>
  <si>
    <t>i</t>
  </si>
  <si>
    <t>j</t>
  </si>
  <si>
    <t>k</t>
  </si>
  <si>
    <t>Ｖ</t>
  </si>
  <si>
    <t>Ｗ</t>
  </si>
  <si>
    <t>Ｘ</t>
  </si>
  <si>
    <t>Ｙ</t>
  </si>
  <si>
    <t>Ｚ</t>
  </si>
  <si>
    <t>ａ</t>
  </si>
  <si>
    <t>ｂ</t>
  </si>
  <si>
    <t>ｃ</t>
  </si>
  <si>
    <t>ｄ</t>
  </si>
  <si>
    <t>ｅ</t>
  </si>
  <si>
    <t>ｆ</t>
  </si>
  <si>
    <t>ｇ</t>
  </si>
  <si>
    <t>ｈ</t>
  </si>
  <si>
    <t>ｉ</t>
  </si>
  <si>
    <t>ｊ</t>
  </si>
  <si>
    <t>ｋ</t>
  </si>
  <si>
    <t>l</t>
  </si>
  <si>
    <t>m</t>
  </si>
  <si>
    <t>n</t>
  </si>
  <si>
    <t>o</t>
  </si>
  <si>
    <t>p</t>
  </si>
  <si>
    <t>q</t>
  </si>
  <si>
    <t>r</t>
  </si>
  <si>
    <t>s</t>
  </si>
  <si>
    <t>t</t>
  </si>
  <si>
    <t>u</t>
  </si>
  <si>
    <t>v</t>
  </si>
  <si>
    <t>w</t>
  </si>
  <si>
    <t>x</t>
  </si>
  <si>
    <t>y</t>
  </si>
  <si>
    <t>z</t>
  </si>
  <si>
    <t>▶</t>
  </si>
  <si>
    <t>ｍ</t>
  </si>
  <si>
    <t>ｏ</t>
  </si>
  <si>
    <t>ｐ</t>
  </si>
  <si>
    <t>ｑ</t>
  </si>
  <si>
    <t>ｒ</t>
  </si>
  <si>
    <t>ｓ</t>
  </si>
  <si>
    <t>ｔ</t>
  </si>
  <si>
    <t>ｕ</t>
  </si>
  <si>
    <t>ｖ</t>
  </si>
  <si>
    <t>ｗ</t>
  </si>
  <si>
    <t>ｘ</t>
  </si>
  <si>
    <t>ｙ</t>
  </si>
  <si>
    <t>ｚ</t>
  </si>
  <si>
    <t>:</t>
  </si>
  <si>
    <t>Ä</t>
  </si>
  <si>
    <t>Ö</t>
  </si>
  <si>
    <t>Ü</t>
  </si>
  <si>
    <t>ä</t>
  </si>
  <si>
    <t>ö</t>
  </si>
  <si>
    <t>ü</t>
  </si>
  <si>
    <t>*</t>
  </si>
  <si>
    <t>Ş</t>
  </si>
  <si>
    <t>ȼ</t>
  </si>
  <si>
    <t>_</t>
  </si>
  <si>
    <t>Ʋ</t>
  </si>
  <si>
    <t>Ň</t>
  </si>
  <si>
    <t>ƞ</t>
  </si>
  <si>
    <t>：</t>
  </si>
  <si>
    <t>、</t>
  </si>
  <si>
    <t>Control Characters:</t>
  </si>
  <si>
    <t>가</t>
  </si>
  <si>
    <t>각</t>
  </si>
  <si>
    <t>간</t>
  </si>
  <si>
    <t>갇</t>
  </si>
  <si>
    <t>갈</t>
  </si>
  <si>
    <t>갉</t>
  </si>
  <si>
    <t>갊</t>
  </si>
  <si>
    <t>감</t>
  </si>
  <si>
    <t>갑</t>
  </si>
  <si>
    <t>값</t>
  </si>
  <si>
    <t>갓</t>
  </si>
  <si>
    <t>갔</t>
  </si>
  <si>
    <t>강</t>
  </si>
  <si>
    <t>갖</t>
  </si>
  <si>
    <t>갗</t>
  </si>
  <si>
    <t>不</t>
  </si>
  <si>
    <t>一</t>
  </si>
  <si>
    <t>人</t>
  </si>
  <si>
    <t>了</t>
  </si>
  <si>
    <t>大</t>
  </si>
  <si>
    <t>子</t>
  </si>
  <si>
    <t>出</t>
  </si>
  <si>
    <t>车</t>
  </si>
  <si>
    <t>行</t>
  </si>
  <si>
    <t>也</t>
  </si>
  <si>
    <t>用</t>
  </si>
  <si>
    <t>日</t>
  </si>
  <si>
    <t>文</t>
  </si>
  <si>
    <t>工</t>
  </si>
  <si>
    <t>山</t>
  </si>
  <si>
    <t>手</t>
  </si>
  <si>
    <t>車</t>
  </si>
  <si>
    <t xml:space="preserve">　</t>
  </si>
  <si>
    <t>Internal</t>
  </si>
  <si>
    <t>External</t>
  </si>
  <si>
    <t>같</t>
  </si>
  <si>
    <t>갚</t>
  </si>
  <si>
    <t>갛</t>
  </si>
  <si>
    <t>개</t>
  </si>
  <si>
    <t>객</t>
  </si>
  <si>
    <t>갠</t>
  </si>
  <si>
    <t>갤</t>
  </si>
  <si>
    <t>갬</t>
  </si>
  <si>
    <t>갭</t>
  </si>
  <si>
    <t>갯</t>
  </si>
  <si>
    <t>갰</t>
  </si>
  <si>
    <t>갱</t>
  </si>
  <si>
    <t>갸</t>
  </si>
  <si>
    <t>갹</t>
  </si>
  <si>
    <t>갼</t>
  </si>
  <si>
    <t>걀</t>
  </si>
  <si>
    <t>女</t>
  </si>
  <si>
    <t>西</t>
  </si>
  <si>
    <t>口</t>
  </si>
  <si>
    <t>门</t>
  </si>
  <si>
    <t>十</t>
  </si>
  <si>
    <t>东</t>
  </si>
  <si>
    <t>朋</t>
  </si>
  <si>
    <t>月</t>
  </si>
  <si>
    <t>非</t>
  </si>
  <si>
    <t>二</t>
  </si>
  <si>
    <t>火</t>
  </si>
  <si>
    <t>雨</t>
  </si>
  <si>
    <t>五</t>
  </si>
  <si>
    <t>八</t>
  </si>
  <si>
    <t>毛</t>
  </si>
  <si>
    <t>午</t>
  </si>
  <si>
    <t>門</t>
  </si>
  <si>
    <t>東</t>
  </si>
  <si>
    <t>{SCL}</t>
  </si>
  <si>
    <t>Marks a prompt for the player to press a button to continue the dialogue. Will scroll the previous dialogue up one line before printing the next line. Does not need to be explicity added in PTGB text, but can be if needed.</t>
  </si>
  <si>
    <t>걋</t>
  </si>
  <si>
    <t>걍</t>
  </si>
  <si>
    <t>걔</t>
  </si>
  <si>
    <t>걘</t>
  </si>
  <si>
    <t>걜</t>
  </si>
  <si>
    <t>거</t>
  </si>
  <si>
    <t>걱</t>
  </si>
  <si>
    <t>건</t>
  </si>
  <si>
    <t>걷</t>
  </si>
  <si>
    <t>걸</t>
  </si>
  <si>
    <t>걺</t>
  </si>
  <si>
    <t>검</t>
  </si>
  <si>
    <t>겁</t>
  </si>
  <si>
    <t>것</t>
  </si>
  <si>
    <t>겄</t>
  </si>
  <si>
    <t>겅</t>
  </si>
  <si>
    <t>九</t>
  </si>
  <si>
    <t>七</t>
  </si>
  <si>
    <t>米</t>
  </si>
  <si>
    <t>们</t>
  </si>
  <si>
    <t>他</t>
  </si>
  <si>
    <t>要</t>
  </si>
  <si>
    <t>好</t>
  </si>
  <si>
    <t>作</t>
  </si>
  <si>
    <t>看</t>
  </si>
  <si>
    <t>分</t>
  </si>
  <si>
    <t>水</t>
  </si>
  <si>
    <t>儿</t>
  </si>
  <si>
    <t>本</t>
  </si>
  <si>
    <t>明</t>
  </si>
  <si>
    <t>进</t>
  </si>
  <si>
    <t>间</t>
  </si>
  <si>
    <t>們</t>
  </si>
  <si>
    <t>兒</t>
  </si>
  <si>
    <t>進</t>
  </si>
  <si>
    <t>間</t>
  </si>
  <si>
    <t>{CLR}</t>
  </si>
  <si>
    <t>Marks a prompt for the player to press a button to continue the dialogue. Will clear the dialogue box entirely. Does not need to be explicity added in PTGB text, but can be if needed.</t>
  </si>
  <si>
    <t>겆</t>
  </si>
  <si>
    <t>겉</t>
  </si>
  <si>
    <t>겊</t>
  </si>
  <si>
    <t>겋</t>
  </si>
  <si>
    <t>게</t>
  </si>
  <si>
    <t>겐</t>
  </si>
  <si>
    <t>겔</t>
  </si>
  <si>
    <t>겜</t>
  </si>
  <si>
    <t>겝</t>
  </si>
  <si>
    <t>겟</t>
  </si>
  <si>
    <t>겠</t>
  </si>
  <si>
    <t>겡</t>
  </si>
  <si>
    <t>겨</t>
  </si>
  <si>
    <t>격</t>
  </si>
  <si>
    <t>겪</t>
  </si>
  <si>
    <t>견</t>
  </si>
  <si>
    <t>回</t>
  </si>
  <si>
    <t>果</t>
  </si>
  <si>
    <t>和</t>
  </si>
  <si>
    <t>什</t>
  </si>
  <si>
    <t>北</t>
  </si>
  <si>
    <t>问</t>
  </si>
  <si>
    <t>她</t>
  </si>
  <si>
    <t>友</t>
  </si>
  <si>
    <t>书</t>
  </si>
  <si>
    <t>太</t>
  </si>
  <si>
    <t>爸</t>
  </si>
  <si>
    <t>孩</t>
  </si>
  <si>
    <t>比</t>
  </si>
  <si>
    <t>打</t>
  </si>
  <si>
    <t>三</t>
  </si>
  <si>
    <t>再</t>
  </si>
  <si>
    <t>問</t>
  </si>
  <si>
    <t>書</t>
  </si>
  <si>
    <t>{DEF}</t>
  </si>
  <si>
    <t>Formats the text to match the default character dialogue (font in JPN, color everywhere else). PTGB prints the character as a space.</t>
  </si>
  <si>
    <t>겯</t>
  </si>
  <si>
    <t>결</t>
  </si>
  <si>
    <t>겹</t>
  </si>
  <si>
    <t>겸</t>
  </si>
  <si>
    <t>겻</t>
  </si>
  <si>
    <t>겼</t>
  </si>
  <si>
    <t>경</t>
  </si>
  <si>
    <t>곁</t>
  </si>
  <si>
    <t>계</t>
  </si>
  <si>
    <t>곈</t>
  </si>
  <si>
    <t>곌</t>
  </si>
  <si>
    <t>곕</t>
  </si>
  <si>
    <t>곗</t>
  </si>
  <si>
    <t>고</t>
  </si>
  <si>
    <t>곡</t>
  </si>
  <si>
    <t>곤</t>
  </si>
  <si>
    <t>怎</t>
  </si>
  <si>
    <t>四</t>
  </si>
  <si>
    <t>男</t>
  </si>
  <si>
    <t>叫</t>
  </si>
  <si>
    <t>衣</t>
  </si>
  <si>
    <t>唱</t>
  </si>
  <si>
    <t>吧</t>
  </si>
  <si>
    <t>六</t>
  </si>
  <si>
    <t>休</t>
  </si>
  <si>
    <t>右</t>
  </si>
  <si>
    <t>奶</t>
  </si>
  <si>
    <t>昨</t>
  </si>
  <si>
    <t>杯</t>
  </si>
  <si>
    <t>有</t>
  </si>
  <si>
    <t>来</t>
  </si>
  <si>
    <t>生</t>
  </si>
  <si>
    <t>來</t>
  </si>
  <si>
    <t>{FEM}</t>
  </si>
  <si>
    <t>Formats the text to match female character dialogue (font in JPN, color everywhere else). PTGB prints the character as a space.</t>
  </si>
  <si>
    <t>中</t>
  </si>
  <si>
    <t>上</t>
  </si>
  <si>
    <t>小</t>
  </si>
  <si>
    <t>天</t>
  </si>
  <si>
    <t>下</t>
  </si>
  <si>
    <t>那</t>
  </si>
  <si>
    <t>开</t>
  </si>
  <si>
    <t>多</t>
  </si>
  <si>
    <t>方</t>
  </si>
  <si>
    <t>事</t>
  </si>
  <si>
    <t>外</t>
  </si>
  <si>
    <t>电</t>
  </si>
  <si>
    <t>想</t>
  </si>
  <si>
    <t>见</t>
  </si>
  <si>
    <t>正</t>
  </si>
  <si>
    <t>花</t>
  </si>
  <si>
    <t>開</t>
  </si>
  <si>
    <t>電</t>
  </si>
  <si>
    <t>見</t>
  </si>
  <si>
    <t>{FPC}</t>
  </si>
  <si>
    <t>Formats the text to match "computer" (Fennel from the PC) character dialogue (font in JPN, color everywhere else). PTGB prints the character as a space.</t>
  </si>
  <si>
    <t>곧</t>
  </si>
  <si>
    <t>골</t>
  </si>
  <si>
    <t>곪</t>
  </si>
  <si>
    <t>곬</t>
  </si>
  <si>
    <t>곯</t>
  </si>
  <si>
    <t>곰</t>
  </si>
  <si>
    <t>곱</t>
  </si>
  <si>
    <t>곳</t>
  </si>
  <si>
    <t>공</t>
  </si>
  <si>
    <t>곶</t>
  </si>
  <si>
    <t>과</t>
  </si>
  <si>
    <t>곽</t>
  </si>
  <si>
    <t>관</t>
  </si>
  <si>
    <t>괄</t>
  </si>
  <si>
    <t>괆</t>
  </si>
  <si>
    <t>最</t>
  </si>
  <si>
    <t>风</t>
  </si>
  <si>
    <t>名</t>
  </si>
  <si>
    <t>很</t>
  </si>
  <si>
    <t>白</t>
  </si>
  <si>
    <t>别</t>
  </si>
  <si>
    <t>服</t>
  </si>
  <si>
    <t>吃</t>
  </si>
  <si>
    <t>呢</t>
  </si>
  <si>
    <t>早</t>
  </si>
  <si>
    <t>元</t>
  </si>
  <si>
    <t>准</t>
  </si>
  <si>
    <t>找</t>
  </si>
  <si>
    <t>班</t>
  </si>
  <si>
    <t>差</t>
  </si>
  <si>
    <t>楼</t>
  </si>
  <si>
    <t>風</t>
  </si>
  <si>
    <t>別</t>
  </si>
  <si>
    <t>準</t>
  </si>
  <si>
    <t>樓</t>
  </si>
  <si>
    <t>{MLE}</t>
  </si>
  <si>
    <t>Formats the text to match male character dialogue (font in JPN, color everywhere else). PTGB prints the character as a space.</t>
  </si>
  <si>
    <t>괌</t>
  </si>
  <si>
    <t>괍</t>
  </si>
  <si>
    <t>괏</t>
  </si>
  <si>
    <t>광</t>
  </si>
  <si>
    <t>괘</t>
  </si>
  <si>
    <t>괜</t>
  </si>
  <si>
    <t>괠</t>
  </si>
  <si>
    <t>괩</t>
  </si>
  <si>
    <t>괬</t>
  </si>
  <si>
    <t>괭</t>
  </si>
  <si>
    <t>괴</t>
  </si>
  <si>
    <t>괵</t>
  </si>
  <si>
    <t>괸</t>
  </si>
  <si>
    <t>괼</t>
  </si>
  <si>
    <t>괻</t>
  </si>
  <si>
    <t>妹</t>
  </si>
  <si>
    <t>忘</t>
  </si>
  <si>
    <t>菜</t>
  </si>
  <si>
    <t>左</t>
  </si>
  <si>
    <t>肉</t>
  </si>
  <si>
    <t>茶</t>
  </si>
  <si>
    <t>床</t>
  </si>
  <si>
    <t>净</t>
  </si>
  <si>
    <t>爷</t>
  </si>
  <si>
    <t>桌</t>
  </si>
  <si>
    <t>我</t>
  </si>
  <si>
    <t>是</t>
  </si>
  <si>
    <t>国</t>
  </si>
  <si>
    <t>在</t>
  </si>
  <si>
    <t>时</t>
  </si>
  <si>
    <t>地</t>
  </si>
  <si>
    <t>淨</t>
  </si>
  <si>
    <t>爺</t>
  </si>
  <si>
    <t>國</t>
  </si>
  <si>
    <t>時</t>
  </si>
  <si>
    <t>{PLR}</t>
  </si>
  <si>
    <t>Escape sequence for printing the player's name in Gen 3. PTGB prints the character as a space.</t>
  </si>
  <si>
    <t>굅</t>
  </si>
  <si>
    <t>굇</t>
  </si>
  <si>
    <t>굉</t>
  </si>
  <si>
    <t>교</t>
  </si>
  <si>
    <t>굔</t>
  </si>
  <si>
    <t>굘</t>
  </si>
  <si>
    <t>굡</t>
  </si>
  <si>
    <t>굣</t>
  </si>
  <si>
    <t>구</t>
  </si>
  <si>
    <t>국</t>
  </si>
  <si>
    <t>군</t>
  </si>
  <si>
    <t>굳</t>
  </si>
  <si>
    <t>굴</t>
  </si>
  <si>
    <t>굵</t>
  </si>
  <si>
    <t>굶</t>
  </si>
  <si>
    <t>굻</t>
  </si>
  <si>
    <t>家</t>
  </si>
  <si>
    <t>能</t>
  </si>
  <si>
    <t>去</t>
  </si>
  <si>
    <t>现</t>
  </si>
  <si>
    <t>后</t>
  </si>
  <si>
    <t>面</t>
  </si>
  <si>
    <t>没</t>
  </si>
  <si>
    <t>同</t>
  </si>
  <si>
    <t>对</t>
  </si>
  <si>
    <t>新</t>
  </si>
  <si>
    <t>身</t>
  </si>
  <si>
    <t>关</t>
  </si>
  <si>
    <t>从</t>
  </si>
  <si>
    <t>些</t>
  </si>
  <si>
    <t>今</t>
  </si>
  <si>
    <t>星</t>
  </si>
  <si>
    <t>現</t>
  </si>
  <si>
    <t>後</t>
  </si>
  <si>
    <t>沒</t>
  </si>
  <si>
    <t>對</t>
  </si>
  <si>
    <t>關</t>
  </si>
  <si>
    <t>從</t>
  </si>
  <si>
    <t>{VLN}</t>
  </si>
  <si>
    <t>Variable displaying either MAXIE in Ruby or ARCHIE in Sapphire and Emerald</t>
  </si>
  <si>
    <t>굼</t>
  </si>
  <si>
    <t>굽</t>
  </si>
  <si>
    <t>굿</t>
  </si>
  <si>
    <t>궁</t>
  </si>
  <si>
    <t>궂</t>
  </si>
  <si>
    <t>궈</t>
  </si>
  <si>
    <t>궉</t>
  </si>
  <si>
    <t>권</t>
  </si>
  <si>
    <t>궐</t>
  </si>
  <si>
    <t>궜</t>
  </si>
  <si>
    <t>궝</t>
  </si>
  <si>
    <t>궤</t>
  </si>
  <si>
    <t>궷</t>
  </si>
  <si>
    <t>귀</t>
  </si>
  <si>
    <t>귁</t>
  </si>
  <si>
    <t>귄</t>
  </si>
  <si>
    <t>爱</t>
  </si>
  <si>
    <t>放</t>
  </si>
  <si>
    <t>两</t>
  </si>
  <si>
    <t>马</t>
  </si>
  <si>
    <t>视</t>
  </si>
  <si>
    <t>次</t>
  </si>
  <si>
    <t>住</t>
  </si>
  <si>
    <t>喜</t>
  </si>
  <si>
    <t>字</t>
  </si>
  <si>
    <t>校</t>
  </si>
  <si>
    <t>笑</t>
  </si>
  <si>
    <t>房</t>
  </si>
  <si>
    <t>等</t>
  </si>
  <si>
    <t>包</t>
  </si>
  <si>
    <t>半</t>
  </si>
  <si>
    <t>条</t>
  </si>
  <si>
    <t>愛</t>
  </si>
  <si>
    <t>兩</t>
  </si>
  <si>
    <t>馬</t>
  </si>
  <si>
    <t>視</t>
  </si>
  <si>
    <t>條</t>
  </si>
  <si>
    <t>{VLN2}</t>
  </si>
  <si>
    <t>Variable displaying either ARCHIE in Ruby or MAXIE in Sapphire and Emerald. In our case, have purpose in Emerlad only to display MAXIE.</t>
  </si>
  <si>
    <t>귈</t>
  </si>
  <si>
    <t>귐</t>
  </si>
  <si>
    <t>귑</t>
  </si>
  <si>
    <t>귓</t>
  </si>
  <si>
    <t>규</t>
  </si>
  <si>
    <t>균</t>
  </si>
  <si>
    <t>귤</t>
  </si>
  <si>
    <t>그</t>
  </si>
  <si>
    <t>극</t>
  </si>
  <si>
    <t>근</t>
  </si>
  <si>
    <t>귿</t>
  </si>
  <si>
    <t>글</t>
  </si>
  <si>
    <t>긁</t>
  </si>
  <si>
    <t>급</t>
  </si>
  <si>
    <t>긋</t>
  </si>
  <si>
    <t>图</t>
  </si>
  <si>
    <t>晚</t>
  </si>
  <si>
    <t>哥</t>
  </si>
  <si>
    <t>习</t>
  </si>
  <si>
    <t>玩</t>
  </si>
  <si>
    <t>息</t>
  </si>
  <si>
    <t>买</t>
  </si>
  <si>
    <t>牛</t>
  </si>
  <si>
    <t>姐</t>
  </si>
  <si>
    <t>介</t>
  </si>
  <si>
    <t>哪</t>
  </si>
  <si>
    <t>蛋</t>
  </si>
  <si>
    <t>的</t>
  </si>
  <si>
    <t>学</t>
  </si>
  <si>
    <t>这</t>
  </si>
  <si>
    <t>会</t>
  </si>
  <si>
    <t>圖</t>
  </si>
  <si>
    <t>習</t>
  </si>
  <si>
    <t>買</t>
  </si>
  <si>
    <t>學</t>
  </si>
  <si>
    <t>這</t>
  </si>
  <si>
    <t>會</t>
  </si>
  <si>
    <t>{NEW}</t>
  </si>
  <si>
    <t>Creates a new line in the textbox. Does not need to be explicity added in PTGB text, but can be if needed.</t>
  </si>
  <si>
    <t>긍</t>
  </si>
  <si>
    <t>긔</t>
  </si>
  <si>
    <t>기</t>
  </si>
  <si>
    <t>긱</t>
  </si>
  <si>
    <t>긴</t>
  </si>
  <si>
    <t>긷</t>
  </si>
  <si>
    <t>길</t>
  </si>
  <si>
    <t>긺</t>
  </si>
  <si>
    <t>김</t>
  </si>
  <si>
    <t>깁</t>
  </si>
  <si>
    <t>깃</t>
  </si>
  <si>
    <t>깅</t>
  </si>
  <si>
    <t>깆</t>
  </si>
  <si>
    <t>깊</t>
  </si>
  <si>
    <t>까</t>
  </si>
  <si>
    <t>깍</t>
  </si>
  <si>
    <t>得</t>
  </si>
  <si>
    <t>个</t>
  </si>
  <si>
    <t>高</t>
  </si>
  <si>
    <t>你</t>
  </si>
  <si>
    <t>气</t>
  </si>
  <si>
    <t>妈</t>
  </si>
  <si>
    <t>还</t>
  </si>
  <si>
    <t>少</t>
  </si>
  <si>
    <t>期</t>
  </si>
  <si>
    <t>路</t>
  </si>
  <si>
    <t>走</t>
  </si>
  <si>
    <t>做</t>
  </si>
  <si>
    <t>难</t>
  </si>
  <si>
    <t>记</t>
  </si>
  <si>
    <t>商</t>
  </si>
  <si>
    <t>树</t>
  </si>
  <si>
    <t>個</t>
  </si>
  <si>
    <t>氣</t>
  </si>
  <si>
    <t>媽</t>
  </si>
  <si>
    <t>還</t>
  </si>
  <si>
    <t>難</t>
  </si>
  <si>
    <t>記</t>
  </si>
  <si>
    <t>樹</t>
  </si>
  <si>
    <t>（</t>
  </si>
  <si>
    <t>）</t>
  </si>
  <si>
    <t>Used to display the various "Lv" characters for different languages. Should be taken care of internally.</t>
  </si>
  <si>
    <t>깎</t>
  </si>
  <si>
    <t>깐</t>
  </si>
  <si>
    <t>깔</t>
  </si>
  <si>
    <t>깖</t>
  </si>
  <si>
    <t>깜</t>
  </si>
  <si>
    <t>깝</t>
  </si>
  <si>
    <t>깟</t>
  </si>
  <si>
    <t>깠</t>
  </si>
  <si>
    <t>깡</t>
  </si>
  <si>
    <t>깥</t>
  </si>
  <si>
    <t>깨</t>
  </si>
  <si>
    <t>깩</t>
  </si>
  <si>
    <t>깬</t>
  </si>
  <si>
    <t>깰</t>
  </si>
  <si>
    <t>깸</t>
  </si>
  <si>
    <t>百</t>
  </si>
  <si>
    <t>坐</t>
  </si>
  <si>
    <t>弟</t>
  </si>
  <si>
    <t>跟</t>
  </si>
  <si>
    <t>吗</t>
  </si>
  <si>
    <t>送</t>
  </si>
  <si>
    <t>站</t>
  </si>
  <si>
    <t>汽</t>
  </si>
  <si>
    <t>冷</t>
  </si>
  <si>
    <t>店</t>
  </si>
  <si>
    <t>忙</t>
  </si>
  <si>
    <t>谁</t>
  </si>
  <si>
    <t>喝</t>
  </si>
  <si>
    <t>汉</t>
  </si>
  <si>
    <t>零</t>
  </si>
  <si>
    <t>渴</t>
  </si>
  <si>
    <t>嗎</t>
  </si>
  <si>
    <t>誰</t>
  </si>
  <si>
    <t>漢</t>
  </si>
  <si>
    <t>깹</t>
  </si>
  <si>
    <t>깻</t>
  </si>
  <si>
    <t>깼</t>
  </si>
  <si>
    <t>깽</t>
  </si>
  <si>
    <t>꺄</t>
  </si>
  <si>
    <t>꺅</t>
  </si>
  <si>
    <t>꺌</t>
  </si>
  <si>
    <t>꺼</t>
  </si>
  <si>
    <t>꺽</t>
  </si>
  <si>
    <t>꺾</t>
  </si>
  <si>
    <t>껀</t>
  </si>
  <si>
    <t>껄</t>
  </si>
  <si>
    <t>껌</t>
  </si>
  <si>
    <t>껍</t>
  </si>
  <si>
    <t>껏</t>
  </si>
  <si>
    <t>页</t>
  </si>
  <si>
    <t>到</t>
  </si>
  <si>
    <t>年</t>
  </si>
  <si>
    <t>过</t>
  </si>
  <si>
    <t>么</t>
  </si>
  <si>
    <t>里</t>
  </si>
  <si>
    <t>道</t>
  </si>
  <si>
    <t>前</t>
  </si>
  <si>
    <t>样</t>
  </si>
  <si>
    <t>老</t>
  </si>
  <si>
    <t>知</t>
  </si>
  <si>
    <t>场</t>
  </si>
  <si>
    <t>告</t>
  </si>
  <si>
    <t>真</t>
  </si>
  <si>
    <t>球</t>
  </si>
  <si>
    <t>先</t>
  </si>
  <si>
    <t>頁</t>
  </si>
  <si>
    <t>過</t>
  </si>
  <si>
    <t>麼</t>
  </si>
  <si>
    <t>裡</t>
  </si>
  <si>
    <t>樣</t>
  </si>
  <si>
    <t>場</t>
  </si>
  <si>
    <t>껐</t>
  </si>
  <si>
    <t>껑</t>
  </si>
  <si>
    <t>께</t>
  </si>
  <si>
    <t>껙</t>
  </si>
  <si>
    <t>껜</t>
  </si>
  <si>
    <t>껨</t>
  </si>
  <si>
    <t>껫</t>
  </si>
  <si>
    <t>껭</t>
  </si>
  <si>
    <t>껴</t>
  </si>
  <si>
    <t>껸</t>
  </si>
  <si>
    <t>껼</t>
  </si>
  <si>
    <t>꼇</t>
  </si>
  <si>
    <t>꼈</t>
  </si>
  <si>
    <t>꼍</t>
  </si>
  <si>
    <t>꼐</t>
  </si>
  <si>
    <t>꼬</t>
  </si>
  <si>
    <t>快</t>
  </si>
  <si>
    <t>考</t>
  </si>
  <si>
    <t>语</t>
  </si>
  <si>
    <t>脑</t>
  </si>
  <si>
    <t>飞</t>
  </si>
  <si>
    <t>写</t>
  </si>
  <si>
    <t>备</t>
  </si>
  <si>
    <t>第</t>
  </si>
  <si>
    <t>假</t>
  </si>
  <si>
    <t>诉</t>
  </si>
  <si>
    <t>请</t>
  </si>
  <si>
    <t>试</t>
  </si>
  <si>
    <t>课</t>
  </si>
  <si>
    <t>答</t>
  </si>
  <si>
    <t>票</t>
  </si>
  <si>
    <t>拿</t>
  </si>
  <si>
    <t>語</t>
  </si>
  <si>
    <t>腦</t>
  </si>
  <si>
    <t>飛</t>
  </si>
  <si>
    <t>寫</t>
  </si>
  <si>
    <t>備</t>
  </si>
  <si>
    <t>訴</t>
  </si>
  <si>
    <t>請</t>
  </si>
  <si>
    <t>試</t>
  </si>
  <si>
    <t>課</t>
  </si>
  <si>
    <t>꼭</t>
  </si>
  <si>
    <t>꼰</t>
  </si>
  <si>
    <t>꼲</t>
  </si>
  <si>
    <t>꼴</t>
  </si>
  <si>
    <t>꼼</t>
  </si>
  <si>
    <t>꼽</t>
  </si>
  <si>
    <t>꼿</t>
  </si>
  <si>
    <t>꽁</t>
  </si>
  <si>
    <t>꽂</t>
  </si>
  <si>
    <t>꽃</t>
  </si>
  <si>
    <t>꽈</t>
  </si>
  <si>
    <t>꽉</t>
  </si>
  <si>
    <t>꽐</t>
  </si>
  <si>
    <t>꽜</t>
  </si>
  <si>
    <t>꽝</t>
  </si>
  <si>
    <t>꽤</t>
  </si>
  <si>
    <t>干</t>
  </si>
  <si>
    <t>穿</t>
  </si>
  <si>
    <t>京</t>
  </si>
  <si>
    <t>旁</t>
  </si>
  <si>
    <t>您</t>
  </si>
  <si>
    <t>著</t>
  </si>
  <si>
    <t>起</t>
  </si>
  <si>
    <t>教</t>
  </si>
  <si>
    <t>都</t>
  </si>
  <si>
    <t>常</t>
  </si>
  <si>
    <t>师</t>
  </si>
  <si>
    <t>病</t>
  </si>
  <si>
    <t>觉</t>
  </si>
  <si>
    <t>院</t>
  </si>
  <si>
    <t>听</t>
  </si>
  <si>
    <t>几</t>
  </si>
  <si>
    <t>乾</t>
  </si>
  <si>
    <t>師</t>
  </si>
  <si>
    <t>覺</t>
  </si>
  <si>
    <t>聽</t>
  </si>
  <si>
    <t>幾</t>
  </si>
  <si>
    <t>꽥</t>
  </si>
  <si>
    <t>꽹</t>
  </si>
  <si>
    <t>꾀</t>
  </si>
  <si>
    <t>꾄</t>
  </si>
  <si>
    <t>꾈</t>
  </si>
  <si>
    <t>꾐</t>
  </si>
  <si>
    <t>꾑</t>
  </si>
  <si>
    <t>꾕</t>
  </si>
  <si>
    <t>꾜</t>
  </si>
  <si>
    <t>꾸</t>
  </si>
  <si>
    <t>꾹</t>
  </si>
  <si>
    <t>꾼</t>
  </si>
  <si>
    <t>꿀</t>
  </si>
  <si>
    <t>꿇</t>
  </si>
  <si>
    <t>꿈</t>
  </si>
  <si>
    <t>꿉</t>
  </si>
  <si>
    <t>系</t>
  </si>
  <si>
    <t>南</t>
  </si>
  <si>
    <t>兴</t>
  </si>
  <si>
    <t>客</t>
  </si>
  <si>
    <t>钱</t>
  </si>
  <si>
    <t>歌</t>
  </si>
  <si>
    <t>跑</t>
  </si>
  <si>
    <t>慢</t>
  </si>
  <si>
    <t>号</t>
  </si>
  <si>
    <t>睡</t>
  </si>
  <si>
    <t>洗</t>
  </si>
  <si>
    <t>鸡</t>
  </si>
  <si>
    <t>坏</t>
  </si>
  <si>
    <t>累</t>
  </si>
  <si>
    <t>说</t>
  </si>
  <si>
    <t>重</t>
  </si>
  <si>
    <t>興</t>
  </si>
  <si>
    <t>錢</t>
  </si>
  <si>
    <t>號</t>
  </si>
  <si>
    <t>雞</t>
  </si>
  <si>
    <t>壞</t>
  </si>
  <si>
    <t>說</t>
  </si>
  <si>
    <t>{PP}</t>
  </si>
  <si>
    <t>Used to display the various "PP" characters for different languages. Should be taken care of internally.</t>
  </si>
  <si>
    <t>꿋</t>
  </si>
  <si>
    <t>꿍</t>
  </si>
  <si>
    <t>꿎</t>
  </si>
  <si>
    <t>꿔</t>
  </si>
  <si>
    <t>꿜</t>
  </si>
  <si>
    <t>꿨</t>
  </si>
  <si>
    <t>꿩</t>
  </si>
  <si>
    <t>꿰</t>
  </si>
  <si>
    <t>꿱</t>
  </si>
  <si>
    <t>꿴</t>
  </si>
  <si>
    <t>꿸</t>
  </si>
  <si>
    <t>뀀</t>
  </si>
  <si>
    <t>뀁</t>
  </si>
  <si>
    <t>뀄</t>
  </si>
  <si>
    <t>뀌</t>
  </si>
  <si>
    <t>뀐</t>
  </si>
  <si>
    <t>体</t>
  </si>
  <si>
    <t>影</t>
  </si>
  <si>
    <t>机</t>
  </si>
  <si>
    <t>话</t>
  </si>
  <si>
    <t>认</t>
  </si>
  <si>
    <t>候</t>
  </si>
  <si>
    <t>远</t>
  </si>
  <si>
    <t>欢</t>
  </si>
  <si>
    <t>错</t>
  </si>
  <si>
    <t>块</t>
  </si>
  <si>
    <t>贵</t>
  </si>
  <si>
    <t>动</t>
  </si>
  <si>
    <t>点</t>
  </si>
  <si>
    <t>读</t>
  </si>
  <si>
    <t>谢</t>
  </si>
  <si>
    <t>饭</t>
  </si>
  <si>
    <t>體</t>
  </si>
  <si>
    <t>機</t>
  </si>
  <si>
    <t>話</t>
  </si>
  <si>
    <t>認</t>
  </si>
  <si>
    <t>遠</t>
  </si>
  <si>
    <t>歡</t>
  </si>
  <si>
    <t>錯</t>
  </si>
  <si>
    <t>塊</t>
  </si>
  <si>
    <t>貴</t>
  </si>
  <si>
    <t>動</t>
  </si>
  <si>
    <t>點</t>
  </si>
  <si>
    <t>讀</t>
  </si>
  <si>
    <t>謝</t>
  </si>
  <si>
    <t>飯</t>
  </si>
  <si>
    <t>뀔</t>
  </si>
  <si>
    <t>뀜</t>
  </si>
  <si>
    <t>뀝</t>
  </si>
  <si>
    <t>뀨</t>
  </si>
  <si>
    <t>끄</t>
  </si>
  <si>
    <t>끅</t>
  </si>
  <si>
    <t>끈</t>
  </si>
  <si>
    <t>끊</t>
  </si>
  <si>
    <t>끌</t>
  </si>
  <si>
    <t>끎</t>
  </si>
  <si>
    <t>끓</t>
  </si>
  <si>
    <t>끔</t>
  </si>
  <si>
    <t>끕</t>
  </si>
  <si>
    <t>끗</t>
  </si>
  <si>
    <t>끙</t>
  </si>
  <si>
    <t>绍</t>
  </si>
  <si>
    <t>就</t>
  </si>
  <si>
    <t>医</t>
  </si>
  <si>
    <t>热</t>
  </si>
  <si>
    <t>识</t>
  </si>
  <si>
    <t>馆</t>
  </si>
  <si>
    <t>网</t>
  </si>
  <si>
    <t>饿</t>
  </si>
  <si>
    <t>边</t>
  </si>
  <si>
    <t>给</t>
  </si>
  <si>
    <t>帮</t>
  </si>
  <si>
    <t>岁</t>
  </si>
  <si>
    <t>心</t>
  </si>
  <si>
    <t>力</t>
  </si>
  <si>
    <t>而</t>
  </si>
  <si>
    <t>己</t>
  </si>
  <si>
    <t>紹</t>
  </si>
  <si>
    <t>醫</t>
  </si>
  <si>
    <t>熱</t>
  </si>
  <si>
    <t>識</t>
  </si>
  <si>
    <t>館</t>
  </si>
  <si>
    <t>網</t>
  </si>
  <si>
    <t>餓</t>
  </si>
  <si>
    <t>邊</t>
  </si>
  <si>
    <t>給</t>
  </si>
  <si>
    <t>幫</t>
  </si>
  <si>
    <t>歲</t>
  </si>
  <si>
    <t>{NO}</t>
  </si>
  <si>
    <t>Used to display the various "No." characters for different languages. Should be taken care of internally.</t>
  </si>
  <si>
    <t>끝</t>
  </si>
  <si>
    <t>끼</t>
  </si>
  <si>
    <t>끽</t>
  </si>
  <si>
    <t>낀</t>
  </si>
  <si>
    <t>낄</t>
  </si>
  <si>
    <t>낌</t>
  </si>
  <si>
    <t>낍</t>
  </si>
  <si>
    <t>낏</t>
  </si>
  <si>
    <t>낑</t>
  </si>
  <si>
    <t>나</t>
  </si>
  <si>
    <t>낙</t>
  </si>
  <si>
    <t>낚</t>
  </si>
  <si>
    <t>난</t>
  </si>
  <si>
    <t>낟</t>
  </si>
  <si>
    <t>날</t>
  </si>
  <si>
    <t>又</t>
  </si>
  <si>
    <t>目</t>
  </si>
  <si>
    <t>入</t>
  </si>
  <si>
    <t>片</t>
  </si>
  <si>
    <t>才</t>
  </si>
  <si>
    <t>王</t>
  </si>
  <si>
    <t>斤</t>
  </si>
  <si>
    <t>如</t>
  </si>
  <si>
    <t>公</t>
  </si>
  <si>
    <t>因</t>
  </si>
  <si>
    <t>所</t>
  </si>
  <si>
    <t>全</t>
  </si>
  <si>
    <t>相</t>
  </si>
  <si>
    <t>只</t>
  </si>
  <si>
    <t>加</t>
  </si>
  <si>
    <t>色</t>
  </si>
  <si>
    <t>낡</t>
  </si>
  <si>
    <t>낢</t>
  </si>
  <si>
    <t>남</t>
  </si>
  <si>
    <t>납</t>
  </si>
  <si>
    <t>낫</t>
  </si>
  <si>
    <t>났</t>
  </si>
  <si>
    <t>낭</t>
  </si>
  <si>
    <t>낮</t>
  </si>
  <si>
    <t>낯</t>
  </si>
  <si>
    <t>낱</t>
  </si>
  <si>
    <t>낳</t>
  </si>
  <si>
    <t>내</t>
  </si>
  <si>
    <t>낵</t>
  </si>
  <si>
    <t>낸</t>
  </si>
  <si>
    <t>낼</t>
  </si>
  <si>
    <t>냄</t>
  </si>
  <si>
    <t>利</t>
  </si>
  <si>
    <t>已</t>
  </si>
  <si>
    <t>收</t>
  </si>
  <si>
    <t>必</t>
  </si>
  <si>
    <t>近</t>
  </si>
  <si>
    <t>改</t>
  </si>
  <si>
    <t>推</t>
  </si>
  <si>
    <t>思</t>
  </si>
  <si>
    <t>青</t>
  </si>
  <si>
    <t>取</t>
  </si>
  <si>
    <t>排</t>
  </si>
  <si>
    <t>春</t>
  </si>
  <si>
    <t>刻</t>
  </si>
  <si>
    <t>久</t>
  </si>
  <si>
    <t>印</t>
  </si>
  <si>
    <t>酒</t>
  </si>
  <si>
    <t>笔</t>
  </si>
  <si>
    <t>闻</t>
  </si>
  <si>
    <t>忽</t>
  </si>
  <si>
    <t>普</t>
  </si>
  <si>
    <t>雪</t>
  </si>
  <si>
    <t>秋</t>
  </si>
  <si>
    <t>冬</t>
  </si>
  <si>
    <t>爬</t>
  </si>
  <si>
    <t>末</t>
  </si>
  <si>
    <t>弄</t>
  </si>
  <si>
    <t>以</t>
  </si>
  <si>
    <t>可</t>
  </si>
  <si>
    <t>自</t>
  </si>
  <si>
    <t>为</t>
  </si>
  <si>
    <t>长</t>
  </si>
  <si>
    <t>主</t>
  </si>
  <si>
    <t>筆</t>
  </si>
  <si>
    <t>聞</t>
  </si>
  <si>
    <t>為</t>
  </si>
  <si>
    <t>長</t>
  </si>
  <si>
    <t>냅</t>
  </si>
  <si>
    <t>냇</t>
  </si>
  <si>
    <t>냈</t>
  </si>
  <si>
    <t>냉</t>
  </si>
  <si>
    <t>냐</t>
  </si>
  <si>
    <t>냑</t>
  </si>
  <si>
    <t>냔</t>
  </si>
  <si>
    <t>냘</t>
  </si>
  <si>
    <t>냠</t>
  </si>
  <si>
    <t>냥</t>
  </si>
  <si>
    <t>너</t>
  </si>
  <si>
    <t>넉</t>
  </si>
  <si>
    <t>넋</t>
  </si>
  <si>
    <t>넌</t>
  </si>
  <si>
    <t>널</t>
  </si>
  <si>
    <t>넒</t>
  </si>
  <si>
    <t>表</t>
  </si>
  <si>
    <t>平</t>
  </si>
  <si>
    <t>眼</t>
  </si>
  <si>
    <t>由</t>
  </si>
  <si>
    <t>受</t>
  </si>
  <si>
    <t>位</t>
  </si>
  <si>
    <t>数</t>
  </si>
  <si>
    <t>清</t>
  </si>
  <si>
    <t>交</t>
  </si>
  <si>
    <t>司</t>
  </si>
  <si>
    <t>更</t>
  </si>
  <si>
    <t>且</t>
  </si>
  <si>
    <t>参</t>
  </si>
  <si>
    <t>算</t>
  </si>
  <si>
    <t>虽</t>
  </si>
  <si>
    <t>拉</t>
  </si>
  <si>
    <t>數</t>
  </si>
  <si>
    <t>參</t>
  </si>
  <si>
    <t>雖</t>
  </si>
  <si>
    <t>ɑ</t>
  </si>
  <si>
    <t>{CTR}</t>
  </si>
  <si>
    <t>Sets if the current line should be centered or not. A newline will be written after the closing center</t>
  </si>
  <si>
    <t>넓</t>
  </si>
  <si>
    <t>넘</t>
  </si>
  <si>
    <t>넙</t>
  </si>
  <si>
    <t>넛</t>
  </si>
  <si>
    <t>넜</t>
  </si>
  <si>
    <t>넝</t>
  </si>
  <si>
    <t>넣</t>
  </si>
  <si>
    <t>네</t>
  </si>
  <si>
    <t>넥</t>
  </si>
  <si>
    <t>넨</t>
  </si>
  <si>
    <t>넬</t>
  </si>
  <si>
    <t>넴</t>
  </si>
  <si>
    <t>넵</t>
  </si>
  <si>
    <t>넷</t>
  </si>
  <si>
    <t>넸</t>
  </si>
  <si>
    <t>넹</t>
  </si>
  <si>
    <t>留</t>
  </si>
  <si>
    <t>味</t>
  </si>
  <si>
    <t>健</t>
  </si>
  <si>
    <t>背</t>
  </si>
  <si>
    <t>千</t>
  </si>
  <si>
    <t>急</t>
  </si>
  <si>
    <t>灯</t>
  </si>
  <si>
    <t>称</t>
  </si>
  <si>
    <t>队</t>
  </si>
  <si>
    <t>船</t>
  </si>
  <si>
    <t>永</t>
  </si>
  <si>
    <t>句</t>
  </si>
  <si>
    <t>迎</t>
  </si>
  <si>
    <t>睛</t>
  </si>
  <si>
    <t>努</t>
  </si>
  <si>
    <t>遍</t>
  </si>
  <si>
    <t>燈</t>
  </si>
  <si>
    <t>稱</t>
  </si>
  <si>
    <t>隊</t>
  </si>
  <si>
    <t>Ω</t>
  </si>
  <si>
    <t>{nCTR}</t>
  </si>
  <si>
    <t>녀</t>
  </si>
  <si>
    <t>녁</t>
  </si>
  <si>
    <t>년</t>
  </si>
  <si>
    <t>녈</t>
  </si>
  <si>
    <t>념</t>
  </si>
  <si>
    <t>녑</t>
  </si>
  <si>
    <t>녔</t>
  </si>
  <si>
    <t>녕</t>
  </si>
  <si>
    <t>녘</t>
  </si>
  <si>
    <t>녜</t>
  </si>
  <si>
    <t>녠</t>
  </si>
  <si>
    <t>노</t>
  </si>
  <si>
    <t>녹</t>
  </si>
  <si>
    <t>논</t>
  </si>
  <si>
    <t>놀</t>
  </si>
  <si>
    <t>놂</t>
  </si>
  <si>
    <t>份</t>
  </si>
  <si>
    <t>套</t>
  </si>
  <si>
    <t>占</t>
  </si>
  <si>
    <t>篇</t>
  </si>
  <si>
    <t>挺</t>
  </si>
  <si>
    <t>晴</t>
  </si>
  <si>
    <t>喂</t>
  </si>
  <si>
    <t>业</t>
  </si>
  <si>
    <t>市</t>
  </si>
  <si>
    <t>其</t>
  </si>
  <si>
    <t>海</t>
  </si>
  <si>
    <t>度</t>
  </si>
  <si>
    <t>但</t>
  </si>
  <si>
    <t>安</t>
  </si>
  <si>
    <t>画</t>
  </si>
  <si>
    <t>使</t>
  </si>
  <si>
    <t>業</t>
  </si>
  <si>
    <t>畫</t>
  </si>
  <si>
    <t>{SPA}[X]</t>
  </si>
  <si>
    <t>Adds a space of X pixels</t>
  </si>
  <si>
    <t>놈</t>
  </si>
  <si>
    <t>놉</t>
  </si>
  <si>
    <t>놋</t>
  </si>
  <si>
    <t>농</t>
  </si>
  <si>
    <t>높</t>
  </si>
  <si>
    <t>놓</t>
  </si>
  <si>
    <t>놔</t>
  </si>
  <si>
    <t>놘</t>
  </si>
  <si>
    <t>놜</t>
  </si>
  <si>
    <t>놨</t>
  </si>
  <si>
    <t>뇌</t>
  </si>
  <si>
    <t>뇐</t>
  </si>
  <si>
    <t>뇔</t>
  </si>
  <si>
    <t>뇜</t>
  </si>
  <si>
    <t>뇝</t>
  </si>
  <si>
    <t>通</t>
  </si>
  <si>
    <t>接</t>
  </si>
  <si>
    <t>向</t>
  </si>
  <si>
    <t>运</t>
  </si>
  <si>
    <t>直</t>
  </si>
  <si>
    <t>音</t>
  </si>
  <si>
    <t>育</t>
  </si>
  <si>
    <t>科</t>
  </si>
  <si>
    <t>往</t>
  </si>
  <si>
    <t>节</t>
  </si>
  <si>
    <t>英</t>
  </si>
  <si>
    <t>便</t>
  </si>
  <si>
    <t>河</t>
  </si>
  <si>
    <t>故</t>
  </si>
  <si>
    <t>言</t>
  </si>
  <si>
    <t>角</t>
  </si>
  <si>
    <t>運</t>
  </si>
  <si>
    <t>節</t>
  </si>
  <si>
    <t>뇟</t>
  </si>
  <si>
    <t>뇨</t>
  </si>
  <si>
    <t>뇩</t>
  </si>
  <si>
    <t>뇬</t>
  </si>
  <si>
    <t>뇰</t>
  </si>
  <si>
    <t>뇹</t>
  </si>
  <si>
    <t>뇻</t>
  </si>
  <si>
    <t>뇽</t>
  </si>
  <si>
    <t>누</t>
  </si>
  <si>
    <t>눅</t>
  </si>
  <si>
    <t>눈</t>
  </si>
  <si>
    <t>눋</t>
  </si>
  <si>
    <t>눌</t>
  </si>
  <si>
    <t>눔</t>
  </si>
  <si>
    <t>눕</t>
  </si>
  <si>
    <t>或</t>
  </si>
  <si>
    <t>它</t>
  </si>
  <si>
    <t>助</t>
  </si>
  <si>
    <t>低</t>
  </si>
  <si>
    <t>草</t>
  </si>
  <si>
    <t>油</t>
  </si>
  <si>
    <t>克</t>
  </si>
  <si>
    <t>温</t>
  </si>
  <si>
    <t>装</t>
  </si>
  <si>
    <t>鱼</t>
  </si>
  <si>
    <t>般</t>
  </si>
  <si>
    <t>静</t>
  </si>
  <si>
    <t>康</t>
  </si>
  <si>
    <t>云</t>
  </si>
  <si>
    <t>庭</t>
  </si>
  <si>
    <t>板</t>
  </si>
  <si>
    <t>溫</t>
  </si>
  <si>
    <t>裝</t>
  </si>
  <si>
    <t>魚</t>
  </si>
  <si>
    <t>靜</t>
  </si>
  <si>
    <t>雲</t>
  </si>
  <si>
    <t>눗</t>
  </si>
  <si>
    <t>눙</t>
  </si>
  <si>
    <t>눠</t>
  </si>
  <si>
    <t>눴</t>
  </si>
  <si>
    <t>눼</t>
  </si>
  <si>
    <t>뉘</t>
  </si>
  <si>
    <t>뉜</t>
  </si>
  <si>
    <t>뉠</t>
  </si>
  <si>
    <t>뉨</t>
  </si>
  <si>
    <t>뉩</t>
  </si>
  <si>
    <t>뉴</t>
  </si>
  <si>
    <t>뉵</t>
  </si>
  <si>
    <t>뉼</t>
  </si>
  <si>
    <t>늄</t>
  </si>
  <si>
    <t>늅</t>
  </si>
  <si>
    <t>늉</t>
  </si>
  <si>
    <t>段</t>
  </si>
  <si>
    <t>卡</t>
  </si>
  <si>
    <t>狗</t>
  </si>
  <si>
    <t>瓶</t>
  </si>
  <si>
    <t>吹</t>
  </si>
  <si>
    <t>腿</t>
  </si>
  <si>
    <t>姓</t>
  </si>
  <si>
    <t>碰</t>
  </si>
  <si>
    <t>租</t>
  </si>
  <si>
    <t>澡</t>
  </si>
  <si>
    <t>咱</t>
  </si>
  <si>
    <t>成</t>
  </si>
  <si>
    <t>然</t>
  </si>
  <si>
    <t>发</t>
  </si>
  <si>
    <t>于</t>
  </si>
  <si>
    <t>法</t>
  </si>
  <si>
    <t>發</t>
  </si>
  <si>
    <t>於</t>
  </si>
  <si>
    <t>느</t>
  </si>
  <si>
    <t>늑</t>
  </si>
  <si>
    <t>는</t>
  </si>
  <si>
    <t>늘</t>
  </si>
  <si>
    <t>늙</t>
  </si>
  <si>
    <t>늚</t>
  </si>
  <si>
    <t>늠</t>
  </si>
  <si>
    <t>늡</t>
  </si>
  <si>
    <t>늣</t>
  </si>
  <si>
    <t>능</t>
  </si>
  <si>
    <t>늦</t>
  </si>
  <si>
    <t>늪</t>
  </si>
  <si>
    <t>늬</t>
  </si>
  <si>
    <t>늰</t>
  </si>
  <si>
    <t>늴</t>
  </si>
  <si>
    <t>니</t>
  </si>
  <si>
    <t>当</t>
  </si>
  <si>
    <t>意</t>
  </si>
  <si>
    <t>情</t>
  </si>
  <si>
    <t>物</t>
  </si>
  <si>
    <t>部</t>
  </si>
  <si>
    <t>合</t>
  </si>
  <si>
    <t>许</t>
  </si>
  <si>
    <t>信</t>
  </si>
  <si>
    <t>提</t>
  </si>
  <si>
    <t>计</t>
  </si>
  <si>
    <t>举</t>
  </si>
  <si>
    <t>办</t>
  </si>
  <si>
    <t>求</t>
  </si>
  <si>
    <t>带</t>
  </si>
  <si>
    <t>务</t>
  </si>
  <si>
    <t>轻</t>
  </si>
  <si>
    <t>當</t>
  </si>
  <si>
    <t>許</t>
  </si>
  <si>
    <t>計</t>
  </si>
  <si>
    <t>舉</t>
  </si>
  <si>
    <t>辦</t>
  </si>
  <si>
    <t>帶</t>
  </si>
  <si>
    <t>務</t>
  </si>
  <si>
    <t>輕</t>
  </si>
  <si>
    <t>닉</t>
  </si>
  <si>
    <t>닌</t>
  </si>
  <si>
    <t>닐</t>
  </si>
  <si>
    <t>닒</t>
  </si>
  <si>
    <t>님</t>
  </si>
  <si>
    <t>닙</t>
  </si>
  <si>
    <t>닛</t>
  </si>
  <si>
    <t>닝</t>
  </si>
  <si>
    <t>닢</t>
  </si>
  <si>
    <t>다</t>
  </si>
  <si>
    <t>닥</t>
  </si>
  <si>
    <t>닦</t>
  </si>
  <si>
    <t>단</t>
  </si>
  <si>
    <t>닫</t>
  </si>
  <si>
    <t>달</t>
  </si>
  <si>
    <t>닭</t>
  </si>
  <si>
    <t>单</t>
  </si>
  <si>
    <t>阳</t>
  </si>
  <si>
    <t>示</t>
  </si>
  <si>
    <t>共</t>
  </si>
  <si>
    <t>黄</t>
  </si>
  <si>
    <t>照</t>
  </si>
  <si>
    <t>件</t>
  </si>
  <si>
    <t>该</t>
  </si>
  <si>
    <t>态</t>
  </si>
  <si>
    <t>万</t>
  </si>
  <si>
    <t>确</t>
  </si>
  <si>
    <t>亮</t>
  </si>
  <si>
    <t>查</t>
  </si>
  <si>
    <t>旅</t>
  </si>
  <si>
    <t>复</t>
  </si>
  <si>
    <t>层</t>
  </si>
  <si>
    <t>單</t>
  </si>
  <si>
    <t>陽</t>
  </si>
  <si>
    <t>黃</t>
  </si>
  <si>
    <t>該</t>
  </si>
  <si>
    <t>態</t>
  </si>
  <si>
    <t>萬</t>
  </si>
  <si>
    <t>確</t>
  </si>
  <si>
    <t>復</t>
  </si>
  <si>
    <t>層</t>
  </si>
  <si>
    <t>닮</t>
  </si>
  <si>
    <t>닯</t>
  </si>
  <si>
    <t>닳</t>
  </si>
  <si>
    <t>담</t>
  </si>
  <si>
    <t>답</t>
  </si>
  <si>
    <t>닷</t>
  </si>
  <si>
    <t>닸</t>
  </si>
  <si>
    <t>당</t>
  </si>
  <si>
    <t>닺</t>
  </si>
  <si>
    <t>닻</t>
  </si>
  <si>
    <t>닿</t>
  </si>
  <si>
    <t>대</t>
  </si>
  <si>
    <t>댁</t>
  </si>
  <si>
    <t>댄</t>
  </si>
  <si>
    <t>댈</t>
  </si>
  <si>
    <t>댐</t>
  </si>
  <si>
    <t>卖</t>
  </si>
  <si>
    <t>典</t>
  </si>
  <si>
    <t>夏</t>
  </si>
  <si>
    <t>划</t>
  </si>
  <si>
    <t>讨</t>
  </si>
  <si>
    <t>街</t>
  </si>
  <si>
    <t>刚</t>
  </si>
  <si>
    <t>啊</t>
  </si>
  <si>
    <t>掉</t>
  </si>
  <si>
    <t>湖</t>
  </si>
  <si>
    <t>哭</t>
  </si>
  <si>
    <t>楚</t>
  </si>
  <si>
    <t>封</t>
  </si>
  <si>
    <t>晨</t>
  </si>
  <si>
    <t>辆</t>
  </si>
  <si>
    <t>亿</t>
  </si>
  <si>
    <t>賣</t>
  </si>
  <si>
    <t>劃</t>
  </si>
  <si>
    <t>討</t>
  </si>
  <si>
    <t>剛</t>
  </si>
  <si>
    <t>輛</t>
  </si>
  <si>
    <t>億</t>
  </si>
  <si>
    <t>댑</t>
  </si>
  <si>
    <t>댓</t>
  </si>
  <si>
    <t>댔</t>
  </si>
  <si>
    <t>댕</t>
  </si>
  <si>
    <t>더</t>
  </si>
  <si>
    <t>덕</t>
  </si>
  <si>
    <t>덖</t>
  </si>
  <si>
    <t>던</t>
  </si>
  <si>
    <t>덛</t>
  </si>
  <si>
    <t>덜</t>
  </si>
  <si>
    <t>덞</t>
  </si>
  <si>
    <t>덟</t>
  </si>
  <si>
    <t>덤</t>
  </si>
  <si>
    <t>덥</t>
  </si>
  <si>
    <t>定</t>
  </si>
  <si>
    <t>理</t>
  </si>
  <si>
    <t>头</t>
  </si>
  <si>
    <t>活</t>
  </si>
  <si>
    <t>者</t>
  </si>
  <si>
    <t>乐</t>
  </si>
  <si>
    <t>空</t>
  </si>
  <si>
    <t>像</t>
  </si>
  <si>
    <t>应</t>
  </si>
  <si>
    <t>处</t>
  </si>
  <si>
    <t>流</t>
  </si>
  <si>
    <t>满</t>
  </si>
  <si>
    <t>完</t>
  </si>
  <si>
    <t>食</t>
  </si>
  <si>
    <t>夜</t>
  </si>
  <si>
    <t>黑</t>
  </si>
  <si>
    <t>頭</t>
  </si>
  <si>
    <t>樂</t>
  </si>
  <si>
    <t>應</t>
  </si>
  <si>
    <t>處</t>
  </si>
  <si>
    <t>滿</t>
  </si>
  <si>
    <t>덧</t>
  </si>
  <si>
    <t>덩</t>
  </si>
  <si>
    <t>덫</t>
  </si>
  <si>
    <t>덮</t>
  </si>
  <si>
    <t>데</t>
  </si>
  <si>
    <t>덱</t>
  </si>
  <si>
    <t>덴</t>
  </si>
  <si>
    <t>델</t>
  </si>
  <si>
    <t>뎀</t>
  </si>
  <si>
    <t>뎁</t>
  </si>
  <si>
    <t>뎃</t>
  </si>
  <si>
    <t>뎄</t>
  </si>
  <si>
    <t>뎅</t>
  </si>
  <si>
    <t>뎌</t>
  </si>
  <si>
    <t>뎐</t>
  </si>
  <si>
    <t>例</t>
  </si>
  <si>
    <t>须</t>
  </si>
  <si>
    <t>省</t>
  </si>
  <si>
    <t>随</t>
  </si>
  <si>
    <t>礼</t>
  </si>
  <si>
    <t>怕</t>
  </si>
  <si>
    <t>够</t>
  </si>
  <si>
    <t>讲</t>
  </si>
  <si>
    <t>停</t>
  </si>
  <si>
    <t>换</t>
  </si>
  <si>
    <t>鸟</t>
  </si>
  <si>
    <t>短</t>
  </si>
  <si>
    <t>宜</t>
  </si>
  <si>
    <t>顺</t>
  </si>
  <si>
    <t>游</t>
  </si>
  <si>
    <t>須</t>
  </si>
  <si>
    <t>隨</t>
  </si>
  <si>
    <t>禮</t>
  </si>
  <si>
    <t>夠</t>
  </si>
  <si>
    <t>講</t>
  </si>
  <si>
    <t>換</t>
  </si>
  <si>
    <t>鳥</t>
  </si>
  <si>
    <t>順</t>
  </si>
  <si>
    <t>뎔</t>
  </si>
  <si>
    <t>뎠</t>
  </si>
  <si>
    <t>뎡</t>
  </si>
  <si>
    <t>뎨</t>
  </si>
  <si>
    <t>뎬</t>
  </si>
  <si>
    <t>도</t>
  </si>
  <si>
    <t>독</t>
  </si>
  <si>
    <t>돈</t>
  </si>
  <si>
    <t>돋</t>
  </si>
  <si>
    <t>돌</t>
  </si>
  <si>
    <t>돎</t>
  </si>
  <si>
    <t>돔</t>
  </si>
  <si>
    <t>돕</t>
  </si>
  <si>
    <t>돗</t>
  </si>
  <si>
    <t>동</t>
  </si>
  <si>
    <t>椅</t>
  </si>
  <si>
    <t>猫</t>
  </si>
  <si>
    <t>藉</t>
  </si>
  <si>
    <t>疼</t>
  </si>
  <si>
    <t>篮</t>
  </si>
  <si>
    <t>声</t>
  </si>
  <si>
    <t>特</t>
  </si>
  <si>
    <t>广</t>
  </si>
  <si>
    <t>量</t>
  </si>
  <si>
    <t>座</t>
  </si>
  <si>
    <t>药</t>
  </si>
  <si>
    <t>让</t>
  </si>
  <si>
    <t>倒</t>
  </si>
  <si>
    <t>顾</t>
  </si>
  <si>
    <t>貓</t>
  </si>
  <si>
    <t>籃</t>
  </si>
  <si>
    <t>聲</t>
  </si>
  <si>
    <t>廣</t>
  </si>
  <si>
    <t>藥</t>
  </si>
  <si>
    <t>讓</t>
  </si>
  <si>
    <t>顧</t>
  </si>
  <si>
    <t>돛</t>
  </si>
  <si>
    <t>돝</t>
  </si>
  <si>
    <t>돠</t>
  </si>
  <si>
    <t>돤</t>
  </si>
  <si>
    <t>돨</t>
  </si>
  <si>
    <t>돼</t>
  </si>
  <si>
    <t>됐</t>
  </si>
  <si>
    <t>되</t>
  </si>
  <si>
    <t>된</t>
  </si>
  <si>
    <t>될</t>
  </si>
  <si>
    <t>됨</t>
  </si>
  <si>
    <t>됩</t>
  </si>
  <si>
    <t>됫</t>
  </si>
  <si>
    <t>됴</t>
  </si>
  <si>
    <t>두</t>
  </si>
  <si>
    <t>둑</t>
  </si>
  <si>
    <t>堂</t>
  </si>
  <si>
    <t>词</t>
  </si>
  <si>
    <t>惯</t>
  </si>
  <si>
    <t>靠</t>
  </si>
  <si>
    <t>周</t>
  </si>
  <si>
    <t>舒</t>
  </si>
  <si>
    <t>鞋</t>
  </si>
  <si>
    <t>凉</t>
  </si>
  <si>
    <t>漂</t>
  </si>
  <si>
    <t>筷</t>
  </si>
  <si>
    <t>实</t>
  </si>
  <si>
    <t>感</t>
  </si>
  <si>
    <t>观</t>
  </si>
  <si>
    <t>原</t>
  </si>
  <si>
    <t>结</t>
  </si>
  <si>
    <t>选</t>
  </si>
  <si>
    <t>詞</t>
  </si>
  <si>
    <t>慣</t>
  </si>
  <si>
    <t>週</t>
  </si>
  <si>
    <t>涼</t>
  </si>
  <si>
    <t>實</t>
  </si>
  <si>
    <t>觀</t>
  </si>
  <si>
    <t>結</t>
  </si>
  <si>
    <t>選</t>
  </si>
  <si>
    <t>둔</t>
  </si>
  <si>
    <t>둘</t>
  </si>
  <si>
    <t>둠</t>
  </si>
  <si>
    <t>둡</t>
  </si>
  <si>
    <t>둣</t>
  </si>
  <si>
    <t>둥</t>
  </si>
  <si>
    <t>둬</t>
  </si>
  <si>
    <t>뒀</t>
  </si>
  <si>
    <t>뒈</t>
  </si>
  <si>
    <t>뒝</t>
  </si>
  <si>
    <t>뒤</t>
  </si>
  <si>
    <t>뒨</t>
  </si>
  <si>
    <t>뒬</t>
  </si>
  <si>
    <t>뒵</t>
  </si>
  <si>
    <t>뒷</t>
  </si>
  <si>
    <t>뒹</t>
  </si>
  <si>
    <t>题</t>
  </si>
  <si>
    <t>报</t>
  </si>
  <si>
    <t>园</t>
  </si>
  <si>
    <t>论</t>
  </si>
  <si>
    <t>离</t>
  </si>
  <si>
    <t>养</t>
  </si>
  <si>
    <t>室</t>
  </si>
  <si>
    <t>护</t>
  </si>
  <si>
    <t>超</t>
  </si>
  <si>
    <t>适</t>
  </si>
  <si>
    <t>纸</t>
  </si>
  <si>
    <t>熟</t>
  </si>
  <si>
    <t>阴</t>
  </si>
  <si>
    <t>嘴</t>
  </si>
  <si>
    <t>墙</t>
  </si>
  <si>
    <t>颜</t>
  </si>
  <si>
    <t>題</t>
  </si>
  <si>
    <t>報</t>
  </si>
  <si>
    <t>園</t>
  </si>
  <si>
    <t>論</t>
  </si>
  <si>
    <t>離</t>
  </si>
  <si>
    <t>養</t>
  </si>
  <si>
    <t>護</t>
  </si>
  <si>
    <t>適</t>
  </si>
  <si>
    <t>紙</t>
  </si>
  <si>
    <t>陰</t>
  </si>
  <si>
    <t>牆</t>
  </si>
  <si>
    <t>顏</t>
  </si>
  <si>
    <t>듀</t>
  </si>
  <si>
    <t>듄</t>
  </si>
  <si>
    <t>듈</t>
  </si>
  <si>
    <t>듐</t>
  </si>
  <si>
    <t>듕</t>
  </si>
  <si>
    <t>드</t>
  </si>
  <si>
    <t>득</t>
  </si>
  <si>
    <t>든</t>
  </si>
  <si>
    <t>듣</t>
  </si>
  <si>
    <t>들</t>
  </si>
  <si>
    <t>듦</t>
  </si>
  <si>
    <t>듬</t>
  </si>
  <si>
    <t>듭</t>
  </si>
  <si>
    <t>듯</t>
  </si>
  <si>
    <t>등</t>
  </si>
  <si>
    <t>듸</t>
  </si>
  <si>
    <t>喊</t>
  </si>
  <si>
    <t>际</t>
  </si>
  <si>
    <t>组</t>
  </si>
  <si>
    <t>脚</t>
  </si>
  <si>
    <t>越</t>
  </si>
  <si>
    <t>级</t>
  </si>
  <si>
    <t>脸</t>
  </si>
  <si>
    <t>检</t>
  </si>
  <si>
    <t>绩</t>
  </si>
  <si>
    <t>脏</t>
  </si>
  <si>
    <t>骑</t>
  </si>
  <si>
    <t>饺</t>
  </si>
  <si>
    <t>经</t>
  </si>
  <si>
    <t>响</t>
  </si>
  <si>
    <t>餐</t>
  </si>
  <si>
    <t>際</t>
  </si>
  <si>
    <t>組</t>
  </si>
  <si>
    <t>腳</t>
  </si>
  <si>
    <t>級</t>
  </si>
  <si>
    <t>臉</t>
  </si>
  <si>
    <t>檢</t>
  </si>
  <si>
    <t>績</t>
  </si>
  <si>
    <t>臟</t>
  </si>
  <si>
    <t>騎</t>
  </si>
  <si>
    <t>餃</t>
  </si>
  <si>
    <t>經</t>
  </si>
  <si>
    <t>響</t>
  </si>
  <si>
    <t>碗</t>
  </si>
  <si>
    <t>饱</t>
  </si>
  <si>
    <t>钟</t>
  </si>
  <si>
    <t>练</t>
  </si>
  <si>
    <t>变</t>
  </si>
  <si>
    <t>愿</t>
  </si>
  <si>
    <t>懂</t>
  </si>
  <si>
    <t>铁</t>
  </si>
  <si>
    <t>世</t>
  </si>
  <si>
    <t>母</t>
  </si>
  <si>
    <t>父</t>
  </si>
  <si>
    <t>木</t>
  </si>
  <si>
    <t>止</t>
  </si>
  <si>
    <t>互</t>
  </si>
  <si>
    <t>齐</t>
  </si>
  <si>
    <t>刀</t>
  </si>
  <si>
    <t>飽</t>
  </si>
  <si>
    <t>鐘</t>
  </si>
  <si>
    <t>練</t>
  </si>
  <si>
    <t>變</t>
  </si>
  <si>
    <t>願</t>
  </si>
  <si>
    <t>鐵</t>
  </si>
  <si>
    <t>齊</t>
  </si>
  <si>
    <t>디</t>
  </si>
  <si>
    <t>딕</t>
  </si>
  <si>
    <t>딘</t>
  </si>
  <si>
    <t>딛</t>
  </si>
  <si>
    <t>딜</t>
  </si>
  <si>
    <t>딤</t>
  </si>
  <si>
    <t>딥</t>
  </si>
  <si>
    <t>딧</t>
  </si>
  <si>
    <t>딨</t>
  </si>
  <si>
    <t>딩</t>
  </si>
  <si>
    <t>딪</t>
  </si>
  <si>
    <t>따</t>
  </si>
  <si>
    <t>딱</t>
  </si>
  <si>
    <t>딴</t>
  </si>
  <si>
    <t>딸</t>
  </si>
  <si>
    <t>代</t>
  </si>
  <si>
    <t>化</t>
  </si>
  <si>
    <t>立</t>
  </si>
  <si>
    <t>品</t>
  </si>
  <si>
    <t>内</t>
  </si>
  <si>
    <t>把</t>
  </si>
  <si>
    <t>建</t>
  </si>
  <si>
    <t>式</t>
  </si>
  <si>
    <t>任</t>
  </si>
  <si>
    <t>功</t>
  </si>
  <si>
    <t>济</t>
  </si>
  <si>
    <t>易</t>
  </si>
  <si>
    <t>争</t>
  </si>
  <si>
    <t>香</t>
  </si>
  <si>
    <t>集</t>
  </si>
  <si>
    <t>切</t>
  </si>
  <si>
    <t>內</t>
  </si>
  <si>
    <t>濟</t>
  </si>
  <si>
    <t>爭</t>
  </si>
  <si>
    <t>땀</t>
  </si>
  <si>
    <t>땁</t>
  </si>
  <si>
    <t>땃</t>
  </si>
  <si>
    <t>땄</t>
  </si>
  <si>
    <t>땅</t>
  </si>
  <si>
    <t>땋</t>
  </si>
  <si>
    <t>때</t>
  </si>
  <si>
    <t>땍</t>
  </si>
  <si>
    <t>땐</t>
  </si>
  <si>
    <t>땔</t>
  </si>
  <si>
    <t>땜</t>
  </si>
  <si>
    <t>땝</t>
  </si>
  <si>
    <t>땟</t>
  </si>
  <si>
    <t>땠</t>
  </si>
  <si>
    <t>땡</t>
  </si>
  <si>
    <t>存</t>
  </si>
  <si>
    <t>需</t>
  </si>
  <si>
    <t>血</t>
  </si>
  <si>
    <t>李</t>
  </si>
  <si>
    <t>配</t>
  </si>
  <si>
    <t>双</t>
  </si>
  <si>
    <t>否</t>
  </si>
  <si>
    <t>初</t>
  </si>
  <si>
    <t>另</t>
  </si>
  <si>
    <t>仍</t>
  </si>
  <si>
    <t>迷</t>
  </si>
  <si>
    <t>志</t>
  </si>
  <si>
    <t>村</t>
  </si>
  <si>
    <t>材</t>
  </si>
  <si>
    <t>困</t>
  </si>
  <si>
    <t>巧</t>
  </si>
  <si>
    <t>雙</t>
  </si>
  <si>
    <t>떠</t>
  </si>
  <si>
    <t>떡</t>
  </si>
  <si>
    <t>떤</t>
  </si>
  <si>
    <t>떨</t>
  </si>
  <si>
    <t>떪</t>
  </si>
  <si>
    <t>떫</t>
  </si>
  <si>
    <t>떰</t>
  </si>
  <si>
    <t>떱</t>
  </si>
  <si>
    <t>떳</t>
  </si>
  <si>
    <t>떴</t>
  </si>
  <si>
    <t>떵</t>
  </si>
  <si>
    <t>떻</t>
  </si>
  <si>
    <t>떼</t>
  </si>
  <si>
    <t>떽</t>
  </si>
  <si>
    <t>뗀</t>
  </si>
  <si>
    <t>뗄</t>
  </si>
  <si>
    <t>抓</t>
  </si>
  <si>
    <t>羊</t>
  </si>
  <si>
    <t>啡</t>
  </si>
  <si>
    <t>咖</t>
  </si>
  <si>
    <t>汁</t>
  </si>
  <si>
    <t>衫</t>
  </si>
  <si>
    <t>台</t>
  </si>
  <si>
    <t>民</t>
  </si>
  <si>
    <t>美</t>
  </si>
  <si>
    <t>此</t>
  </si>
  <si>
    <t>神</t>
  </si>
  <si>
    <t>形</t>
  </si>
  <si>
    <t>反</t>
  </si>
  <si>
    <t>土</t>
  </si>
  <si>
    <t>区</t>
  </si>
  <si>
    <t>始</t>
  </si>
  <si>
    <t>區</t>
  </si>
  <si>
    <t>뗌</t>
  </si>
  <si>
    <t>뗍</t>
  </si>
  <si>
    <t>뗏</t>
  </si>
  <si>
    <t>뗐</t>
  </si>
  <si>
    <t>뗑</t>
  </si>
  <si>
    <t>뗘</t>
  </si>
  <si>
    <t>뗬</t>
  </si>
  <si>
    <t>또</t>
  </si>
  <si>
    <t>똑</t>
  </si>
  <si>
    <t>똔</t>
  </si>
  <si>
    <t>똘</t>
  </si>
  <si>
    <t>똥</t>
  </si>
  <si>
    <t>똬</t>
  </si>
  <si>
    <t>똴</t>
  </si>
  <si>
    <t>뙈</t>
  </si>
  <si>
    <t>뙤</t>
  </si>
  <si>
    <t>精</t>
  </si>
  <si>
    <t>每</t>
  </si>
  <si>
    <t>强</t>
  </si>
  <si>
    <t>石</t>
  </si>
  <si>
    <t>古</t>
  </si>
  <si>
    <t>华</t>
  </si>
  <si>
    <t>连</t>
  </si>
  <si>
    <t>及</t>
  </si>
  <si>
    <t>各</t>
  </si>
  <si>
    <t>夫</t>
  </si>
  <si>
    <t>足</t>
  </si>
  <si>
    <t>根</t>
  </si>
  <si>
    <t>历</t>
  </si>
  <si>
    <t>支</t>
  </si>
  <si>
    <t>尽</t>
  </si>
  <si>
    <t>简</t>
  </si>
  <si>
    <t>強</t>
  </si>
  <si>
    <t>華</t>
  </si>
  <si>
    <t>連</t>
  </si>
  <si>
    <t>歷</t>
  </si>
  <si>
    <t>盡</t>
  </si>
  <si>
    <t>簡</t>
  </si>
  <si>
    <t>뙨</t>
  </si>
  <si>
    <t>뚜</t>
  </si>
  <si>
    <t>뚝</t>
  </si>
  <si>
    <t>뚠</t>
  </si>
  <si>
    <t>뚤</t>
  </si>
  <si>
    <t>뚫</t>
  </si>
  <si>
    <t>뚬</t>
  </si>
  <si>
    <t>뚱</t>
  </si>
  <si>
    <t>뛔</t>
  </si>
  <si>
    <t>뛰</t>
  </si>
  <si>
    <t>뛴</t>
  </si>
  <si>
    <t>뛸</t>
  </si>
  <si>
    <t>뜀</t>
  </si>
  <si>
    <t>뜁</t>
  </si>
  <si>
    <t>뜅</t>
  </si>
  <si>
    <t>뜨</t>
  </si>
  <si>
    <t>彩</t>
  </si>
  <si>
    <t>采</t>
  </si>
  <si>
    <t>旧</t>
  </si>
  <si>
    <t>派</t>
  </si>
  <si>
    <t>退</t>
  </si>
  <si>
    <t>胜</t>
  </si>
  <si>
    <t>丰</t>
  </si>
  <si>
    <t>危</t>
  </si>
  <si>
    <t>范</t>
  </si>
  <si>
    <t>付</t>
  </si>
  <si>
    <t>敢</t>
  </si>
  <si>
    <t>架</t>
  </si>
  <si>
    <t>箱</t>
  </si>
  <si>
    <t>束</t>
  </si>
  <si>
    <t>批</t>
  </si>
  <si>
    <t>某</t>
  </si>
  <si>
    <t>採</t>
  </si>
  <si>
    <t>舊</t>
  </si>
  <si>
    <t>勝</t>
  </si>
  <si>
    <t>豐</t>
  </si>
  <si>
    <t>範</t>
  </si>
  <si>
    <t>뜩</t>
  </si>
  <si>
    <t>뜬</t>
  </si>
  <si>
    <t>뜯</t>
  </si>
  <si>
    <t>뜰</t>
  </si>
  <si>
    <t>뜸</t>
  </si>
  <si>
    <t>뜹</t>
  </si>
  <si>
    <t>뜻</t>
  </si>
  <si>
    <t>띄</t>
  </si>
  <si>
    <t>띈</t>
  </si>
  <si>
    <t>띌</t>
  </si>
  <si>
    <t>띔</t>
  </si>
  <si>
    <t>띕</t>
  </si>
  <si>
    <t>띠</t>
  </si>
  <si>
    <t>띤</t>
  </si>
  <si>
    <t>띨</t>
  </si>
  <si>
    <t>띰</t>
  </si>
  <si>
    <t>蕉</t>
  </si>
  <si>
    <t>光</t>
  </si>
  <si>
    <t>保</t>
  </si>
  <si>
    <t>望</t>
  </si>
  <si>
    <t>何</t>
  </si>
  <si>
    <t>术</t>
  </si>
  <si>
    <t>社</t>
  </si>
  <si>
    <t>指</t>
  </si>
  <si>
    <t>程</t>
  </si>
  <si>
    <t>失</t>
  </si>
  <si>
    <t>专</t>
  </si>
  <si>
    <t>张</t>
  </si>
  <si>
    <t>速</t>
  </si>
  <si>
    <t>营</t>
  </si>
  <si>
    <t>持</t>
  </si>
  <si>
    <t>術</t>
  </si>
  <si>
    <t>專</t>
  </si>
  <si>
    <t>張</t>
  </si>
  <si>
    <t>營</t>
  </si>
  <si>
    <t>띱</t>
  </si>
  <si>
    <t>띳</t>
  </si>
  <si>
    <t>띵</t>
  </si>
  <si>
    <t>라</t>
  </si>
  <si>
    <t>락</t>
  </si>
  <si>
    <t>란</t>
  </si>
  <si>
    <t>랄</t>
  </si>
  <si>
    <t>람</t>
  </si>
  <si>
    <t>랍</t>
  </si>
  <si>
    <t>랏</t>
  </si>
  <si>
    <t>랐</t>
  </si>
  <si>
    <t>랑</t>
  </si>
  <si>
    <t>랒</t>
  </si>
  <si>
    <t>랖</t>
  </si>
  <si>
    <t>랗</t>
  </si>
  <si>
    <t>格</t>
  </si>
  <si>
    <t>决</t>
  </si>
  <si>
    <t>布</t>
  </si>
  <si>
    <t>消</t>
  </si>
  <si>
    <t>众</t>
  </si>
  <si>
    <t>苦</t>
  </si>
  <si>
    <t>技</t>
  </si>
  <si>
    <t>断</t>
  </si>
  <si>
    <t>联</t>
  </si>
  <si>
    <t>具</t>
  </si>
  <si>
    <t>将</t>
  </si>
  <si>
    <t>似</t>
  </si>
  <si>
    <t>效</t>
  </si>
  <si>
    <t>况</t>
  </si>
  <si>
    <t>注</t>
  </si>
  <si>
    <t>状</t>
  </si>
  <si>
    <t>決</t>
  </si>
  <si>
    <t>眾</t>
  </si>
  <si>
    <t>斷</t>
  </si>
  <si>
    <t>聯</t>
  </si>
  <si>
    <t>將</t>
  </si>
  <si>
    <t>況</t>
  </si>
  <si>
    <t>狀</t>
  </si>
  <si>
    <t>뢔</t>
  </si>
  <si>
    <t>래</t>
  </si>
  <si>
    <t>랙</t>
  </si>
  <si>
    <t>랜</t>
  </si>
  <si>
    <t>랠</t>
  </si>
  <si>
    <t>램</t>
  </si>
  <si>
    <t>랩</t>
  </si>
  <si>
    <t>랫</t>
  </si>
  <si>
    <t>랬</t>
  </si>
  <si>
    <t>랭</t>
  </si>
  <si>
    <t>랴</t>
  </si>
  <si>
    <t>략</t>
  </si>
  <si>
    <t>랸</t>
  </si>
  <si>
    <t>럇</t>
  </si>
  <si>
    <t>량</t>
  </si>
  <si>
    <t>러</t>
  </si>
  <si>
    <t>龙</t>
  </si>
  <si>
    <t>防</t>
  </si>
  <si>
    <t>充</t>
  </si>
  <si>
    <t>曾</t>
  </si>
  <si>
    <t>升</t>
  </si>
  <si>
    <t>修</t>
  </si>
  <si>
    <t>待</t>
  </si>
  <si>
    <t>较</t>
  </si>
  <si>
    <t>负</t>
  </si>
  <si>
    <t>责</t>
  </si>
  <si>
    <t>追</t>
  </si>
  <si>
    <t>婚</t>
  </si>
  <si>
    <t>拍</t>
  </si>
  <si>
    <t>属</t>
  </si>
  <si>
    <t>麻</t>
  </si>
  <si>
    <t>武</t>
  </si>
  <si>
    <t>龍</t>
  </si>
  <si>
    <t>較</t>
  </si>
  <si>
    <t>負</t>
  </si>
  <si>
    <t>責</t>
  </si>
  <si>
    <t>屬</t>
  </si>
  <si>
    <t>럭</t>
  </si>
  <si>
    <t>런</t>
  </si>
  <si>
    <t>럴</t>
  </si>
  <si>
    <t>럼</t>
  </si>
  <si>
    <t>럽</t>
  </si>
  <si>
    <t>럿</t>
  </si>
  <si>
    <t>렀</t>
  </si>
  <si>
    <t>렁</t>
  </si>
  <si>
    <t>렇</t>
  </si>
  <si>
    <t>레</t>
  </si>
  <si>
    <t>렉</t>
  </si>
  <si>
    <t>렌</t>
  </si>
  <si>
    <t>렐</t>
  </si>
  <si>
    <t>렘</t>
  </si>
  <si>
    <t>렙</t>
  </si>
  <si>
    <t>렛</t>
  </si>
  <si>
    <t>概</t>
  </si>
  <si>
    <t>媒</t>
  </si>
  <si>
    <t>姑</t>
  </si>
  <si>
    <t>冒</t>
  </si>
  <si>
    <t>祝</t>
  </si>
  <si>
    <t>泳</t>
  </si>
  <si>
    <t>裤</t>
  </si>
  <si>
    <t>并</t>
  </si>
  <si>
    <t>产</t>
  </si>
  <si>
    <t>展</t>
  </si>
  <si>
    <t>员</t>
  </si>
  <si>
    <t>界</t>
  </si>
  <si>
    <t>传</t>
  </si>
  <si>
    <t>至</t>
  </si>
  <si>
    <t>转</t>
  </si>
  <si>
    <t>价</t>
  </si>
  <si>
    <t>褲</t>
  </si>
  <si>
    <t>併</t>
  </si>
  <si>
    <t>產</t>
  </si>
  <si>
    <t>員</t>
  </si>
  <si>
    <t>傳</t>
  </si>
  <si>
    <t>轉</t>
  </si>
  <si>
    <t>價</t>
  </si>
  <si>
    <t>렝</t>
  </si>
  <si>
    <t>려</t>
  </si>
  <si>
    <t>력</t>
  </si>
  <si>
    <t>련</t>
  </si>
  <si>
    <t>렬</t>
  </si>
  <si>
    <t>렴</t>
  </si>
  <si>
    <t>렵</t>
  </si>
  <si>
    <t>렷</t>
  </si>
  <si>
    <t>렸</t>
  </si>
  <si>
    <t>령</t>
  </si>
  <si>
    <t>례</t>
  </si>
  <si>
    <t>롄</t>
  </si>
  <si>
    <t>롑</t>
  </si>
  <si>
    <t>롓</t>
  </si>
  <si>
    <t>로</t>
  </si>
  <si>
    <t>록</t>
  </si>
  <si>
    <t>象</t>
  </si>
  <si>
    <t>深</t>
  </si>
  <si>
    <t>念</t>
  </si>
  <si>
    <t>环</t>
  </si>
  <si>
    <t>落</t>
  </si>
  <si>
    <t>团</t>
  </si>
  <si>
    <t>死</t>
  </si>
  <si>
    <t>器</t>
  </si>
  <si>
    <t>奇</t>
  </si>
  <si>
    <t>底</t>
  </si>
  <si>
    <t>希</t>
  </si>
  <si>
    <t>首</t>
  </si>
  <si>
    <t>值</t>
  </si>
  <si>
    <t>极</t>
  </si>
  <si>
    <t>福</t>
  </si>
  <si>
    <t>皮</t>
  </si>
  <si>
    <t>環</t>
  </si>
  <si>
    <t>團</t>
  </si>
  <si>
    <t>極</t>
  </si>
  <si>
    <t>론</t>
  </si>
  <si>
    <t>롤</t>
  </si>
  <si>
    <t>롬</t>
  </si>
  <si>
    <t>롭</t>
  </si>
  <si>
    <t>롯</t>
  </si>
  <si>
    <t>롱</t>
  </si>
  <si>
    <t>롸</t>
  </si>
  <si>
    <t>롼</t>
  </si>
  <si>
    <t>뢍</t>
  </si>
  <si>
    <t>뢨</t>
  </si>
  <si>
    <t>뢰</t>
  </si>
  <si>
    <t>뢴</t>
  </si>
  <si>
    <t>뢸</t>
  </si>
  <si>
    <t>룀</t>
  </si>
  <si>
    <t>룁</t>
  </si>
  <si>
    <t>룃</t>
  </si>
  <si>
    <t>积</t>
  </si>
  <si>
    <t>善</t>
  </si>
  <si>
    <t>害</t>
  </si>
  <si>
    <t>杂</t>
  </si>
  <si>
    <t>散</t>
  </si>
  <si>
    <t>卫</t>
  </si>
  <si>
    <t>恐</t>
  </si>
  <si>
    <t>围</t>
  </si>
  <si>
    <t>跳</t>
  </si>
  <si>
    <t>朝</t>
  </si>
  <si>
    <t>浪</t>
  </si>
  <si>
    <t>补</t>
  </si>
  <si>
    <t>牌</t>
  </si>
  <si>
    <t>乱</t>
  </si>
  <si>
    <t>烟</t>
  </si>
  <si>
    <t>训</t>
  </si>
  <si>
    <t>積</t>
  </si>
  <si>
    <t>雜</t>
  </si>
  <si>
    <t>衛</t>
  </si>
  <si>
    <t>圍</t>
  </si>
  <si>
    <t>補</t>
  </si>
  <si>
    <t>亂</t>
  </si>
  <si>
    <t>煙</t>
  </si>
  <si>
    <t>訓</t>
  </si>
  <si>
    <t>룅</t>
  </si>
  <si>
    <t>료</t>
  </si>
  <si>
    <t>룐</t>
  </si>
  <si>
    <t>룔</t>
  </si>
  <si>
    <t>룝</t>
  </si>
  <si>
    <t>룟</t>
  </si>
  <si>
    <t>룡</t>
  </si>
  <si>
    <t>루</t>
  </si>
  <si>
    <t>룩</t>
  </si>
  <si>
    <t>룬</t>
  </si>
  <si>
    <t>룰</t>
  </si>
  <si>
    <t>룸</t>
  </si>
  <si>
    <t>룹</t>
  </si>
  <si>
    <t>룻</t>
  </si>
  <si>
    <t>룽</t>
  </si>
  <si>
    <t>뤄</t>
  </si>
  <si>
    <t>仅</t>
  </si>
  <si>
    <t>娘</t>
  </si>
  <si>
    <t>坚</t>
  </si>
  <si>
    <t>章</t>
  </si>
  <si>
    <t>播</t>
  </si>
  <si>
    <t>订</t>
  </si>
  <si>
    <t>判</t>
  </si>
  <si>
    <t>糖</t>
  </si>
  <si>
    <t>伟</t>
  </si>
  <si>
    <t>暖</t>
  </si>
  <si>
    <t>按</t>
  </si>
  <si>
    <t>搬</t>
  </si>
  <si>
    <t>汤</t>
  </si>
  <si>
    <t>胖</t>
  </si>
  <si>
    <t>裙</t>
  </si>
  <si>
    <t>啤</t>
  </si>
  <si>
    <t>僅</t>
  </si>
  <si>
    <t>堅</t>
  </si>
  <si>
    <t>訂</t>
  </si>
  <si>
    <t>偉</t>
  </si>
  <si>
    <t>湯</t>
  </si>
  <si>
    <t>뤘</t>
  </si>
  <si>
    <t>뤠</t>
  </si>
  <si>
    <t>뤼</t>
  </si>
  <si>
    <t>뤽</t>
  </si>
  <si>
    <t>륀</t>
  </si>
  <si>
    <t>륄</t>
  </si>
  <si>
    <t>륌</t>
  </si>
  <si>
    <t>륏</t>
  </si>
  <si>
    <t>륑</t>
  </si>
  <si>
    <t>류</t>
  </si>
  <si>
    <t>륙</t>
  </si>
  <si>
    <t>륜</t>
  </si>
  <si>
    <t>률</t>
  </si>
  <si>
    <t>륨</t>
  </si>
  <si>
    <t>륩</t>
  </si>
  <si>
    <t>性</t>
  </si>
  <si>
    <t>亲</t>
  </si>
  <si>
    <t>管</t>
  </si>
  <si>
    <t>命</t>
  </si>
  <si>
    <t>义</t>
  </si>
  <si>
    <t>达</t>
  </si>
  <si>
    <t>规</t>
  </si>
  <si>
    <t>预</t>
  </si>
  <si>
    <t>证</t>
  </si>
  <si>
    <t>剧</t>
  </si>
  <si>
    <t>舞</t>
  </si>
  <si>
    <t>伤</t>
  </si>
  <si>
    <t>被</t>
  </si>
  <si>
    <t>谈</t>
  </si>
  <si>
    <t>屋</t>
  </si>
  <si>
    <t>据</t>
  </si>
  <si>
    <t>親</t>
  </si>
  <si>
    <t>義</t>
  </si>
  <si>
    <t>達</t>
  </si>
  <si>
    <t>規</t>
  </si>
  <si>
    <t>預</t>
  </si>
  <si>
    <t>證</t>
  </si>
  <si>
    <t>劇</t>
  </si>
  <si>
    <t>傷</t>
  </si>
  <si>
    <t>談</t>
  </si>
  <si>
    <t>據</t>
  </si>
  <si>
    <t>륫</t>
  </si>
  <si>
    <t>륭</t>
  </si>
  <si>
    <t>르</t>
  </si>
  <si>
    <t>륵</t>
  </si>
  <si>
    <t>른</t>
  </si>
  <si>
    <t>를</t>
  </si>
  <si>
    <t>름</t>
  </si>
  <si>
    <t>릅</t>
  </si>
  <si>
    <t>릇</t>
  </si>
  <si>
    <t>릉</t>
  </si>
  <si>
    <t>릊</t>
  </si>
  <si>
    <t>릍</t>
  </si>
  <si>
    <t>릎</t>
  </si>
  <si>
    <t>리</t>
  </si>
  <si>
    <t>릭</t>
  </si>
  <si>
    <t>沙</t>
  </si>
  <si>
    <t>群</t>
  </si>
  <si>
    <t>缺</t>
  </si>
  <si>
    <t>烈</t>
  </si>
  <si>
    <t>访</t>
  </si>
  <si>
    <t>救</t>
  </si>
  <si>
    <t>庆</t>
  </si>
  <si>
    <t>幸</t>
  </si>
  <si>
    <t>哈</t>
  </si>
  <si>
    <t>烦</t>
  </si>
  <si>
    <t>币</t>
  </si>
  <si>
    <t>挂</t>
  </si>
  <si>
    <t>误</t>
  </si>
  <si>
    <t>吵</t>
  </si>
  <si>
    <t>资</t>
  </si>
  <si>
    <t>造</t>
  </si>
  <si>
    <t>訪</t>
  </si>
  <si>
    <t>慶</t>
  </si>
  <si>
    <t>煩</t>
  </si>
  <si>
    <t>幣</t>
  </si>
  <si>
    <t>掛</t>
  </si>
  <si>
    <t>誤</t>
  </si>
  <si>
    <t>資</t>
  </si>
  <si>
    <t>린</t>
  </si>
  <si>
    <t>릴</t>
  </si>
  <si>
    <t>림</t>
  </si>
  <si>
    <t>립</t>
  </si>
  <si>
    <t>릿</t>
  </si>
  <si>
    <t>링</t>
  </si>
  <si>
    <t>마</t>
  </si>
  <si>
    <t>막</t>
  </si>
  <si>
    <t>만</t>
  </si>
  <si>
    <t>많</t>
  </si>
  <si>
    <t>맏</t>
  </si>
  <si>
    <t>말</t>
  </si>
  <si>
    <t>맑</t>
  </si>
  <si>
    <t>맒</t>
  </si>
  <si>
    <t>맘</t>
  </si>
  <si>
    <t>맙</t>
  </si>
  <si>
    <t>设</t>
  </si>
  <si>
    <t>导</t>
  </si>
  <si>
    <t>整</t>
  </si>
  <si>
    <t>创</t>
  </si>
  <si>
    <t>费</t>
  </si>
  <si>
    <t>步</t>
  </si>
  <si>
    <t>基</t>
  </si>
  <si>
    <t>景</t>
  </si>
  <si>
    <t>纪</t>
  </si>
  <si>
    <t>标</t>
  </si>
  <si>
    <t>增</t>
  </si>
  <si>
    <t>乡</t>
  </si>
  <si>
    <t>戏</t>
  </si>
  <si>
    <t>厂</t>
  </si>
  <si>
    <t>痛</t>
  </si>
  <si>
    <t>突</t>
  </si>
  <si>
    <t>設</t>
  </si>
  <si>
    <t>導</t>
  </si>
  <si>
    <t>創</t>
  </si>
  <si>
    <t>費</t>
  </si>
  <si>
    <t>紀</t>
  </si>
  <si>
    <t>標</t>
  </si>
  <si>
    <t>鄉</t>
  </si>
  <si>
    <t>戲</t>
  </si>
  <si>
    <t>廠</t>
  </si>
  <si>
    <t>富</t>
  </si>
  <si>
    <t>评</t>
  </si>
  <si>
    <t>录</t>
  </si>
  <si>
    <t>继</t>
  </si>
  <si>
    <t>怪</t>
  </si>
  <si>
    <t>宣</t>
  </si>
  <si>
    <t>赶</t>
  </si>
  <si>
    <t>握</t>
  </si>
  <si>
    <t>猪</t>
  </si>
  <si>
    <t>邮</t>
  </si>
  <si>
    <t>础</t>
  </si>
  <si>
    <t>甜</t>
  </si>
  <si>
    <t>衬</t>
  </si>
  <si>
    <t>演</t>
  </si>
  <si>
    <t>制</t>
  </si>
  <si>
    <t>赛</t>
  </si>
  <si>
    <t>評</t>
  </si>
  <si>
    <t>錄</t>
  </si>
  <si>
    <t>繼</t>
  </si>
  <si>
    <t>趕</t>
  </si>
  <si>
    <t>豬</t>
  </si>
  <si>
    <t>郵</t>
  </si>
  <si>
    <t>礎</t>
  </si>
  <si>
    <t>襯</t>
  </si>
  <si>
    <t>賽</t>
  </si>
  <si>
    <t>맛</t>
  </si>
  <si>
    <t>망</t>
  </si>
  <si>
    <t>맞</t>
  </si>
  <si>
    <t>맡</t>
  </si>
  <si>
    <t>맣</t>
  </si>
  <si>
    <t>매</t>
  </si>
  <si>
    <t>맥</t>
  </si>
  <si>
    <t>맨</t>
  </si>
  <si>
    <t>맬</t>
  </si>
  <si>
    <t>맴</t>
  </si>
  <si>
    <t>맵</t>
  </si>
  <si>
    <t>맷</t>
  </si>
  <si>
    <t>맸</t>
  </si>
  <si>
    <t>맹</t>
  </si>
  <si>
    <t>맺</t>
  </si>
  <si>
    <t>먀</t>
  </si>
  <si>
    <t>城</t>
  </si>
  <si>
    <t>终</t>
  </si>
  <si>
    <t>除</t>
  </si>
  <si>
    <t>领</t>
  </si>
  <si>
    <t>绝</t>
  </si>
  <si>
    <t>职</t>
  </si>
  <si>
    <t>破</t>
  </si>
  <si>
    <t>农</t>
  </si>
  <si>
    <t>紧</t>
  </si>
  <si>
    <t>桥</t>
  </si>
  <si>
    <t>输</t>
  </si>
  <si>
    <t>种</t>
  </si>
  <si>
    <t>解</t>
  </si>
  <si>
    <t>调</t>
  </si>
  <si>
    <t>类</t>
  </si>
  <si>
    <t>境</t>
  </si>
  <si>
    <t>終</t>
  </si>
  <si>
    <t>領</t>
  </si>
  <si>
    <t>絕</t>
  </si>
  <si>
    <t>職</t>
  </si>
  <si>
    <t>農</t>
  </si>
  <si>
    <t>緊</t>
  </si>
  <si>
    <t>橋</t>
  </si>
  <si>
    <t>輸</t>
  </si>
  <si>
    <t>種</t>
  </si>
  <si>
    <t>調</t>
  </si>
  <si>
    <t>類</t>
  </si>
  <si>
    <t>먁</t>
  </si>
  <si>
    <t>먈</t>
  </si>
  <si>
    <t>먕</t>
  </si>
  <si>
    <t>머</t>
  </si>
  <si>
    <t>먹</t>
  </si>
  <si>
    <t>먼</t>
  </si>
  <si>
    <t>멀</t>
  </si>
  <si>
    <t>멂</t>
  </si>
  <si>
    <t>멈</t>
  </si>
  <si>
    <t>멉</t>
  </si>
  <si>
    <t>멋</t>
  </si>
  <si>
    <t>멍</t>
  </si>
  <si>
    <t>멎</t>
  </si>
  <si>
    <t>멓</t>
  </si>
  <si>
    <t>메</t>
  </si>
  <si>
    <t>멕</t>
  </si>
  <si>
    <t>显</t>
  </si>
  <si>
    <t>约</t>
  </si>
  <si>
    <t>族</t>
  </si>
  <si>
    <t>优</t>
  </si>
  <si>
    <t>险</t>
  </si>
  <si>
    <t>压</t>
  </si>
  <si>
    <t>警</t>
  </si>
  <si>
    <t>顿</t>
  </si>
  <si>
    <t>容</t>
  </si>
  <si>
    <t>线</t>
  </si>
  <si>
    <t>议</t>
  </si>
  <si>
    <t>势</t>
  </si>
  <si>
    <t>续</t>
  </si>
  <si>
    <t>丽</t>
  </si>
  <si>
    <t>赢</t>
  </si>
  <si>
    <t>总</t>
  </si>
  <si>
    <t>顯</t>
  </si>
  <si>
    <t>約</t>
  </si>
  <si>
    <t>優</t>
  </si>
  <si>
    <t>險</t>
  </si>
  <si>
    <t>壓</t>
  </si>
  <si>
    <t>頓</t>
  </si>
  <si>
    <t>線</t>
  </si>
  <si>
    <t>議</t>
  </si>
  <si>
    <t>勢</t>
  </si>
  <si>
    <t>續</t>
  </si>
  <si>
    <t>麗</t>
  </si>
  <si>
    <t>贏</t>
  </si>
  <si>
    <t>總</t>
  </si>
  <si>
    <t>멘</t>
  </si>
  <si>
    <t>멜</t>
  </si>
  <si>
    <t>멤</t>
  </si>
  <si>
    <t>멥</t>
  </si>
  <si>
    <t>멧</t>
  </si>
  <si>
    <t>멨</t>
  </si>
  <si>
    <t>멩</t>
  </si>
  <si>
    <t>며</t>
  </si>
  <si>
    <t>멱</t>
  </si>
  <si>
    <t>면</t>
  </si>
  <si>
    <t>멸</t>
  </si>
  <si>
    <t>몃</t>
  </si>
  <si>
    <t>몄</t>
  </si>
  <si>
    <t>명</t>
  </si>
  <si>
    <t>몇</t>
  </si>
  <si>
    <t>몌</t>
  </si>
  <si>
    <t>察</t>
  </si>
  <si>
    <t>验</t>
  </si>
  <si>
    <t>苹</t>
  </si>
  <si>
    <t>艺</t>
  </si>
  <si>
    <t>之</t>
  </si>
  <si>
    <t>亚</t>
  </si>
  <si>
    <t>士</t>
  </si>
  <si>
    <t>巴</t>
  </si>
  <si>
    <t>牙</t>
  </si>
  <si>
    <t>户</t>
  </si>
  <si>
    <t>耳</t>
  </si>
  <si>
    <t>巨</t>
  </si>
  <si>
    <t>虫</t>
  </si>
  <si>
    <t>豆</t>
  </si>
  <si>
    <t>寸</t>
  </si>
  <si>
    <t>无</t>
  </si>
  <si>
    <t>驗</t>
  </si>
  <si>
    <t>蘋</t>
  </si>
  <si>
    <t>藝</t>
  </si>
  <si>
    <t>亞</t>
  </si>
  <si>
    <t>戶</t>
  </si>
  <si>
    <t>蟲</t>
  </si>
  <si>
    <t>無</t>
  </si>
  <si>
    <t>모</t>
  </si>
  <si>
    <t>목</t>
  </si>
  <si>
    <t>몫</t>
  </si>
  <si>
    <t>몬</t>
  </si>
  <si>
    <t>몰</t>
  </si>
  <si>
    <t>몲</t>
  </si>
  <si>
    <t>몸</t>
  </si>
  <si>
    <t>몹</t>
  </si>
  <si>
    <t>못</t>
  </si>
  <si>
    <t>몽</t>
  </si>
  <si>
    <t>뫄</t>
  </si>
  <si>
    <t>뫈</t>
  </si>
  <si>
    <t>뫘</t>
  </si>
  <si>
    <t>뫙</t>
  </si>
  <si>
    <t>뫼</t>
  </si>
  <si>
    <t>引</t>
  </si>
  <si>
    <t>林</t>
  </si>
  <si>
    <t>未</t>
  </si>
  <si>
    <t>史</t>
  </si>
  <si>
    <t>企</t>
  </si>
  <si>
    <t>登</t>
  </si>
  <si>
    <t>益</t>
  </si>
  <si>
    <t>逐</t>
  </si>
  <si>
    <t>江</t>
  </si>
  <si>
    <t>售</t>
  </si>
  <si>
    <t>律</t>
  </si>
  <si>
    <t>季</t>
  </si>
  <si>
    <t>恶</t>
  </si>
  <si>
    <t>阵</t>
  </si>
  <si>
    <t>秀</t>
  </si>
  <si>
    <t>呀</t>
  </si>
  <si>
    <t>惡</t>
  </si>
  <si>
    <t>陣</t>
  </si>
  <si>
    <t>묀</t>
  </si>
  <si>
    <t>묄</t>
  </si>
  <si>
    <t>묍</t>
  </si>
  <si>
    <t>묏</t>
  </si>
  <si>
    <t>묑</t>
  </si>
  <si>
    <t>묘</t>
  </si>
  <si>
    <t>묜</t>
  </si>
  <si>
    <t>묠</t>
  </si>
  <si>
    <t>묩</t>
  </si>
  <si>
    <t>묫</t>
  </si>
  <si>
    <t>무</t>
  </si>
  <si>
    <t>묵</t>
  </si>
  <si>
    <t>묶</t>
  </si>
  <si>
    <t>문</t>
  </si>
  <si>
    <t>묻</t>
  </si>
  <si>
    <t>尾</t>
  </si>
  <si>
    <t>尺</t>
  </si>
  <si>
    <t>隔</t>
  </si>
  <si>
    <t>闪</t>
  </si>
  <si>
    <t>申</t>
  </si>
  <si>
    <t>折</t>
  </si>
  <si>
    <t>雷</t>
  </si>
  <si>
    <t>肥</t>
  </si>
  <si>
    <t>弱</t>
  </si>
  <si>
    <t>闭</t>
  </si>
  <si>
    <t>卷</t>
  </si>
  <si>
    <t>伙</t>
  </si>
  <si>
    <t>治</t>
  </si>
  <si>
    <t>乎</t>
  </si>
  <si>
    <t>即</t>
  </si>
  <si>
    <t>叶</t>
  </si>
  <si>
    <t>閃</t>
  </si>
  <si>
    <t>閉</t>
  </si>
  <si>
    <t>葉</t>
  </si>
  <si>
    <t>물</t>
  </si>
  <si>
    <t>묽</t>
  </si>
  <si>
    <t>묾</t>
  </si>
  <si>
    <t>뭄</t>
  </si>
  <si>
    <t>뭅</t>
  </si>
  <si>
    <t>뭇</t>
  </si>
  <si>
    <t>뭉</t>
  </si>
  <si>
    <t>뭍</t>
  </si>
  <si>
    <t>뭏</t>
  </si>
  <si>
    <t>뭐</t>
  </si>
  <si>
    <t>뭔</t>
  </si>
  <si>
    <t>뭘</t>
  </si>
  <si>
    <t>뭡</t>
  </si>
  <si>
    <t>뭣</t>
  </si>
  <si>
    <t>뭬</t>
  </si>
  <si>
    <t>뮈</t>
  </si>
  <si>
    <t>渐</t>
  </si>
  <si>
    <t>构</t>
  </si>
  <si>
    <t>依</t>
  </si>
  <si>
    <t>限</t>
  </si>
  <si>
    <t>免</t>
  </si>
  <si>
    <t>幼</t>
  </si>
  <si>
    <t>沉</t>
  </si>
  <si>
    <t>降</t>
  </si>
  <si>
    <t>毕</t>
  </si>
  <si>
    <t>冰</t>
  </si>
  <si>
    <t>透</t>
  </si>
  <si>
    <t>骨</t>
  </si>
  <si>
    <t>淡</t>
  </si>
  <si>
    <t>玉</t>
  </si>
  <si>
    <t>妻</t>
  </si>
  <si>
    <t>瓜</t>
  </si>
  <si>
    <t>漸</t>
  </si>
  <si>
    <t>構</t>
  </si>
  <si>
    <t>畢</t>
  </si>
  <si>
    <t>뮌</t>
  </si>
  <si>
    <t>뮐</t>
  </si>
  <si>
    <t>뮨</t>
  </si>
  <si>
    <t>뮬</t>
  </si>
  <si>
    <t>뮴</t>
  </si>
  <si>
    <t>뮷</t>
  </si>
  <si>
    <t>므</t>
  </si>
  <si>
    <t>믄</t>
  </si>
  <si>
    <t>믈</t>
  </si>
  <si>
    <t>믐</t>
  </si>
  <si>
    <t>믓</t>
  </si>
  <si>
    <t>미</t>
  </si>
  <si>
    <t>믹</t>
  </si>
  <si>
    <t>민</t>
  </si>
  <si>
    <t>믿</t>
  </si>
  <si>
    <t>挑</t>
  </si>
  <si>
    <t>奋</t>
  </si>
  <si>
    <t>贝</t>
  </si>
  <si>
    <t>厚</t>
  </si>
  <si>
    <t>森</t>
  </si>
  <si>
    <t>丈</t>
  </si>
  <si>
    <t>松</t>
  </si>
  <si>
    <t>既</t>
  </si>
  <si>
    <t>兄</t>
  </si>
  <si>
    <t>圈</t>
  </si>
  <si>
    <t>汇</t>
  </si>
  <si>
    <t>序</t>
  </si>
  <si>
    <t>聊</t>
  </si>
  <si>
    <t>召</t>
  </si>
  <si>
    <t>腰</t>
  </si>
  <si>
    <t>迅</t>
  </si>
  <si>
    <t>奮</t>
  </si>
  <si>
    <t>貝</t>
  </si>
  <si>
    <t>匯</t>
  </si>
  <si>
    <t>밀</t>
  </si>
  <si>
    <t>밂</t>
  </si>
  <si>
    <t>밈</t>
  </si>
  <si>
    <t>밉</t>
  </si>
  <si>
    <t>밋</t>
  </si>
  <si>
    <t>밌</t>
  </si>
  <si>
    <t>밍</t>
  </si>
  <si>
    <t>및</t>
  </si>
  <si>
    <t>밑</t>
  </si>
  <si>
    <t>바</t>
  </si>
  <si>
    <t>박</t>
  </si>
  <si>
    <t>밖</t>
  </si>
  <si>
    <t>밗</t>
  </si>
  <si>
    <t>반</t>
  </si>
  <si>
    <t>받</t>
  </si>
  <si>
    <t>발</t>
  </si>
  <si>
    <t>秘</t>
  </si>
  <si>
    <t>棵</t>
  </si>
  <si>
    <t>斗</t>
  </si>
  <si>
    <t>巾</t>
  </si>
  <si>
    <t>笨</t>
  </si>
  <si>
    <t>政</t>
  </si>
  <si>
    <t>投</t>
  </si>
  <si>
    <t>质</t>
  </si>
  <si>
    <t>与</t>
  </si>
  <si>
    <t>独</t>
  </si>
  <si>
    <t>局</t>
  </si>
  <si>
    <t>料</t>
  </si>
  <si>
    <t>则</t>
  </si>
  <si>
    <t>居</t>
  </si>
  <si>
    <t>吸</t>
  </si>
  <si>
    <t>财</t>
  </si>
  <si>
    <t>質</t>
  </si>
  <si>
    <t>與</t>
  </si>
  <si>
    <t>獨</t>
  </si>
  <si>
    <t>則</t>
  </si>
  <si>
    <t>財</t>
  </si>
  <si>
    <t>밝</t>
  </si>
  <si>
    <t>밞</t>
  </si>
  <si>
    <t>밟</t>
  </si>
  <si>
    <t>밤</t>
  </si>
  <si>
    <t>밥</t>
  </si>
  <si>
    <t>밧</t>
  </si>
  <si>
    <t>방</t>
  </si>
  <si>
    <t>밭</t>
  </si>
  <si>
    <t>배</t>
  </si>
  <si>
    <t>백</t>
  </si>
  <si>
    <t>밴</t>
  </si>
  <si>
    <t>밸</t>
  </si>
  <si>
    <t>뱀</t>
  </si>
  <si>
    <t>뱁</t>
  </si>
  <si>
    <t>뱃</t>
  </si>
  <si>
    <t>뱄</t>
  </si>
  <si>
    <t>良</t>
  </si>
  <si>
    <t>招</t>
  </si>
  <si>
    <t>阿</t>
  </si>
  <si>
    <t>操</t>
  </si>
  <si>
    <t>临</t>
  </si>
  <si>
    <t>呼</t>
  </si>
  <si>
    <t>寻</t>
  </si>
  <si>
    <t>附</t>
  </si>
  <si>
    <t>移</t>
  </si>
  <si>
    <t>守</t>
  </si>
  <si>
    <t>承</t>
  </si>
  <si>
    <t>败</t>
  </si>
  <si>
    <t>挥</t>
  </si>
  <si>
    <t>兵</t>
  </si>
  <si>
    <t>述</t>
  </si>
  <si>
    <t>距</t>
  </si>
  <si>
    <t>臨</t>
  </si>
  <si>
    <t>尋</t>
  </si>
  <si>
    <t>敗</t>
  </si>
  <si>
    <t>揮</t>
  </si>
  <si>
    <t>뱅</t>
  </si>
  <si>
    <t>뱉</t>
  </si>
  <si>
    <t>뱌</t>
  </si>
  <si>
    <t>뱍</t>
  </si>
  <si>
    <t>뱐</t>
  </si>
  <si>
    <t>뱝</t>
  </si>
  <si>
    <t>버</t>
  </si>
  <si>
    <t>벅</t>
  </si>
  <si>
    <t>번</t>
  </si>
  <si>
    <t>벋</t>
  </si>
  <si>
    <t>벌</t>
  </si>
  <si>
    <t>벎</t>
  </si>
  <si>
    <t>범</t>
  </si>
  <si>
    <t>법</t>
  </si>
  <si>
    <t>벗</t>
  </si>
  <si>
    <t>固</t>
  </si>
  <si>
    <t>抽</t>
  </si>
  <si>
    <t>航</t>
  </si>
  <si>
    <t>延</t>
  </si>
  <si>
    <t>授</t>
  </si>
  <si>
    <t>尚</t>
  </si>
  <si>
    <t>替</t>
  </si>
  <si>
    <t>映</t>
  </si>
  <si>
    <t>袋</t>
  </si>
  <si>
    <t>勇</t>
  </si>
  <si>
    <t>促</t>
  </si>
  <si>
    <t>阻</t>
  </si>
  <si>
    <t>符</t>
  </si>
  <si>
    <t>迫</t>
  </si>
  <si>
    <t>酸</t>
  </si>
  <si>
    <t>描</t>
  </si>
  <si>
    <t>벙</t>
  </si>
  <si>
    <t>벚</t>
  </si>
  <si>
    <t>베</t>
  </si>
  <si>
    <t>벡</t>
  </si>
  <si>
    <t>벤</t>
  </si>
  <si>
    <t>벧</t>
  </si>
  <si>
    <t>벨</t>
  </si>
  <si>
    <t>벰</t>
  </si>
  <si>
    <t>벱</t>
  </si>
  <si>
    <t>벳</t>
  </si>
  <si>
    <t>벴</t>
  </si>
  <si>
    <t>벵</t>
  </si>
  <si>
    <t>벼</t>
  </si>
  <si>
    <t>벽</t>
  </si>
  <si>
    <t>변</t>
  </si>
  <si>
    <t>粗</t>
  </si>
  <si>
    <t>肚</t>
  </si>
  <si>
    <t>浅</t>
  </si>
  <si>
    <t>姨</t>
  </si>
  <si>
    <t>址</t>
  </si>
  <si>
    <t>伞</t>
  </si>
  <si>
    <t>征</t>
  </si>
  <si>
    <t>逛</t>
  </si>
  <si>
    <t>裹</t>
  </si>
  <si>
    <t>研</t>
  </si>
  <si>
    <t>府</t>
  </si>
  <si>
    <t>案</t>
  </si>
  <si>
    <t>官</t>
  </si>
  <si>
    <t>率</t>
  </si>
  <si>
    <t>列</t>
  </si>
  <si>
    <t>微</t>
  </si>
  <si>
    <t>淺</t>
  </si>
  <si>
    <t>傘</t>
  </si>
  <si>
    <t>별</t>
  </si>
  <si>
    <t>볍</t>
  </si>
  <si>
    <t>볏</t>
  </si>
  <si>
    <t>볐</t>
  </si>
  <si>
    <t>병</t>
  </si>
  <si>
    <t>볕</t>
  </si>
  <si>
    <t>볘</t>
  </si>
  <si>
    <t>볜</t>
  </si>
  <si>
    <t>보</t>
  </si>
  <si>
    <t>복</t>
  </si>
  <si>
    <t>볶</t>
  </si>
  <si>
    <t>본</t>
  </si>
  <si>
    <t>볼</t>
  </si>
  <si>
    <t>봄</t>
  </si>
  <si>
    <t>봅</t>
  </si>
  <si>
    <t>봇</t>
  </si>
  <si>
    <t>模</t>
  </si>
  <si>
    <t>施</t>
  </si>
  <si>
    <t>获</t>
  </si>
  <si>
    <t>轮</t>
  </si>
  <si>
    <t>盘</t>
  </si>
  <si>
    <t>货</t>
  </si>
  <si>
    <t>梦</t>
  </si>
  <si>
    <t>置</t>
  </si>
  <si>
    <t>植</t>
  </si>
  <si>
    <t>摇</t>
  </si>
  <si>
    <t>测</t>
  </si>
  <si>
    <t>购</t>
  </si>
  <si>
    <t>遇</t>
  </si>
  <si>
    <t>翻</t>
  </si>
  <si>
    <t>抱</t>
  </si>
  <si>
    <t>暗</t>
  </si>
  <si>
    <t>獲</t>
  </si>
  <si>
    <t>輪</t>
  </si>
  <si>
    <t>盤</t>
  </si>
  <si>
    <t>貨</t>
  </si>
  <si>
    <t>夢</t>
  </si>
  <si>
    <t>搖</t>
  </si>
  <si>
    <t>測</t>
  </si>
  <si>
    <t>購</t>
  </si>
  <si>
    <t>봉</t>
  </si>
  <si>
    <t>봐</t>
  </si>
  <si>
    <t>봔</t>
  </si>
  <si>
    <t>봤</t>
  </si>
  <si>
    <t>봬</t>
  </si>
  <si>
    <t>뵀</t>
  </si>
  <si>
    <t>뵈</t>
  </si>
  <si>
    <t>뵉</t>
  </si>
  <si>
    <t>뵌</t>
  </si>
  <si>
    <t>뵐</t>
  </si>
  <si>
    <t>뵘</t>
  </si>
  <si>
    <t>뵙</t>
  </si>
  <si>
    <t>뵤</t>
  </si>
  <si>
    <t>뵨</t>
  </si>
  <si>
    <t>부</t>
  </si>
  <si>
    <t>북</t>
  </si>
  <si>
    <t>醒</t>
  </si>
  <si>
    <t>泪</t>
  </si>
  <si>
    <t>扬</t>
  </si>
  <si>
    <t>针</t>
  </si>
  <si>
    <t>含</t>
  </si>
  <si>
    <t>稳</t>
  </si>
  <si>
    <t>伴</t>
  </si>
  <si>
    <t>均</t>
  </si>
  <si>
    <t>聚</t>
  </si>
  <si>
    <t>摸</t>
  </si>
  <si>
    <t>泉</t>
  </si>
  <si>
    <t>胸</t>
  </si>
  <si>
    <t>毫</t>
  </si>
  <si>
    <t>郎</t>
  </si>
  <si>
    <t>垃</t>
  </si>
  <si>
    <t>刷</t>
  </si>
  <si>
    <t>淚</t>
  </si>
  <si>
    <t>揚</t>
  </si>
  <si>
    <t>針</t>
  </si>
  <si>
    <t>穩</t>
  </si>
  <si>
    <t>분</t>
  </si>
  <si>
    <t>붇</t>
  </si>
  <si>
    <t>불</t>
  </si>
  <si>
    <t>붉</t>
  </si>
  <si>
    <t>붊</t>
  </si>
  <si>
    <t>붐</t>
  </si>
  <si>
    <t>붑</t>
  </si>
  <si>
    <t>붓</t>
  </si>
  <si>
    <t>붕</t>
  </si>
  <si>
    <t>붙</t>
  </si>
  <si>
    <t>붚</t>
  </si>
  <si>
    <t>붜</t>
  </si>
  <si>
    <t>붤</t>
  </si>
  <si>
    <t>붰</t>
  </si>
  <si>
    <t>붸</t>
  </si>
  <si>
    <t>뷔</t>
  </si>
  <si>
    <t>劲</t>
  </si>
  <si>
    <t>措</t>
  </si>
  <si>
    <t>倍</t>
  </si>
  <si>
    <t>盐</t>
  </si>
  <si>
    <t>俩</t>
  </si>
  <si>
    <t>湿</t>
  </si>
  <si>
    <t>型</t>
  </si>
  <si>
    <t>究</t>
  </si>
  <si>
    <t>权</t>
  </si>
  <si>
    <t>严</t>
  </si>
  <si>
    <t>密</t>
  </si>
  <si>
    <t>甚</t>
  </si>
  <si>
    <t>致</t>
  </si>
  <si>
    <t>供</t>
  </si>
  <si>
    <t>竟</t>
  </si>
  <si>
    <t>妇</t>
  </si>
  <si>
    <t>勁</t>
  </si>
  <si>
    <t>鹽</t>
  </si>
  <si>
    <t>倆</t>
  </si>
  <si>
    <t>濕</t>
  </si>
  <si>
    <t>權</t>
  </si>
  <si>
    <t>嚴</t>
  </si>
  <si>
    <t>婦</t>
  </si>
  <si>
    <t>뷕</t>
  </si>
  <si>
    <t>뷘</t>
  </si>
  <si>
    <t>뷜</t>
  </si>
  <si>
    <t>뷩</t>
  </si>
  <si>
    <t>뷰</t>
  </si>
  <si>
    <t>뷴</t>
  </si>
  <si>
    <t>뷸</t>
  </si>
  <si>
    <t>븀</t>
  </si>
  <si>
    <t>븃</t>
  </si>
  <si>
    <t>븅</t>
  </si>
  <si>
    <t>브</t>
  </si>
  <si>
    <t>븍</t>
  </si>
  <si>
    <t>븐</t>
  </si>
  <si>
    <t>블</t>
  </si>
  <si>
    <t>븜</t>
  </si>
  <si>
    <t>븝</t>
  </si>
  <si>
    <t>寒</t>
  </si>
  <si>
    <t>圆</t>
  </si>
  <si>
    <t>潮</t>
  </si>
  <si>
    <t>顶</t>
  </si>
  <si>
    <t>阶</t>
  </si>
  <si>
    <t>鲜</t>
  </si>
  <si>
    <t>脱</t>
  </si>
  <si>
    <t>烧</t>
  </si>
  <si>
    <t>括</t>
  </si>
  <si>
    <t>谓</t>
  </si>
  <si>
    <t>虑</t>
  </si>
  <si>
    <t>刺</t>
  </si>
  <si>
    <t>闹</t>
  </si>
  <si>
    <t>项</t>
  </si>
  <si>
    <t>盖</t>
  </si>
  <si>
    <t>席</t>
  </si>
  <si>
    <t>圓</t>
  </si>
  <si>
    <t>頂</t>
  </si>
  <si>
    <t>階</t>
  </si>
  <si>
    <t>鮮</t>
  </si>
  <si>
    <t>脫</t>
  </si>
  <si>
    <t>燒</t>
  </si>
  <si>
    <t>謂</t>
  </si>
  <si>
    <t>慮</t>
  </si>
  <si>
    <t>鬧</t>
  </si>
  <si>
    <t>項</t>
  </si>
  <si>
    <t>蓋</t>
  </si>
  <si>
    <t>宁</t>
  </si>
  <si>
    <t>暑</t>
  </si>
  <si>
    <t>贴</t>
  </si>
  <si>
    <t>摆</t>
  </si>
  <si>
    <t>圾</t>
  </si>
  <si>
    <t>阅</t>
  </si>
  <si>
    <t>扫</t>
  </si>
  <si>
    <t>梯</t>
  </si>
  <si>
    <t>彻</t>
  </si>
  <si>
    <t>帽</t>
  </si>
  <si>
    <t>燃</t>
  </si>
  <si>
    <t>抄</t>
  </si>
  <si>
    <t>帅</t>
  </si>
  <si>
    <t>炼</t>
  </si>
  <si>
    <t>童</t>
  </si>
  <si>
    <t>陆</t>
  </si>
  <si>
    <t>寧</t>
  </si>
  <si>
    <t>貼</t>
  </si>
  <si>
    <t>擺</t>
  </si>
  <si>
    <t>閱</t>
  </si>
  <si>
    <t>掃</t>
  </si>
  <si>
    <t>徹</t>
  </si>
  <si>
    <t>帥</t>
  </si>
  <si>
    <t>煉</t>
  </si>
  <si>
    <t>陸</t>
  </si>
  <si>
    <t>븟</t>
  </si>
  <si>
    <t>비</t>
  </si>
  <si>
    <t>빅</t>
  </si>
  <si>
    <t>빈</t>
  </si>
  <si>
    <t>빌</t>
  </si>
  <si>
    <t>빎</t>
  </si>
  <si>
    <t>빔</t>
  </si>
  <si>
    <t>빕</t>
  </si>
  <si>
    <t>빗</t>
  </si>
  <si>
    <t>빙</t>
  </si>
  <si>
    <t>빚</t>
  </si>
  <si>
    <t>빛</t>
  </si>
  <si>
    <t>빠</t>
  </si>
  <si>
    <t>빡</t>
  </si>
  <si>
    <t>빤</t>
  </si>
  <si>
    <t>战</t>
  </si>
  <si>
    <t>细</t>
  </si>
  <si>
    <t>诗</t>
  </si>
  <si>
    <t>趣</t>
  </si>
  <si>
    <t>维</t>
  </si>
  <si>
    <t>销</t>
  </si>
  <si>
    <t>怀</t>
  </si>
  <si>
    <t>奖</t>
  </si>
  <si>
    <t>智</t>
  </si>
  <si>
    <t>赏</t>
  </si>
  <si>
    <t>婆</t>
  </si>
  <si>
    <t>禁</t>
  </si>
  <si>
    <t>培</t>
  </si>
  <si>
    <t>载</t>
  </si>
  <si>
    <t>薄</t>
  </si>
  <si>
    <t>迟</t>
  </si>
  <si>
    <t>戰</t>
  </si>
  <si>
    <t>細</t>
  </si>
  <si>
    <t>詩</t>
  </si>
  <si>
    <t>維</t>
  </si>
  <si>
    <t>銷</t>
  </si>
  <si>
    <t>懷</t>
  </si>
  <si>
    <t>獎</t>
  </si>
  <si>
    <t>賞</t>
  </si>
  <si>
    <t>載</t>
  </si>
  <si>
    <t>遲</t>
  </si>
  <si>
    <t>빨</t>
  </si>
  <si>
    <t>빪</t>
  </si>
  <si>
    <t>빰</t>
  </si>
  <si>
    <t>빱</t>
  </si>
  <si>
    <t>빳</t>
  </si>
  <si>
    <t>빴</t>
  </si>
  <si>
    <t>빵</t>
  </si>
  <si>
    <t>빻</t>
  </si>
  <si>
    <t>빼</t>
  </si>
  <si>
    <t>빽</t>
  </si>
  <si>
    <t>뺀</t>
  </si>
  <si>
    <t>뺄</t>
  </si>
  <si>
    <t>뺌</t>
  </si>
  <si>
    <t>뺍</t>
  </si>
  <si>
    <t>뺏</t>
  </si>
  <si>
    <t>码</t>
  </si>
  <si>
    <t>辩</t>
  </si>
  <si>
    <t>递</t>
  </si>
  <si>
    <t>矮</t>
  </si>
  <si>
    <t>填</t>
  </si>
  <si>
    <t>辣</t>
  </si>
  <si>
    <t>堵</t>
  </si>
  <si>
    <t>却</t>
  </si>
  <si>
    <t>减</t>
  </si>
  <si>
    <t>担</t>
  </si>
  <si>
    <t>激</t>
  </si>
  <si>
    <t>窗</t>
  </si>
  <si>
    <t>避</t>
  </si>
  <si>
    <t>择</t>
  </si>
  <si>
    <t>编</t>
  </si>
  <si>
    <t>纷</t>
  </si>
  <si>
    <t>碼</t>
  </si>
  <si>
    <t>辯</t>
  </si>
  <si>
    <t>遞</t>
  </si>
  <si>
    <t>卻</t>
  </si>
  <si>
    <t>減</t>
  </si>
  <si>
    <t>擔</t>
  </si>
  <si>
    <t>擇</t>
  </si>
  <si>
    <t>編</t>
  </si>
  <si>
    <t>紛</t>
  </si>
  <si>
    <t>뺐</t>
  </si>
  <si>
    <t>뺑</t>
  </si>
  <si>
    <t>뺘</t>
  </si>
  <si>
    <t>뺙</t>
  </si>
  <si>
    <t>뺨</t>
  </si>
  <si>
    <t>뻐</t>
  </si>
  <si>
    <t>뻑</t>
  </si>
  <si>
    <t>뻔</t>
  </si>
  <si>
    <t>뻗</t>
  </si>
  <si>
    <t>뻘</t>
  </si>
  <si>
    <t>뻠</t>
  </si>
  <si>
    <t>뻣</t>
  </si>
  <si>
    <t>뻤</t>
  </si>
  <si>
    <t>뻥</t>
  </si>
  <si>
    <t>뻬</t>
  </si>
  <si>
    <t>뼁</t>
  </si>
  <si>
    <t>途</t>
  </si>
  <si>
    <t>俗</t>
  </si>
  <si>
    <t>扩</t>
  </si>
  <si>
    <t>宽</t>
  </si>
  <si>
    <t>塑</t>
  </si>
  <si>
    <t>叔</t>
  </si>
  <si>
    <t>孙</t>
  </si>
  <si>
    <t>殊</t>
  </si>
  <si>
    <t>腐</t>
  </si>
  <si>
    <t>敌</t>
  </si>
  <si>
    <t>寄</t>
  </si>
  <si>
    <t>躺</t>
  </si>
  <si>
    <t>粮</t>
  </si>
  <si>
    <t>袜</t>
  </si>
  <si>
    <t>锻</t>
  </si>
  <si>
    <t>统</t>
  </si>
  <si>
    <t>擴</t>
  </si>
  <si>
    <t>寬</t>
  </si>
  <si>
    <t>孫</t>
  </si>
  <si>
    <t>敵</t>
  </si>
  <si>
    <t>糧</t>
  </si>
  <si>
    <t>襪</t>
  </si>
  <si>
    <t>鍛</t>
  </si>
  <si>
    <t>統</t>
  </si>
  <si>
    <t>뼈</t>
  </si>
  <si>
    <t>뼉</t>
  </si>
  <si>
    <t>뼘</t>
  </si>
  <si>
    <t>뼙</t>
  </si>
  <si>
    <t>뼛</t>
  </si>
  <si>
    <t>뼜</t>
  </si>
  <si>
    <t>뼝</t>
  </si>
  <si>
    <t>뽀</t>
  </si>
  <si>
    <t>뽁</t>
  </si>
  <si>
    <t>뽄</t>
  </si>
  <si>
    <t>뽈</t>
  </si>
  <si>
    <t>뽐</t>
  </si>
  <si>
    <t>뽑</t>
  </si>
  <si>
    <t>뽕</t>
  </si>
  <si>
    <t>뾔</t>
  </si>
  <si>
    <t>뾰</t>
  </si>
  <si>
    <t>源</t>
  </si>
  <si>
    <t>遗</t>
  </si>
  <si>
    <t>归</t>
  </si>
  <si>
    <t>默</t>
  </si>
  <si>
    <t>冲</t>
  </si>
  <si>
    <t>诚</t>
  </si>
  <si>
    <t>穷</t>
  </si>
  <si>
    <t>浓</t>
  </si>
  <si>
    <t>趋</t>
  </si>
  <si>
    <t>赞</t>
  </si>
  <si>
    <t>矿</t>
  </si>
  <si>
    <t>络</t>
  </si>
  <si>
    <t>厘</t>
  </si>
  <si>
    <t>咸</t>
  </si>
  <si>
    <t>县</t>
  </si>
  <si>
    <t>宝</t>
  </si>
  <si>
    <t>遺</t>
  </si>
  <si>
    <t>歸</t>
  </si>
  <si>
    <t>衝</t>
  </si>
  <si>
    <t>誠</t>
  </si>
  <si>
    <t>窮</t>
  </si>
  <si>
    <t>濃</t>
  </si>
  <si>
    <t>趨</t>
  </si>
  <si>
    <t>贊</t>
  </si>
  <si>
    <t>礦</t>
  </si>
  <si>
    <t>絡</t>
  </si>
  <si>
    <t>釐</t>
  </si>
  <si>
    <t>鹹</t>
  </si>
  <si>
    <t>縣</t>
  </si>
  <si>
    <t>寶</t>
  </si>
  <si>
    <t>뿅</t>
  </si>
  <si>
    <t>뿌</t>
  </si>
  <si>
    <t>뿍</t>
  </si>
  <si>
    <t>뿐</t>
  </si>
  <si>
    <t>뿔</t>
  </si>
  <si>
    <t>뿜</t>
  </si>
  <si>
    <t>뿟</t>
  </si>
  <si>
    <t>뿡</t>
  </si>
  <si>
    <t>쀼</t>
  </si>
  <si>
    <t>쁑</t>
  </si>
  <si>
    <t>쁘</t>
  </si>
  <si>
    <t>쁜</t>
  </si>
  <si>
    <t>쁠</t>
  </si>
  <si>
    <t>쁨</t>
  </si>
  <si>
    <t>쁩</t>
  </si>
  <si>
    <t>惊</t>
  </si>
  <si>
    <t>镜</t>
  </si>
  <si>
    <t>疑</t>
  </si>
  <si>
    <t>释</t>
  </si>
  <si>
    <t>纯</t>
  </si>
  <si>
    <t>缓</t>
  </si>
  <si>
    <t>疗</t>
  </si>
  <si>
    <t>戴</t>
  </si>
  <si>
    <t>译</t>
  </si>
  <si>
    <t>综</t>
  </si>
  <si>
    <t>晒</t>
  </si>
  <si>
    <t>余</t>
  </si>
  <si>
    <t>弯</t>
  </si>
  <si>
    <t>擦</t>
  </si>
  <si>
    <t>缩</t>
  </si>
  <si>
    <t>竹</t>
  </si>
  <si>
    <t>驚</t>
  </si>
  <si>
    <t>鏡</t>
  </si>
  <si>
    <t>釋</t>
  </si>
  <si>
    <t>純</t>
  </si>
  <si>
    <t>緩</t>
  </si>
  <si>
    <t>療</t>
  </si>
  <si>
    <t>譯</t>
  </si>
  <si>
    <t>綜</t>
  </si>
  <si>
    <t>曬</t>
  </si>
  <si>
    <t>餘</t>
  </si>
  <si>
    <t>彎</t>
  </si>
  <si>
    <t>縮</t>
  </si>
  <si>
    <t>삑</t>
  </si>
  <si>
    <t>삔</t>
  </si>
  <si>
    <t>삘</t>
  </si>
  <si>
    <t>삠</t>
  </si>
  <si>
    <t>삡</t>
  </si>
  <si>
    <t>삣</t>
  </si>
  <si>
    <t>삥</t>
  </si>
  <si>
    <t>사</t>
  </si>
  <si>
    <t>삭</t>
  </si>
  <si>
    <t>삯</t>
  </si>
  <si>
    <t>산</t>
  </si>
  <si>
    <t>삳</t>
  </si>
  <si>
    <t>살</t>
  </si>
  <si>
    <t>삵</t>
  </si>
  <si>
    <t>삶</t>
  </si>
  <si>
    <t>삼</t>
  </si>
  <si>
    <t>甲</t>
  </si>
  <si>
    <t>羽</t>
  </si>
  <si>
    <t>册</t>
  </si>
  <si>
    <t>丑</t>
  </si>
  <si>
    <t>乙</t>
  </si>
  <si>
    <t>委</t>
  </si>
  <si>
    <t>毒</t>
  </si>
  <si>
    <t>悲</t>
  </si>
  <si>
    <t>协</t>
  </si>
  <si>
    <t>私</t>
  </si>
  <si>
    <t>肯</t>
  </si>
  <si>
    <t>闲</t>
  </si>
  <si>
    <t>摄</t>
  </si>
  <si>
    <t>唯</t>
  </si>
  <si>
    <t>仔</t>
  </si>
  <si>
    <t>核</t>
  </si>
  <si>
    <t>冊</t>
  </si>
  <si>
    <t>協</t>
  </si>
  <si>
    <t>閒</t>
  </si>
  <si>
    <t>攝</t>
  </si>
  <si>
    <t>삽</t>
  </si>
  <si>
    <t>삿</t>
  </si>
  <si>
    <t>샀</t>
  </si>
  <si>
    <t>상</t>
  </si>
  <si>
    <t>샅</t>
  </si>
  <si>
    <t>새</t>
  </si>
  <si>
    <t>색</t>
  </si>
  <si>
    <t>샌</t>
  </si>
  <si>
    <t>샐</t>
  </si>
  <si>
    <t>샘</t>
  </si>
  <si>
    <t>샙</t>
  </si>
  <si>
    <t>샛</t>
  </si>
  <si>
    <t>샜</t>
  </si>
  <si>
    <t>생</t>
  </si>
  <si>
    <t>샤</t>
  </si>
  <si>
    <t>析</t>
  </si>
  <si>
    <t>灰</t>
  </si>
  <si>
    <t>乏</t>
  </si>
  <si>
    <t>肌</t>
  </si>
  <si>
    <t>汗</t>
  </si>
  <si>
    <t>托</t>
  </si>
  <si>
    <t>耐</t>
  </si>
  <si>
    <t>池</t>
  </si>
  <si>
    <t>朵</t>
  </si>
  <si>
    <t>挤</t>
  </si>
  <si>
    <t>夕</t>
  </si>
  <si>
    <t>拒</t>
  </si>
  <si>
    <t>肩</t>
  </si>
  <si>
    <t>鼠</t>
  </si>
  <si>
    <t>辈</t>
  </si>
  <si>
    <t>丢</t>
  </si>
  <si>
    <t>擠</t>
  </si>
  <si>
    <t>輩</t>
  </si>
  <si>
    <t>丟</t>
  </si>
  <si>
    <t>샥</t>
  </si>
  <si>
    <t>샨</t>
  </si>
  <si>
    <t>샬</t>
  </si>
  <si>
    <t>샴</t>
  </si>
  <si>
    <t>샵</t>
  </si>
  <si>
    <t>샷</t>
  </si>
  <si>
    <t>샹</t>
  </si>
  <si>
    <t>섀</t>
  </si>
  <si>
    <t>섄</t>
  </si>
  <si>
    <t>섈</t>
  </si>
  <si>
    <t>섐</t>
  </si>
  <si>
    <t>섕</t>
  </si>
  <si>
    <t>서</t>
  </si>
  <si>
    <t>석</t>
  </si>
  <si>
    <t>섞</t>
  </si>
  <si>
    <t>灾</t>
  </si>
  <si>
    <t>胃</t>
  </si>
  <si>
    <t>冻</t>
  </si>
  <si>
    <t>卧</t>
  </si>
  <si>
    <t>扇</t>
  </si>
  <si>
    <t>匹</t>
  </si>
  <si>
    <t>倡</t>
  </si>
  <si>
    <t>叉</t>
  </si>
  <si>
    <t>咳</t>
  </si>
  <si>
    <t>押</t>
  </si>
  <si>
    <t>扔</t>
  </si>
  <si>
    <t>军</t>
  </si>
  <si>
    <t>雄</t>
  </si>
  <si>
    <t>岸</t>
  </si>
  <si>
    <t>染</t>
  </si>
  <si>
    <t>棒</t>
  </si>
  <si>
    <t>災</t>
  </si>
  <si>
    <t>凍</t>
  </si>
  <si>
    <t>臥</t>
  </si>
  <si>
    <t>軍</t>
  </si>
  <si>
    <t>섟</t>
  </si>
  <si>
    <t>선</t>
  </si>
  <si>
    <t>섣</t>
  </si>
  <si>
    <t>설</t>
  </si>
  <si>
    <t>섦</t>
  </si>
  <si>
    <t>섧</t>
  </si>
  <si>
    <t>섬</t>
  </si>
  <si>
    <t>섭</t>
  </si>
  <si>
    <t>섯</t>
  </si>
  <si>
    <t>섰</t>
  </si>
  <si>
    <t>성</t>
  </si>
  <si>
    <t>섶</t>
  </si>
  <si>
    <t>세</t>
  </si>
  <si>
    <t>섹</t>
  </si>
  <si>
    <t>센</t>
  </si>
  <si>
    <t>셀</t>
  </si>
  <si>
    <t>央</t>
  </si>
  <si>
    <t>桃</t>
  </si>
  <si>
    <t>尊</t>
  </si>
  <si>
    <t>珍</t>
  </si>
  <si>
    <t>启</t>
  </si>
  <si>
    <t>伸</t>
  </si>
  <si>
    <t>拜</t>
  </si>
  <si>
    <t>乘</t>
  </si>
  <si>
    <t>旦</t>
  </si>
  <si>
    <t>沟</t>
  </si>
  <si>
    <t>逃</t>
  </si>
  <si>
    <t>狂</t>
  </si>
  <si>
    <t>润</t>
  </si>
  <si>
    <t>辑</t>
  </si>
  <si>
    <t>库</t>
  </si>
  <si>
    <t>幽</t>
  </si>
  <si>
    <t>啟</t>
  </si>
  <si>
    <t>溝</t>
  </si>
  <si>
    <t>潤</t>
  </si>
  <si>
    <t>輯</t>
  </si>
  <si>
    <t>庫</t>
  </si>
  <si>
    <t>셈</t>
  </si>
  <si>
    <t>셉</t>
  </si>
  <si>
    <t>셋</t>
  </si>
  <si>
    <t>셌</t>
  </si>
  <si>
    <t>셍</t>
  </si>
  <si>
    <t>셔</t>
  </si>
  <si>
    <t>셕</t>
  </si>
  <si>
    <t>션</t>
  </si>
  <si>
    <t>셜</t>
  </si>
  <si>
    <t>셤</t>
  </si>
  <si>
    <t>셥</t>
  </si>
  <si>
    <t>셧</t>
  </si>
  <si>
    <t>셨</t>
  </si>
  <si>
    <t>셩</t>
  </si>
  <si>
    <t>셰</t>
  </si>
  <si>
    <t>셴</t>
  </si>
  <si>
    <t>暂</t>
  </si>
  <si>
    <t>抬</t>
  </si>
  <si>
    <t>犹</t>
  </si>
  <si>
    <t>戒</t>
  </si>
  <si>
    <t>呆</t>
  </si>
  <si>
    <t>愁</t>
  </si>
  <si>
    <t>扮</t>
  </si>
  <si>
    <t>夹</t>
  </si>
  <si>
    <t>猜</t>
  </si>
  <si>
    <t>盆</t>
  </si>
  <si>
    <t>漏</t>
  </si>
  <si>
    <t>欠</t>
  </si>
  <si>
    <t>泛</t>
  </si>
  <si>
    <t>挣</t>
  </si>
  <si>
    <t>拆</t>
  </si>
  <si>
    <t>污</t>
  </si>
  <si>
    <t>暫</t>
  </si>
  <si>
    <t>猶</t>
  </si>
  <si>
    <t>夾</t>
  </si>
  <si>
    <t>掙</t>
  </si>
  <si>
    <t>셸</t>
  </si>
  <si>
    <t>솅</t>
  </si>
  <si>
    <t>소</t>
  </si>
  <si>
    <t>속</t>
  </si>
  <si>
    <t>솎</t>
  </si>
  <si>
    <t>손</t>
  </si>
  <si>
    <t>솔</t>
  </si>
  <si>
    <t>솖</t>
  </si>
  <si>
    <t>솜</t>
  </si>
  <si>
    <t>솝</t>
  </si>
  <si>
    <t>솟</t>
  </si>
  <si>
    <t>송</t>
  </si>
  <si>
    <t>솥</t>
  </si>
  <si>
    <t>솨</t>
  </si>
  <si>
    <t>솩</t>
  </si>
  <si>
    <t>솬</t>
  </si>
  <si>
    <t>盾</t>
  </si>
  <si>
    <t>矛</t>
  </si>
  <si>
    <t>梨</t>
  </si>
  <si>
    <t>瞧</t>
  </si>
  <si>
    <t>令</t>
  </si>
  <si>
    <t>革</t>
  </si>
  <si>
    <t>劳</t>
  </si>
  <si>
    <t>曲</t>
  </si>
  <si>
    <t>享</t>
  </si>
  <si>
    <t>尤</t>
  </si>
  <si>
    <t>荣</t>
  </si>
  <si>
    <t>忍</t>
  </si>
  <si>
    <t>胡</t>
  </si>
  <si>
    <t>版</t>
  </si>
  <si>
    <t>辛</t>
  </si>
  <si>
    <t>欣</t>
  </si>
  <si>
    <t>勞</t>
  </si>
  <si>
    <t>榮</t>
  </si>
  <si>
    <t>솰</t>
  </si>
  <si>
    <t>솽</t>
  </si>
  <si>
    <t>쇄</t>
  </si>
  <si>
    <t>쇈</t>
  </si>
  <si>
    <t>쇌</t>
  </si>
  <si>
    <t>쇔</t>
  </si>
  <si>
    <t>쇗</t>
  </si>
  <si>
    <t>쇘</t>
  </si>
  <si>
    <t>쇠</t>
  </si>
  <si>
    <t>쇤</t>
  </si>
  <si>
    <t>쇨</t>
  </si>
  <si>
    <t>쇰</t>
  </si>
  <si>
    <t>쇱</t>
  </si>
  <si>
    <t>쇳</t>
  </si>
  <si>
    <t>쇼</t>
  </si>
  <si>
    <t>쇽</t>
  </si>
  <si>
    <t>软</t>
  </si>
  <si>
    <t>估</t>
  </si>
  <si>
    <t>怨</t>
  </si>
  <si>
    <t>滑</t>
  </si>
  <si>
    <t>堆</t>
  </si>
  <si>
    <t>拔</t>
  </si>
  <si>
    <t>惠</t>
  </si>
  <si>
    <t>返</t>
  </si>
  <si>
    <t>敏</t>
  </si>
  <si>
    <t>眠</t>
  </si>
  <si>
    <t>吐</t>
  </si>
  <si>
    <t>胶</t>
  </si>
  <si>
    <t>吓</t>
  </si>
  <si>
    <t>悉</t>
  </si>
  <si>
    <t>剩</t>
  </si>
  <si>
    <t>稍</t>
  </si>
  <si>
    <t>軟</t>
  </si>
  <si>
    <t>膠</t>
  </si>
  <si>
    <t>嚇</t>
  </si>
  <si>
    <t>숀</t>
  </si>
  <si>
    <t>숄</t>
  </si>
  <si>
    <t>숌</t>
  </si>
  <si>
    <t>숍</t>
  </si>
  <si>
    <t>숏</t>
  </si>
  <si>
    <t>숑</t>
  </si>
  <si>
    <t>수</t>
  </si>
  <si>
    <t>숙</t>
  </si>
  <si>
    <t>순</t>
  </si>
  <si>
    <t>숟</t>
  </si>
  <si>
    <t>술</t>
  </si>
  <si>
    <t>숨</t>
  </si>
  <si>
    <t>숩</t>
  </si>
  <si>
    <t>숫</t>
  </si>
  <si>
    <t>숭</t>
  </si>
  <si>
    <t>쌰</t>
  </si>
  <si>
    <t>肃</t>
  </si>
  <si>
    <t>扶</t>
  </si>
  <si>
    <t>拼</t>
  </si>
  <si>
    <t>郊</t>
  </si>
  <si>
    <t>糕</t>
  </si>
  <si>
    <t>柴</t>
  </si>
  <si>
    <t>咬</t>
  </si>
  <si>
    <t>脆</t>
  </si>
  <si>
    <t>仿</t>
  </si>
  <si>
    <t>煤</t>
  </si>
  <si>
    <t>遵</t>
  </si>
  <si>
    <t>竞</t>
  </si>
  <si>
    <t>掌</t>
  </si>
  <si>
    <t>射</t>
  </si>
  <si>
    <t>洞</t>
  </si>
  <si>
    <t>拥</t>
  </si>
  <si>
    <t>肅</t>
  </si>
  <si>
    <t>競</t>
  </si>
  <si>
    <t>擁</t>
  </si>
  <si>
    <t>쎼</t>
  </si>
  <si>
    <t>숯</t>
  </si>
  <si>
    <t>숱</t>
  </si>
  <si>
    <t>숲</t>
  </si>
  <si>
    <t>숴</t>
  </si>
  <si>
    <t>쉈</t>
  </si>
  <si>
    <t>쉐</t>
  </si>
  <si>
    <t>쉑</t>
  </si>
  <si>
    <t>쉔</t>
  </si>
  <si>
    <t>쉘</t>
  </si>
  <si>
    <t>쉠</t>
  </si>
  <si>
    <t>쉥</t>
  </si>
  <si>
    <t>쉬</t>
  </si>
  <si>
    <t>쉭</t>
  </si>
  <si>
    <t>쉰</t>
  </si>
  <si>
    <t>쉴</t>
  </si>
  <si>
    <t>珠</t>
  </si>
  <si>
    <t>漫</t>
  </si>
  <si>
    <t>冠</t>
  </si>
  <si>
    <t>偶</t>
  </si>
  <si>
    <t>震</t>
  </si>
  <si>
    <t>摩</t>
  </si>
  <si>
    <t>弃</t>
  </si>
  <si>
    <t>鬼</t>
  </si>
  <si>
    <t>贸</t>
  </si>
  <si>
    <t>朗</t>
  </si>
  <si>
    <t>鼻</t>
  </si>
  <si>
    <t>辅</t>
  </si>
  <si>
    <t>滚</t>
  </si>
  <si>
    <t>豪</t>
  </si>
  <si>
    <t>虎</t>
  </si>
  <si>
    <t>琴</t>
  </si>
  <si>
    <t>棄</t>
  </si>
  <si>
    <t>貿</t>
  </si>
  <si>
    <t>輔</t>
  </si>
  <si>
    <t>滾</t>
  </si>
  <si>
    <t>쉼</t>
  </si>
  <si>
    <t>쉽</t>
  </si>
  <si>
    <t>쉿</t>
  </si>
  <si>
    <t>슁</t>
  </si>
  <si>
    <t>슈</t>
  </si>
  <si>
    <t>슉</t>
  </si>
  <si>
    <t>슐</t>
  </si>
  <si>
    <t>슘</t>
  </si>
  <si>
    <t>슛</t>
  </si>
  <si>
    <t>슝</t>
  </si>
  <si>
    <t>스</t>
  </si>
  <si>
    <t>슥</t>
  </si>
  <si>
    <t>슨</t>
  </si>
  <si>
    <t>슬</t>
  </si>
  <si>
    <t>슭</t>
  </si>
  <si>
    <t>슴</t>
  </si>
  <si>
    <t>插</t>
  </si>
  <si>
    <t>振</t>
  </si>
  <si>
    <t>坦</t>
  </si>
  <si>
    <t>糊</t>
  </si>
  <si>
    <t>涨</t>
  </si>
  <si>
    <t>恨</t>
  </si>
  <si>
    <t>勤</t>
  </si>
  <si>
    <t>醉</t>
  </si>
  <si>
    <t>贷</t>
  </si>
  <si>
    <t>俱</t>
  </si>
  <si>
    <t>恢</t>
  </si>
  <si>
    <t>肠</t>
  </si>
  <si>
    <t>贺</t>
  </si>
  <si>
    <t>漠</t>
  </si>
  <si>
    <t>萄</t>
  </si>
  <si>
    <t>骂</t>
  </si>
  <si>
    <t>漲</t>
  </si>
  <si>
    <t>貸</t>
  </si>
  <si>
    <t>腸</t>
  </si>
  <si>
    <t>賀</t>
  </si>
  <si>
    <t>罵</t>
  </si>
  <si>
    <t>陪</t>
  </si>
  <si>
    <t>违</t>
  </si>
  <si>
    <t>兔</t>
  </si>
  <si>
    <t>熊</t>
  </si>
  <si>
    <t>蛇</t>
  </si>
  <si>
    <t>臭</t>
  </si>
  <si>
    <t>届</t>
  </si>
  <si>
    <t>脾</t>
  </si>
  <si>
    <t>闯</t>
  </si>
  <si>
    <t>柿</t>
  </si>
  <si>
    <t>德</t>
  </si>
  <si>
    <t>击</t>
  </si>
  <si>
    <t>鼓</t>
  </si>
  <si>
    <t>博</t>
  </si>
  <si>
    <t>弹</t>
  </si>
  <si>
    <t>筑</t>
  </si>
  <si>
    <t>違</t>
  </si>
  <si>
    <t>屆</t>
  </si>
  <si>
    <t>闖</t>
  </si>
  <si>
    <t>擊</t>
  </si>
  <si>
    <t>彈</t>
  </si>
  <si>
    <t>築</t>
  </si>
  <si>
    <t>습</t>
  </si>
  <si>
    <t>슷</t>
  </si>
  <si>
    <t>승</t>
  </si>
  <si>
    <t>시</t>
  </si>
  <si>
    <t>식</t>
  </si>
  <si>
    <t>신</t>
  </si>
  <si>
    <t>싣</t>
  </si>
  <si>
    <t>실</t>
  </si>
  <si>
    <t>싫</t>
  </si>
  <si>
    <t>심</t>
  </si>
  <si>
    <t>십</t>
  </si>
  <si>
    <t>싯</t>
  </si>
  <si>
    <t>싱</t>
  </si>
  <si>
    <t>싶</t>
  </si>
  <si>
    <t>싸</t>
  </si>
  <si>
    <t>싹</t>
  </si>
  <si>
    <t>敬</t>
  </si>
  <si>
    <t>驾</t>
  </si>
  <si>
    <t>驶</t>
  </si>
  <si>
    <t>玻</t>
  </si>
  <si>
    <t>硬</t>
  </si>
  <si>
    <t>虚</t>
  </si>
  <si>
    <t>损</t>
  </si>
  <si>
    <t>彼</t>
  </si>
  <si>
    <t>诊</t>
  </si>
  <si>
    <t>肤</t>
  </si>
  <si>
    <t>聪</t>
  </si>
  <si>
    <t>邻</t>
  </si>
  <si>
    <t>寿</t>
  </si>
  <si>
    <t>喷</t>
  </si>
  <si>
    <t>籍</t>
  </si>
  <si>
    <t>悄</t>
  </si>
  <si>
    <t>駕</t>
  </si>
  <si>
    <t>駛</t>
  </si>
  <si>
    <t>虛</t>
  </si>
  <si>
    <t>損</t>
  </si>
  <si>
    <t>診</t>
  </si>
  <si>
    <t>膚</t>
  </si>
  <si>
    <t>聰</t>
  </si>
  <si>
    <t>鄰</t>
  </si>
  <si>
    <t>壽</t>
  </si>
  <si>
    <t>噴</t>
  </si>
  <si>
    <t>싻</t>
  </si>
  <si>
    <t>싼</t>
  </si>
  <si>
    <t>쌀</t>
  </si>
  <si>
    <t>쌈</t>
  </si>
  <si>
    <t>쌉</t>
  </si>
  <si>
    <t>쌌</t>
  </si>
  <si>
    <t>쌍</t>
  </si>
  <si>
    <t>쌓</t>
  </si>
  <si>
    <t>쌔</t>
  </si>
  <si>
    <t>쌕</t>
  </si>
  <si>
    <t>쌘</t>
  </si>
  <si>
    <t>쌜</t>
  </si>
  <si>
    <t>쌤</t>
  </si>
  <si>
    <t>쌥</t>
  </si>
  <si>
    <t>쌨</t>
  </si>
  <si>
    <t>쌩</t>
  </si>
  <si>
    <t>盒</t>
  </si>
  <si>
    <t>详</t>
  </si>
  <si>
    <t>躲</t>
  </si>
  <si>
    <t>键</t>
  </si>
  <si>
    <t>奈</t>
  </si>
  <si>
    <t>舍</t>
  </si>
  <si>
    <t>拾</t>
  </si>
  <si>
    <t>厨</t>
  </si>
  <si>
    <t>葡</t>
  </si>
  <si>
    <t>厉</t>
  </si>
  <si>
    <t>询</t>
  </si>
  <si>
    <t>厌</t>
  </si>
  <si>
    <t>罚</t>
  </si>
  <si>
    <t>凭</t>
  </si>
  <si>
    <t>艰</t>
  </si>
  <si>
    <t>搜</t>
  </si>
  <si>
    <t>詳</t>
  </si>
  <si>
    <t>鍵</t>
  </si>
  <si>
    <t>廚</t>
  </si>
  <si>
    <t>厲</t>
  </si>
  <si>
    <t>詢</t>
  </si>
  <si>
    <t>厭</t>
  </si>
  <si>
    <t>罰</t>
  </si>
  <si>
    <t>憑</t>
  </si>
  <si>
    <t>艱</t>
  </si>
  <si>
    <t>썅</t>
  </si>
  <si>
    <t>써</t>
  </si>
  <si>
    <t>썩</t>
  </si>
  <si>
    <t>썬</t>
  </si>
  <si>
    <t>썰</t>
  </si>
  <si>
    <t>썲</t>
  </si>
  <si>
    <t>썸</t>
  </si>
  <si>
    <t>썹</t>
  </si>
  <si>
    <t>썼</t>
  </si>
  <si>
    <t>썽</t>
  </si>
  <si>
    <t>쎄</t>
  </si>
  <si>
    <t>쎈</t>
  </si>
  <si>
    <t>쎌</t>
  </si>
  <si>
    <t>쏀</t>
  </si>
  <si>
    <t>쏘</t>
  </si>
  <si>
    <t>쏙</t>
  </si>
  <si>
    <t>泼</t>
  </si>
  <si>
    <t>劝</t>
  </si>
  <si>
    <t>歇</t>
  </si>
  <si>
    <t>悔</t>
  </si>
  <si>
    <t>挡</t>
  </si>
  <si>
    <t>骗</t>
  </si>
  <si>
    <t>披</t>
  </si>
  <si>
    <t>搞</t>
  </si>
  <si>
    <t>摔</t>
  </si>
  <si>
    <t>豫</t>
  </si>
  <si>
    <t>秒</t>
  </si>
  <si>
    <t>傅</t>
  </si>
  <si>
    <t>幕</t>
  </si>
  <si>
    <t>杀</t>
  </si>
  <si>
    <t>控</t>
  </si>
  <si>
    <t>触</t>
  </si>
  <si>
    <t>潑</t>
  </si>
  <si>
    <t>勸</t>
  </si>
  <si>
    <t>擋</t>
  </si>
  <si>
    <t>騙</t>
  </si>
  <si>
    <t>殺</t>
  </si>
  <si>
    <t>觸</t>
  </si>
  <si>
    <t>쏜</t>
  </si>
  <si>
    <t>쏟</t>
  </si>
  <si>
    <t>쏠</t>
  </si>
  <si>
    <t>쏢</t>
  </si>
  <si>
    <t>쏨</t>
  </si>
  <si>
    <t>쏩</t>
  </si>
  <si>
    <t>쏭</t>
  </si>
  <si>
    <t>쏴</t>
  </si>
  <si>
    <t>쏵</t>
  </si>
  <si>
    <t>쏸</t>
  </si>
  <si>
    <t>쐈</t>
  </si>
  <si>
    <t>쐐</t>
  </si>
  <si>
    <t>쐤</t>
  </si>
  <si>
    <t>쐬</t>
  </si>
  <si>
    <t>쐰</t>
  </si>
  <si>
    <t>忆</t>
  </si>
  <si>
    <t>域</t>
  </si>
  <si>
    <t>幅</t>
  </si>
  <si>
    <t>惜</t>
  </si>
  <si>
    <t>钢</t>
  </si>
  <si>
    <t>励</t>
  </si>
  <si>
    <t>貌</t>
  </si>
  <si>
    <t>抢</t>
  </si>
  <si>
    <t>剪</t>
  </si>
  <si>
    <t>枪</t>
  </si>
  <si>
    <t>赠</t>
  </si>
  <si>
    <t>碎</t>
  </si>
  <si>
    <t>烂</t>
  </si>
  <si>
    <t>亏</t>
  </si>
  <si>
    <t>鸭</t>
  </si>
  <si>
    <t>铃</t>
  </si>
  <si>
    <t>憶</t>
  </si>
  <si>
    <t>鋼</t>
  </si>
  <si>
    <t>勵</t>
  </si>
  <si>
    <t>搶</t>
  </si>
  <si>
    <t>槍</t>
  </si>
  <si>
    <t>贈</t>
  </si>
  <si>
    <t>爛</t>
  </si>
  <si>
    <t>虧</t>
  </si>
  <si>
    <t>鴨</t>
  </si>
  <si>
    <t>鈴</t>
  </si>
  <si>
    <t>쓔</t>
  </si>
  <si>
    <t>쐴</t>
  </si>
  <si>
    <t>쐼</t>
  </si>
  <si>
    <t>쐽</t>
  </si>
  <si>
    <t>쑈</t>
  </si>
  <si>
    <t>쑤</t>
  </si>
  <si>
    <t>쑥</t>
  </si>
  <si>
    <t>쑨</t>
  </si>
  <si>
    <t>쑬</t>
  </si>
  <si>
    <t>쑴</t>
  </si>
  <si>
    <t>쑵</t>
  </si>
  <si>
    <t>쑹</t>
  </si>
  <si>
    <t>쒀</t>
  </si>
  <si>
    <t>쒔</t>
  </si>
  <si>
    <t>쒜</t>
  </si>
  <si>
    <t>쒸</t>
  </si>
  <si>
    <t>颗</t>
  </si>
  <si>
    <t>疯</t>
  </si>
  <si>
    <t>慌</t>
  </si>
  <si>
    <t>傻</t>
  </si>
  <si>
    <t>烤</t>
  </si>
  <si>
    <t>硕</t>
  </si>
  <si>
    <t>赔</t>
  </si>
  <si>
    <t>尔</t>
  </si>
  <si>
    <t>璃</t>
  </si>
  <si>
    <t>偷</t>
  </si>
  <si>
    <t>献</t>
  </si>
  <si>
    <t>裁</t>
  </si>
  <si>
    <t>撞</t>
  </si>
  <si>
    <t>胆</t>
  </si>
  <si>
    <t>览</t>
  </si>
  <si>
    <t>艳</t>
  </si>
  <si>
    <t>顆</t>
  </si>
  <si>
    <t>瘋</t>
  </si>
  <si>
    <t>碩</t>
  </si>
  <si>
    <t>賠</t>
  </si>
  <si>
    <t>爾</t>
  </si>
  <si>
    <t>獻</t>
  </si>
  <si>
    <t>膽</t>
  </si>
  <si>
    <t>覽</t>
  </si>
  <si>
    <t>豔</t>
  </si>
  <si>
    <t>쒼</t>
  </si>
  <si>
    <t>쓩</t>
  </si>
  <si>
    <t>쓰</t>
  </si>
  <si>
    <t>쓱</t>
  </si>
  <si>
    <t>쓴</t>
  </si>
  <si>
    <t>쓸</t>
  </si>
  <si>
    <t>쓺</t>
  </si>
  <si>
    <t>쓿</t>
  </si>
  <si>
    <t>씀</t>
  </si>
  <si>
    <t>씁</t>
  </si>
  <si>
    <t>씌</t>
  </si>
  <si>
    <t>씐</t>
  </si>
  <si>
    <t>씔</t>
  </si>
  <si>
    <t>씜</t>
  </si>
  <si>
    <t>씨</t>
  </si>
  <si>
    <t>씩</t>
  </si>
  <si>
    <t>辞</t>
  </si>
  <si>
    <t>宿</t>
  </si>
  <si>
    <t>锁</t>
  </si>
  <si>
    <t>邀</t>
  </si>
  <si>
    <t>敲</t>
  </si>
  <si>
    <t>慰</t>
  </si>
  <si>
    <t>怜</t>
  </si>
  <si>
    <t>猴</t>
  </si>
  <si>
    <t>摘</t>
  </si>
  <si>
    <t>偿</t>
  </si>
  <si>
    <t>糟</t>
  </si>
  <si>
    <t>尝</t>
  </si>
  <si>
    <t>款</t>
  </si>
  <si>
    <t>执</t>
  </si>
  <si>
    <t>厅</t>
  </si>
  <si>
    <t>饮</t>
  </si>
  <si>
    <t>辭</t>
  </si>
  <si>
    <t>鎖</t>
  </si>
  <si>
    <t>憐</t>
  </si>
  <si>
    <t>償</t>
  </si>
  <si>
    <t>嚐</t>
  </si>
  <si>
    <t>執</t>
  </si>
  <si>
    <t>廳</t>
  </si>
  <si>
    <t>飲</t>
  </si>
  <si>
    <t>씬</t>
  </si>
  <si>
    <t>씰</t>
  </si>
  <si>
    <t>씸</t>
  </si>
  <si>
    <t>씹</t>
  </si>
  <si>
    <t>씻</t>
  </si>
  <si>
    <t>씽</t>
  </si>
  <si>
    <t>아</t>
  </si>
  <si>
    <t>악</t>
  </si>
  <si>
    <t>안</t>
  </si>
  <si>
    <t>앉</t>
  </si>
  <si>
    <t>않</t>
  </si>
  <si>
    <t>알</t>
  </si>
  <si>
    <t>앍</t>
  </si>
  <si>
    <t>앎</t>
  </si>
  <si>
    <t>앓</t>
  </si>
  <si>
    <t>암</t>
  </si>
  <si>
    <t>索</t>
  </si>
  <si>
    <t>壁</t>
  </si>
  <si>
    <t>龄</t>
  </si>
  <si>
    <t>扰</t>
  </si>
  <si>
    <t>紫</t>
  </si>
  <si>
    <t>瘦</t>
  </si>
  <si>
    <t>签</t>
  </si>
  <si>
    <t>锅</t>
  </si>
  <si>
    <t>饼</t>
  </si>
  <si>
    <t>蔬</t>
  </si>
  <si>
    <t>绒</t>
  </si>
  <si>
    <t>帘</t>
  </si>
  <si>
    <t>逻</t>
  </si>
  <si>
    <t>饰</t>
  </si>
  <si>
    <t>繁</t>
  </si>
  <si>
    <t>斜</t>
  </si>
  <si>
    <t>齡</t>
  </si>
  <si>
    <t>擾</t>
  </si>
  <si>
    <t>簽</t>
  </si>
  <si>
    <t>鍋</t>
  </si>
  <si>
    <t>餅</t>
  </si>
  <si>
    <t>絨</t>
  </si>
  <si>
    <t>簾</t>
  </si>
  <si>
    <t>邏</t>
  </si>
  <si>
    <t>飾</t>
  </si>
  <si>
    <t>압</t>
  </si>
  <si>
    <t>앗</t>
  </si>
  <si>
    <t>았</t>
  </si>
  <si>
    <t>앙</t>
  </si>
  <si>
    <t>앝</t>
  </si>
  <si>
    <t>앞</t>
  </si>
  <si>
    <t>애</t>
  </si>
  <si>
    <t>액</t>
  </si>
  <si>
    <t>앤</t>
  </si>
  <si>
    <t>앨</t>
  </si>
  <si>
    <t>앰</t>
  </si>
  <si>
    <t>앱</t>
  </si>
  <si>
    <t>앳</t>
  </si>
  <si>
    <t>앴</t>
  </si>
  <si>
    <t>앵</t>
  </si>
  <si>
    <t>야</t>
  </si>
  <si>
    <t>谊</t>
  </si>
  <si>
    <t>柜</t>
  </si>
  <si>
    <t>纲</t>
  </si>
  <si>
    <t>吨</t>
  </si>
  <si>
    <t>频</t>
  </si>
  <si>
    <t>绕</t>
  </si>
  <si>
    <t>洒</t>
  </si>
  <si>
    <t>碍</t>
  </si>
  <si>
    <t>宾</t>
  </si>
  <si>
    <t>恋</t>
  </si>
  <si>
    <t>织</t>
  </si>
  <si>
    <t>田</t>
  </si>
  <si>
    <t>予</t>
  </si>
  <si>
    <t>井</t>
  </si>
  <si>
    <t>昌</t>
  </si>
  <si>
    <t>融</t>
  </si>
  <si>
    <t>誼</t>
  </si>
  <si>
    <t>櫃</t>
  </si>
  <si>
    <t>綱</t>
  </si>
  <si>
    <t>噸</t>
  </si>
  <si>
    <t>頻</t>
  </si>
  <si>
    <t>繞</t>
  </si>
  <si>
    <t>灑</t>
  </si>
  <si>
    <t>礙</t>
  </si>
  <si>
    <t>賓</t>
  </si>
  <si>
    <t>戀</t>
  </si>
  <si>
    <t>織</t>
  </si>
  <si>
    <t>약</t>
  </si>
  <si>
    <t>얀</t>
  </si>
  <si>
    <t>얄</t>
  </si>
  <si>
    <t>얇</t>
  </si>
  <si>
    <t>얌</t>
  </si>
  <si>
    <t>얍</t>
  </si>
  <si>
    <t>얏</t>
  </si>
  <si>
    <t>양</t>
  </si>
  <si>
    <t>얕</t>
  </si>
  <si>
    <t>얗</t>
  </si>
  <si>
    <t>얘</t>
  </si>
  <si>
    <t>얜</t>
  </si>
  <si>
    <t>얠</t>
  </si>
  <si>
    <t>얩</t>
  </si>
  <si>
    <t>어</t>
  </si>
  <si>
    <t>억</t>
  </si>
  <si>
    <t>亡</t>
  </si>
  <si>
    <t>炎</t>
  </si>
  <si>
    <t>刊</t>
  </si>
  <si>
    <t>壮</t>
  </si>
  <si>
    <t>吉</t>
  </si>
  <si>
    <t>犯</t>
  </si>
  <si>
    <t>扭</t>
  </si>
  <si>
    <t>罪</t>
  </si>
  <si>
    <t>攻</t>
  </si>
  <si>
    <t>肝</t>
  </si>
  <si>
    <t>焦</t>
  </si>
  <si>
    <t>券</t>
  </si>
  <si>
    <t>奉</t>
  </si>
  <si>
    <t>轨</t>
  </si>
  <si>
    <t>炸</t>
  </si>
  <si>
    <t>扣</t>
  </si>
  <si>
    <t>壯</t>
  </si>
  <si>
    <t>軌</t>
  </si>
  <si>
    <t>언</t>
  </si>
  <si>
    <t>얹</t>
  </si>
  <si>
    <t>얻</t>
  </si>
  <si>
    <t>얼</t>
  </si>
  <si>
    <t>얽</t>
  </si>
  <si>
    <t>얾</t>
  </si>
  <si>
    <t>엄</t>
  </si>
  <si>
    <t>업</t>
  </si>
  <si>
    <t>없</t>
  </si>
  <si>
    <t>엇</t>
  </si>
  <si>
    <t>었</t>
  </si>
  <si>
    <t>엉</t>
  </si>
  <si>
    <t>엊</t>
  </si>
  <si>
    <t>엌</t>
  </si>
  <si>
    <t>엎</t>
  </si>
  <si>
    <t>耗</t>
  </si>
  <si>
    <t>旺</t>
  </si>
  <si>
    <t>扎</t>
  </si>
  <si>
    <t>胁</t>
  </si>
  <si>
    <t>伍</t>
  </si>
  <si>
    <t>扁</t>
  </si>
  <si>
    <t>允</t>
  </si>
  <si>
    <t>粥</t>
  </si>
  <si>
    <t>洋</t>
  </si>
  <si>
    <t>若</t>
  </si>
  <si>
    <t>泥</t>
  </si>
  <si>
    <t>偏</t>
  </si>
  <si>
    <t>峰</t>
  </si>
  <si>
    <t>慧</t>
  </si>
  <si>
    <t>祥</t>
  </si>
  <si>
    <t>凡</t>
  </si>
  <si>
    <t>脅</t>
  </si>
  <si>
    <t>에</t>
  </si>
  <si>
    <t>엑</t>
  </si>
  <si>
    <t>엔</t>
  </si>
  <si>
    <t>엘</t>
  </si>
  <si>
    <t>엠</t>
  </si>
  <si>
    <t>엡</t>
  </si>
  <si>
    <t>엣</t>
  </si>
  <si>
    <t>엥</t>
  </si>
  <si>
    <t>여</t>
  </si>
  <si>
    <t>역</t>
  </si>
  <si>
    <t>엮</t>
  </si>
  <si>
    <t>연</t>
  </si>
  <si>
    <t>열</t>
  </si>
  <si>
    <t>엶</t>
  </si>
  <si>
    <t>엷</t>
  </si>
  <si>
    <t>沿</t>
  </si>
  <si>
    <t>昏</t>
  </si>
  <si>
    <t>仰</t>
  </si>
  <si>
    <t>浮</t>
  </si>
  <si>
    <t>粉</t>
  </si>
  <si>
    <t>庄</t>
  </si>
  <si>
    <t>幻</t>
  </si>
  <si>
    <t>恩</t>
  </si>
  <si>
    <t>乳</t>
  </si>
  <si>
    <t>奔</t>
  </si>
  <si>
    <t>潜</t>
  </si>
  <si>
    <t>抵</t>
  </si>
  <si>
    <t>哲</t>
  </si>
  <si>
    <t>陷</t>
  </si>
  <si>
    <t>夺</t>
  </si>
  <si>
    <t>怒</t>
  </si>
  <si>
    <t>莊</t>
  </si>
  <si>
    <t>潛</t>
  </si>
  <si>
    <t>奪</t>
  </si>
  <si>
    <t>염</t>
  </si>
  <si>
    <t>엽</t>
  </si>
  <si>
    <t>엾</t>
  </si>
  <si>
    <t>엿</t>
  </si>
  <si>
    <t>였</t>
  </si>
  <si>
    <t>영</t>
  </si>
  <si>
    <t>옅</t>
  </si>
  <si>
    <t>옆</t>
  </si>
  <si>
    <t>옇</t>
  </si>
  <si>
    <t>예</t>
  </si>
  <si>
    <t>옌</t>
  </si>
  <si>
    <t>옐</t>
  </si>
  <si>
    <t>옘</t>
  </si>
  <si>
    <t>옙</t>
  </si>
  <si>
    <t>옛</t>
  </si>
  <si>
    <t>옜</t>
  </si>
  <si>
    <t>捐</t>
  </si>
  <si>
    <t>菌</t>
  </si>
  <si>
    <t>串</t>
  </si>
  <si>
    <t>拖</t>
  </si>
  <si>
    <t>猛</t>
  </si>
  <si>
    <t>盟</t>
  </si>
  <si>
    <t>杆</t>
  </si>
  <si>
    <t>寺</t>
  </si>
  <si>
    <t>盼</t>
  </si>
  <si>
    <t>盲</t>
  </si>
  <si>
    <t>爽</t>
  </si>
  <si>
    <t>壶</t>
  </si>
  <si>
    <t>狠</t>
  </si>
  <si>
    <t>茄</t>
  </si>
  <si>
    <t>拐</t>
  </si>
  <si>
    <t>渠</t>
  </si>
  <si>
    <t>桿</t>
  </si>
  <si>
    <t>壺</t>
  </si>
  <si>
    <t>오</t>
  </si>
  <si>
    <t>옥</t>
  </si>
  <si>
    <t>온</t>
  </si>
  <si>
    <t>올</t>
  </si>
  <si>
    <t>옭</t>
  </si>
  <si>
    <t>옮</t>
  </si>
  <si>
    <t>옰</t>
  </si>
  <si>
    <t>옳</t>
  </si>
  <si>
    <t>옴</t>
  </si>
  <si>
    <t>옵</t>
  </si>
  <si>
    <t>옷</t>
  </si>
  <si>
    <t>옹</t>
  </si>
  <si>
    <t>옻</t>
  </si>
  <si>
    <t>와</t>
  </si>
  <si>
    <t>왁</t>
  </si>
  <si>
    <t>완</t>
  </si>
  <si>
    <t>勺</t>
  </si>
  <si>
    <t>股</t>
  </si>
  <si>
    <t>略</t>
  </si>
  <si>
    <t>抗</t>
  </si>
  <si>
    <t>宫</t>
  </si>
  <si>
    <t>患</t>
  </si>
  <si>
    <t>圣</t>
  </si>
  <si>
    <t>祖</t>
  </si>
  <si>
    <t>孤</t>
  </si>
  <si>
    <t>啦</t>
  </si>
  <si>
    <t>尖</t>
  </si>
  <si>
    <t>衡</t>
  </si>
  <si>
    <t>枝</t>
  </si>
  <si>
    <t>奏</t>
  </si>
  <si>
    <t>梅</t>
  </si>
  <si>
    <t>混</t>
  </si>
  <si>
    <t>宮</t>
  </si>
  <si>
    <t>聖</t>
  </si>
  <si>
    <t>왈</t>
  </si>
  <si>
    <t>왐</t>
  </si>
  <si>
    <t>왑</t>
  </si>
  <si>
    <t>왓</t>
  </si>
  <si>
    <t>왔</t>
  </si>
  <si>
    <t>왕</t>
  </si>
  <si>
    <t>왜</t>
  </si>
  <si>
    <t>왝</t>
  </si>
  <si>
    <t>왠</t>
  </si>
  <si>
    <t>왬</t>
  </si>
  <si>
    <t>왯</t>
  </si>
  <si>
    <t>왱</t>
  </si>
  <si>
    <t>외</t>
  </si>
  <si>
    <t>왹</t>
  </si>
  <si>
    <t>왼</t>
  </si>
  <si>
    <t>욀</t>
  </si>
  <si>
    <t>忠</t>
  </si>
  <si>
    <t>番</t>
  </si>
  <si>
    <t>麦</t>
  </si>
  <si>
    <t>丧</t>
  </si>
  <si>
    <t>捉</t>
  </si>
  <si>
    <t>屏</t>
  </si>
  <si>
    <t>迁</t>
  </si>
  <si>
    <t>循</t>
  </si>
  <si>
    <t>侵</t>
  </si>
  <si>
    <t>柱</t>
  </si>
  <si>
    <t>宅</t>
  </si>
  <si>
    <t>袖</t>
  </si>
  <si>
    <t>贡</t>
  </si>
  <si>
    <t>吞</t>
  </si>
  <si>
    <t>吊</t>
  </si>
  <si>
    <t>械</t>
  </si>
  <si>
    <t>麥</t>
  </si>
  <si>
    <t>喪</t>
  </si>
  <si>
    <t>遷</t>
  </si>
  <si>
    <t>貢</t>
  </si>
  <si>
    <t>욈</t>
  </si>
  <si>
    <t>욉</t>
  </si>
  <si>
    <t>욋</t>
  </si>
  <si>
    <t>욍</t>
  </si>
  <si>
    <t>요</t>
  </si>
  <si>
    <t>욕</t>
  </si>
  <si>
    <t>욘</t>
  </si>
  <si>
    <t>욜</t>
  </si>
  <si>
    <t>욤</t>
  </si>
  <si>
    <t>욥</t>
  </si>
  <si>
    <t>욧</t>
  </si>
  <si>
    <t>용</t>
  </si>
  <si>
    <t>우</t>
  </si>
  <si>
    <t>욱</t>
  </si>
  <si>
    <t>운</t>
  </si>
  <si>
    <t>울</t>
  </si>
  <si>
    <t>娱</t>
  </si>
  <si>
    <t>晕</t>
  </si>
  <si>
    <t>凶</t>
  </si>
  <si>
    <t>探</t>
  </si>
  <si>
    <t>皇</t>
  </si>
  <si>
    <t>端</t>
  </si>
  <si>
    <t>佳</t>
  </si>
  <si>
    <t>隐</t>
  </si>
  <si>
    <t>佛</t>
  </si>
  <si>
    <t>胞</t>
  </si>
  <si>
    <t>副</t>
  </si>
  <si>
    <t>宇</t>
  </si>
  <si>
    <t>监</t>
  </si>
  <si>
    <t>乌</t>
  </si>
  <si>
    <t>揭</t>
  </si>
  <si>
    <t>径</t>
  </si>
  <si>
    <t>娛</t>
  </si>
  <si>
    <t>暈</t>
  </si>
  <si>
    <t>兇</t>
  </si>
  <si>
    <t>隱</t>
  </si>
  <si>
    <t>監</t>
  </si>
  <si>
    <t>烏</t>
  </si>
  <si>
    <t>徑</t>
  </si>
  <si>
    <t>蒙</t>
  </si>
  <si>
    <t>渡</t>
  </si>
  <si>
    <t>叹</t>
  </si>
  <si>
    <t>泡</t>
  </si>
  <si>
    <t>贫</t>
  </si>
  <si>
    <t>悟</t>
  </si>
  <si>
    <t>债</t>
  </si>
  <si>
    <t>娃</t>
  </si>
  <si>
    <t>跃</t>
  </si>
  <si>
    <t>侧</t>
  </si>
  <si>
    <t>捕</t>
  </si>
  <si>
    <t>宴</t>
  </si>
  <si>
    <t>嘉</t>
  </si>
  <si>
    <t>宏</t>
  </si>
  <si>
    <t>薪</t>
  </si>
  <si>
    <t>援</t>
  </si>
  <si>
    <t>嘆</t>
  </si>
  <si>
    <t>貧</t>
  </si>
  <si>
    <t>債</t>
  </si>
  <si>
    <t>躍</t>
  </si>
  <si>
    <t>側</t>
  </si>
  <si>
    <t>욹</t>
  </si>
  <si>
    <t>욺</t>
  </si>
  <si>
    <t>움</t>
  </si>
  <si>
    <t>웁</t>
  </si>
  <si>
    <t>웃</t>
  </si>
  <si>
    <t>웅</t>
  </si>
  <si>
    <t>워</t>
  </si>
  <si>
    <t>웍</t>
  </si>
  <si>
    <t>원</t>
  </si>
  <si>
    <t>월</t>
  </si>
  <si>
    <t>웜</t>
  </si>
  <si>
    <t>웝</t>
  </si>
  <si>
    <t>웠</t>
  </si>
  <si>
    <t>웡</t>
  </si>
  <si>
    <t>웨</t>
  </si>
  <si>
    <t>罢</t>
  </si>
  <si>
    <t>贯</t>
  </si>
  <si>
    <t>蹈</t>
  </si>
  <si>
    <t>盗</t>
  </si>
  <si>
    <t>炮</t>
  </si>
  <si>
    <t>膜</t>
  </si>
  <si>
    <t>逼</t>
  </si>
  <si>
    <t>扑</t>
  </si>
  <si>
    <t>舌</t>
  </si>
  <si>
    <t>肺</t>
  </si>
  <si>
    <t>嘛</t>
  </si>
  <si>
    <t>踩</t>
  </si>
  <si>
    <t>踢</t>
  </si>
  <si>
    <t>聘</t>
  </si>
  <si>
    <t>酱</t>
  </si>
  <si>
    <t>岗</t>
  </si>
  <si>
    <t>罷</t>
  </si>
  <si>
    <t>貫</t>
  </si>
  <si>
    <t>盜</t>
  </si>
  <si>
    <t>撲</t>
  </si>
  <si>
    <t>醬</t>
  </si>
  <si>
    <t>崗</t>
  </si>
  <si>
    <t>웩</t>
  </si>
  <si>
    <t>웬</t>
  </si>
  <si>
    <t>웰</t>
  </si>
  <si>
    <t>웸</t>
  </si>
  <si>
    <t>웹</t>
  </si>
  <si>
    <t>웽</t>
  </si>
  <si>
    <t>위</t>
  </si>
  <si>
    <t>윅</t>
  </si>
  <si>
    <t>윈</t>
  </si>
  <si>
    <t>윌</t>
  </si>
  <si>
    <t>윔</t>
  </si>
  <si>
    <t>윕</t>
  </si>
  <si>
    <t>윗</t>
  </si>
  <si>
    <t>윙</t>
  </si>
  <si>
    <t>유</t>
  </si>
  <si>
    <t>掏</t>
  </si>
  <si>
    <t>哇</t>
  </si>
  <si>
    <t>醋</t>
  </si>
  <si>
    <t>异</t>
  </si>
  <si>
    <t>策</t>
  </si>
  <si>
    <t>野</t>
  </si>
  <si>
    <t>灵</t>
  </si>
  <si>
    <t>波</t>
  </si>
  <si>
    <t>威</t>
  </si>
  <si>
    <t>税</t>
  </si>
  <si>
    <t>讯</t>
  </si>
  <si>
    <t>帝</t>
  </si>
  <si>
    <t>露</t>
  </si>
  <si>
    <t>障</t>
  </si>
  <si>
    <t>盛</t>
  </si>
  <si>
    <t>妙</t>
  </si>
  <si>
    <t>異</t>
  </si>
  <si>
    <t>靈</t>
  </si>
  <si>
    <t>稅</t>
  </si>
  <si>
    <t>訊</t>
  </si>
  <si>
    <t>육</t>
  </si>
  <si>
    <t>윤</t>
  </si>
  <si>
    <t>율</t>
  </si>
  <si>
    <t>윰</t>
  </si>
  <si>
    <t>윱</t>
  </si>
  <si>
    <t>윳</t>
  </si>
  <si>
    <t>융</t>
  </si>
  <si>
    <t>윷</t>
  </si>
  <si>
    <t>으</t>
  </si>
  <si>
    <t>윽</t>
  </si>
  <si>
    <t>을</t>
  </si>
  <si>
    <t>읆</t>
  </si>
  <si>
    <t>음</t>
  </si>
  <si>
    <t>읍</t>
  </si>
  <si>
    <t>읏</t>
  </si>
  <si>
    <t>审</t>
  </si>
  <si>
    <t>横</t>
  </si>
  <si>
    <t>踏</t>
  </si>
  <si>
    <t>稿</t>
  </si>
  <si>
    <t>档</t>
  </si>
  <si>
    <t>晓</t>
  </si>
  <si>
    <t>梁</t>
  </si>
  <si>
    <t>徒</t>
  </si>
  <si>
    <t>杰</t>
  </si>
  <si>
    <t>耀</t>
  </si>
  <si>
    <t>跨</t>
  </si>
  <si>
    <t>畅</t>
  </si>
  <si>
    <t>氧</t>
  </si>
  <si>
    <t>埋</t>
  </si>
  <si>
    <t>氛</t>
  </si>
  <si>
    <t>惨</t>
  </si>
  <si>
    <t>審</t>
  </si>
  <si>
    <t>橫</t>
  </si>
  <si>
    <t>檔</t>
  </si>
  <si>
    <t>曉</t>
  </si>
  <si>
    <t>傑</t>
  </si>
  <si>
    <t>暢</t>
  </si>
  <si>
    <t>慘</t>
  </si>
  <si>
    <t>응</t>
  </si>
  <si>
    <t>읒</t>
  </si>
  <si>
    <t>읓</t>
  </si>
  <si>
    <t>읔</t>
  </si>
  <si>
    <t>읕</t>
  </si>
  <si>
    <t>읖</t>
  </si>
  <si>
    <t>읗</t>
  </si>
  <si>
    <t>의</t>
  </si>
  <si>
    <t>읜</t>
  </si>
  <si>
    <t>읠</t>
  </si>
  <si>
    <t>읨</t>
  </si>
  <si>
    <t>읫</t>
  </si>
  <si>
    <t>이</t>
  </si>
  <si>
    <t>익</t>
  </si>
  <si>
    <t>인</t>
  </si>
  <si>
    <t>일</t>
  </si>
  <si>
    <t>傲</t>
  </si>
  <si>
    <t>炒</t>
  </si>
  <si>
    <t>撑</t>
  </si>
  <si>
    <t>锋</t>
  </si>
  <si>
    <t>洪</t>
  </si>
  <si>
    <t>拨</t>
  </si>
  <si>
    <t>仓</t>
  </si>
  <si>
    <t>践</t>
  </si>
  <si>
    <t>厕</t>
  </si>
  <si>
    <t>跪</t>
  </si>
  <si>
    <t>蹲</t>
  </si>
  <si>
    <t>铅</t>
  </si>
  <si>
    <t>苏</t>
  </si>
  <si>
    <t>撤</t>
  </si>
  <si>
    <t>刮</t>
  </si>
  <si>
    <t>舰</t>
  </si>
  <si>
    <t>撐</t>
  </si>
  <si>
    <t>鋒</t>
  </si>
  <si>
    <t>撥</t>
  </si>
  <si>
    <t>倉</t>
  </si>
  <si>
    <t>踐</t>
  </si>
  <si>
    <t>廁</t>
  </si>
  <si>
    <t>鉛</t>
  </si>
  <si>
    <t>甦</t>
  </si>
  <si>
    <t>艦</t>
  </si>
  <si>
    <t>읽</t>
  </si>
  <si>
    <t>읾</t>
  </si>
  <si>
    <t>잃</t>
  </si>
  <si>
    <t>임</t>
  </si>
  <si>
    <t>입</t>
  </si>
  <si>
    <t>잇</t>
  </si>
  <si>
    <t>있</t>
  </si>
  <si>
    <t>잉</t>
  </si>
  <si>
    <t>잊</t>
  </si>
  <si>
    <t>잎</t>
  </si>
  <si>
    <t>자</t>
  </si>
  <si>
    <t>작</t>
  </si>
  <si>
    <t>잔</t>
  </si>
  <si>
    <t>잖</t>
  </si>
  <si>
    <t>잗</t>
  </si>
  <si>
    <t>잘</t>
  </si>
  <si>
    <t>账</t>
  </si>
  <si>
    <t>素</t>
  </si>
  <si>
    <t>岛</t>
  </si>
  <si>
    <t>症</t>
  </si>
  <si>
    <t>残</t>
  </si>
  <si>
    <t>暴</t>
  </si>
  <si>
    <t>液</t>
  </si>
  <si>
    <t>废</t>
  </si>
  <si>
    <t>辉</t>
  </si>
  <si>
    <t>诺</t>
  </si>
  <si>
    <t>灭</t>
  </si>
  <si>
    <t>裂</t>
  </si>
  <si>
    <t>倾</t>
  </si>
  <si>
    <t>谷</t>
  </si>
  <si>
    <t>赖</t>
  </si>
  <si>
    <t>搭</t>
  </si>
  <si>
    <t>賬</t>
  </si>
  <si>
    <t>島</t>
  </si>
  <si>
    <t>殘</t>
  </si>
  <si>
    <t>廢</t>
  </si>
  <si>
    <t>輝</t>
  </si>
  <si>
    <t>諾</t>
  </si>
  <si>
    <t>滅</t>
  </si>
  <si>
    <t>傾</t>
  </si>
  <si>
    <t>賴</t>
  </si>
  <si>
    <t>잚</t>
  </si>
  <si>
    <t>잠</t>
  </si>
  <si>
    <t>잡</t>
  </si>
  <si>
    <t>잣</t>
  </si>
  <si>
    <t>잤</t>
  </si>
  <si>
    <t>장</t>
  </si>
  <si>
    <t>잦</t>
  </si>
  <si>
    <t>재</t>
  </si>
  <si>
    <t>잭</t>
  </si>
  <si>
    <t>잰</t>
  </si>
  <si>
    <t>잴</t>
  </si>
  <si>
    <t>잼</t>
  </si>
  <si>
    <t>잽</t>
  </si>
  <si>
    <t>잿</t>
  </si>
  <si>
    <t>쟀</t>
  </si>
  <si>
    <t>쟁</t>
  </si>
  <si>
    <t>仪</t>
  </si>
  <si>
    <t>旋</t>
  </si>
  <si>
    <t>墨</t>
  </si>
  <si>
    <t>磨</t>
  </si>
  <si>
    <t>炉</t>
  </si>
  <si>
    <t>殖</t>
  </si>
  <si>
    <t>阔</t>
  </si>
  <si>
    <t>挖</t>
  </si>
  <si>
    <t>棉</t>
  </si>
  <si>
    <t>墓</t>
  </si>
  <si>
    <t>谋</t>
  </si>
  <si>
    <t>跌</t>
  </si>
  <si>
    <t>榜</t>
  </si>
  <si>
    <t>截</t>
  </si>
  <si>
    <t>宠</t>
  </si>
  <si>
    <t>愤</t>
  </si>
  <si>
    <t>儀</t>
  </si>
  <si>
    <t>爐</t>
  </si>
  <si>
    <t>闊</t>
  </si>
  <si>
    <t>謀</t>
  </si>
  <si>
    <t>寵</t>
  </si>
  <si>
    <t>憤</t>
  </si>
  <si>
    <t>쟈</t>
  </si>
  <si>
    <t>쟉</t>
  </si>
  <si>
    <t>쟌</t>
  </si>
  <si>
    <t>쟎</t>
  </si>
  <si>
    <t>쟐</t>
  </si>
  <si>
    <t>쟘</t>
  </si>
  <si>
    <t>쟝</t>
  </si>
  <si>
    <t>쟤</t>
  </si>
  <si>
    <t>쟨</t>
  </si>
  <si>
    <t>쟬</t>
  </si>
  <si>
    <t>저</t>
  </si>
  <si>
    <t>적</t>
  </si>
  <si>
    <t>전</t>
  </si>
  <si>
    <t>절</t>
  </si>
  <si>
    <t>젊</t>
  </si>
  <si>
    <t>毁</t>
  </si>
  <si>
    <t>牢</t>
  </si>
  <si>
    <t>箭</t>
  </si>
  <si>
    <t>驻</t>
  </si>
  <si>
    <t>牲</t>
  </si>
  <si>
    <t>纠</t>
  </si>
  <si>
    <t>栏</t>
  </si>
  <si>
    <t>煮</t>
  </si>
  <si>
    <t>酷</t>
  </si>
  <si>
    <t>挨</t>
  </si>
  <si>
    <t>欺</t>
  </si>
  <si>
    <t>傍</t>
  </si>
  <si>
    <t>港</t>
  </si>
  <si>
    <t>坡</t>
  </si>
  <si>
    <t>藏</t>
  </si>
  <si>
    <t>纳</t>
  </si>
  <si>
    <t>毀</t>
  </si>
  <si>
    <t>駐</t>
  </si>
  <si>
    <t>糾</t>
  </si>
  <si>
    <t>欄</t>
  </si>
  <si>
    <t>納</t>
  </si>
  <si>
    <t>점</t>
  </si>
  <si>
    <t>접</t>
  </si>
  <si>
    <t>젓</t>
  </si>
  <si>
    <t>정</t>
  </si>
  <si>
    <t>젖</t>
  </si>
  <si>
    <t>제</t>
  </si>
  <si>
    <t>젝</t>
  </si>
  <si>
    <t>젠</t>
  </si>
  <si>
    <t>젤</t>
  </si>
  <si>
    <t>젬</t>
  </si>
  <si>
    <t>젭</t>
  </si>
  <si>
    <t>젯</t>
  </si>
  <si>
    <t>젱</t>
  </si>
  <si>
    <t>져</t>
  </si>
  <si>
    <t>젼</t>
  </si>
  <si>
    <t>缘</t>
  </si>
  <si>
    <t>宗</t>
  </si>
  <si>
    <t>塞</t>
  </si>
  <si>
    <t>忧</t>
  </si>
  <si>
    <t>塔</t>
  </si>
  <si>
    <t>诞</t>
  </si>
  <si>
    <t>遭</t>
  </si>
  <si>
    <t>旗</t>
  </si>
  <si>
    <t>爆</t>
  </si>
  <si>
    <t>滴</t>
  </si>
  <si>
    <t>铜</t>
  </si>
  <si>
    <t>铺</t>
  </si>
  <si>
    <t>涉</t>
  </si>
  <si>
    <t>誉</t>
  </si>
  <si>
    <t>恰</t>
  </si>
  <si>
    <t>薯</t>
  </si>
  <si>
    <t>緣</t>
  </si>
  <si>
    <t>憂</t>
  </si>
  <si>
    <t>誕</t>
  </si>
  <si>
    <t>銅</t>
  </si>
  <si>
    <t>鋪</t>
  </si>
  <si>
    <t>譽</t>
  </si>
  <si>
    <t>졀</t>
  </si>
  <si>
    <t>졈</t>
  </si>
  <si>
    <t>졉</t>
  </si>
  <si>
    <t>졌</t>
  </si>
  <si>
    <t>졍</t>
  </si>
  <si>
    <t>졔</t>
  </si>
  <si>
    <t>조</t>
  </si>
  <si>
    <t>족</t>
  </si>
  <si>
    <t>존</t>
  </si>
  <si>
    <t>졸</t>
  </si>
  <si>
    <t>졺</t>
  </si>
  <si>
    <t>좀</t>
  </si>
  <si>
    <t>좁</t>
  </si>
  <si>
    <t>좃</t>
  </si>
  <si>
    <t>종</t>
  </si>
  <si>
    <t>좆</t>
  </si>
  <si>
    <t>嫌</t>
  </si>
  <si>
    <t>顽</t>
  </si>
  <si>
    <t>巩</t>
  </si>
  <si>
    <t>疾</t>
  </si>
  <si>
    <t>洁</t>
  </si>
  <si>
    <t>纵</t>
  </si>
  <si>
    <t>牵</t>
  </si>
  <si>
    <t>督</t>
  </si>
  <si>
    <t>捡</t>
  </si>
  <si>
    <t>添</t>
  </si>
  <si>
    <t>崇</t>
  </si>
  <si>
    <t>剑</t>
  </si>
  <si>
    <t>肿</t>
  </si>
  <si>
    <t>懒</t>
  </si>
  <si>
    <t>赌</t>
  </si>
  <si>
    <t>谐</t>
  </si>
  <si>
    <t>頑</t>
  </si>
  <si>
    <t>鞏</t>
  </si>
  <si>
    <t>潔</t>
  </si>
  <si>
    <t>縱</t>
  </si>
  <si>
    <t>牽</t>
  </si>
  <si>
    <t>撿</t>
  </si>
  <si>
    <t>劍</t>
  </si>
  <si>
    <t>腫</t>
  </si>
  <si>
    <t>懶</t>
  </si>
  <si>
    <t>賭</t>
  </si>
  <si>
    <t>諧</t>
  </si>
  <si>
    <t>좇</t>
  </si>
  <si>
    <t>좋</t>
  </si>
  <si>
    <t>좌</t>
  </si>
  <si>
    <t>좍</t>
  </si>
  <si>
    <t>좔</t>
  </si>
  <si>
    <t>좝</t>
  </si>
  <si>
    <t>좟</t>
  </si>
  <si>
    <t>좡</t>
  </si>
  <si>
    <t>좨</t>
  </si>
  <si>
    <t>좼</t>
  </si>
  <si>
    <t>좽</t>
  </si>
  <si>
    <t>죄</t>
  </si>
  <si>
    <t>죈</t>
  </si>
  <si>
    <t>죌</t>
  </si>
  <si>
    <t>죔</t>
  </si>
  <si>
    <t>죕</t>
  </si>
  <si>
    <t>谅</t>
  </si>
  <si>
    <t>趟</t>
  </si>
  <si>
    <t>咨</t>
  </si>
  <si>
    <t>鉴</t>
  </si>
  <si>
    <t>党</t>
  </si>
  <si>
    <t>镇</t>
  </si>
  <si>
    <t>诸</t>
  </si>
  <si>
    <t>欲</t>
  </si>
  <si>
    <t>赚</t>
  </si>
  <si>
    <t>愉</t>
  </si>
  <si>
    <t>牺</t>
  </si>
  <si>
    <t>歉</t>
  </si>
  <si>
    <t>馒</t>
  </si>
  <si>
    <t>绘</t>
  </si>
  <si>
    <t>储</t>
  </si>
  <si>
    <t>骄</t>
  </si>
  <si>
    <t>諒</t>
  </si>
  <si>
    <t>諮</t>
  </si>
  <si>
    <t>鑒</t>
  </si>
  <si>
    <t>黨</t>
  </si>
  <si>
    <t>鎮</t>
  </si>
  <si>
    <t>諸</t>
  </si>
  <si>
    <t>賺</t>
  </si>
  <si>
    <t>犧</t>
  </si>
  <si>
    <t>饅</t>
  </si>
  <si>
    <t>繪</t>
  </si>
  <si>
    <t>儲</t>
  </si>
  <si>
    <t>驕</t>
  </si>
  <si>
    <t>죗</t>
  </si>
  <si>
    <t>죙</t>
  </si>
  <si>
    <t>죠</t>
  </si>
  <si>
    <t>죡</t>
  </si>
  <si>
    <t>죤</t>
  </si>
  <si>
    <t>죵</t>
  </si>
  <si>
    <t>주</t>
  </si>
  <si>
    <t>죽</t>
  </si>
  <si>
    <t>준</t>
  </si>
  <si>
    <t>줄</t>
  </si>
  <si>
    <t>줅</t>
  </si>
  <si>
    <t>줆</t>
  </si>
  <si>
    <t>줌</t>
  </si>
  <si>
    <t>줍</t>
  </si>
  <si>
    <t>줏</t>
  </si>
  <si>
    <t>중</t>
  </si>
  <si>
    <t>憾</t>
  </si>
  <si>
    <t>谦</t>
  </si>
  <si>
    <t>额</t>
  </si>
  <si>
    <t>悬</t>
  </si>
  <si>
    <t>绪</t>
  </si>
  <si>
    <t>湾</t>
  </si>
  <si>
    <t>钻</t>
  </si>
  <si>
    <t>晶</t>
  </si>
  <si>
    <t>瓦</t>
  </si>
  <si>
    <t>丁</t>
  </si>
  <si>
    <t>臣</t>
  </si>
  <si>
    <t>川</t>
  </si>
  <si>
    <t>乃</t>
  </si>
  <si>
    <t>曰</t>
  </si>
  <si>
    <t>舟</t>
  </si>
  <si>
    <t>吕</t>
  </si>
  <si>
    <t>謙</t>
  </si>
  <si>
    <t>額</t>
  </si>
  <si>
    <t>懸</t>
  </si>
  <si>
    <t>緒</t>
  </si>
  <si>
    <t>灣</t>
  </si>
  <si>
    <t>鑽</t>
  </si>
  <si>
    <t>呂</t>
  </si>
  <si>
    <t>줘</t>
  </si>
  <si>
    <t>줬</t>
  </si>
  <si>
    <t>줴</t>
  </si>
  <si>
    <t>쥐</t>
  </si>
  <si>
    <t>쥑</t>
  </si>
  <si>
    <t>쥔</t>
  </si>
  <si>
    <t>쥘</t>
  </si>
  <si>
    <t>쥠</t>
  </si>
  <si>
    <t>쥡</t>
  </si>
  <si>
    <t>쥣</t>
  </si>
  <si>
    <t>쥬</t>
  </si>
  <si>
    <t>쥰</t>
  </si>
  <si>
    <t>쥴</t>
  </si>
  <si>
    <t>쥼</t>
  </si>
  <si>
    <t>즈</t>
  </si>
  <si>
    <t>즉</t>
  </si>
  <si>
    <t>轰</t>
  </si>
  <si>
    <t>凸</t>
  </si>
  <si>
    <t>龟</t>
  </si>
  <si>
    <t>卜</t>
  </si>
  <si>
    <t>爪</t>
  </si>
  <si>
    <t>凹</t>
  </si>
  <si>
    <t>勿</t>
  </si>
  <si>
    <t>弓</t>
  </si>
  <si>
    <t>丐</t>
  </si>
  <si>
    <t>禾</t>
  </si>
  <si>
    <t>尼</t>
  </si>
  <si>
    <t>陈</t>
  </si>
  <si>
    <t>孔</t>
  </si>
  <si>
    <t>雅</t>
  </si>
  <si>
    <t>仙</t>
  </si>
  <si>
    <t>甘</t>
  </si>
  <si>
    <t>轟</t>
  </si>
  <si>
    <t>龜</t>
  </si>
  <si>
    <t>陳</t>
  </si>
  <si>
    <t>즌</t>
  </si>
  <si>
    <t>즐</t>
  </si>
  <si>
    <t>즘</t>
  </si>
  <si>
    <t>즙</t>
  </si>
  <si>
    <t>즛</t>
  </si>
  <si>
    <t>증</t>
  </si>
  <si>
    <t>지</t>
  </si>
  <si>
    <t>직</t>
  </si>
  <si>
    <t>진</t>
  </si>
  <si>
    <t>짇</t>
  </si>
  <si>
    <t>질</t>
  </si>
  <si>
    <t>짊</t>
  </si>
  <si>
    <t>짐</t>
  </si>
  <si>
    <t>집</t>
  </si>
  <si>
    <t>짓</t>
  </si>
  <si>
    <t>泰</t>
  </si>
  <si>
    <t>仁</t>
  </si>
  <si>
    <t>稚</t>
  </si>
  <si>
    <t>津</t>
  </si>
  <si>
    <t>巡</t>
  </si>
  <si>
    <t>匆</t>
  </si>
  <si>
    <t>屈</t>
  </si>
  <si>
    <t>秦</t>
  </si>
  <si>
    <t>耕</t>
  </si>
  <si>
    <t>艾</t>
  </si>
  <si>
    <t>孟</t>
  </si>
  <si>
    <t>廷</t>
  </si>
  <si>
    <t>剂</t>
  </si>
  <si>
    <t>氏</t>
  </si>
  <si>
    <t>闷</t>
  </si>
  <si>
    <t>邦</t>
  </si>
  <si>
    <t>劑</t>
  </si>
  <si>
    <t>悶</t>
  </si>
  <si>
    <t>쬬</t>
  </si>
  <si>
    <t>징</t>
  </si>
  <si>
    <t>짖</t>
  </si>
  <si>
    <t>짙</t>
  </si>
  <si>
    <t>짚</t>
  </si>
  <si>
    <t>짜</t>
  </si>
  <si>
    <t>짝</t>
  </si>
  <si>
    <t>짠</t>
  </si>
  <si>
    <t>짢</t>
  </si>
  <si>
    <t>짤</t>
  </si>
  <si>
    <t>짧</t>
  </si>
  <si>
    <t>짬</t>
  </si>
  <si>
    <t>짭</t>
  </si>
  <si>
    <t>짯</t>
  </si>
  <si>
    <t>짰</t>
  </si>
  <si>
    <t>짱</t>
  </si>
  <si>
    <t>斑</t>
  </si>
  <si>
    <t>孕</t>
  </si>
  <si>
    <t>玫</t>
  </si>
  <si>
    <t>芽</t>
  </si>
  <si>
    <t>岂</t>
  </si>
  <si>
    <t>霍</t>
  </si>
  <si>
    <t>汪</t>
  </si>
  <si>
    <t>姆</t>
  </si>
  <si>
    <t>叮</t>
  </si>
  <si>
    <t>芭</t>
  </si>
  <si>
    <t>匠</t>
  </si>
  <si>
    <t>蚊</t>
  </si>
  <si>
    <t>虹</t>
  </si>
  <si>
    <t>桑</t>
  </si>
  <si>
    <t>奴</t>
  </si>
  <si>
    <t>斥</t>
  </si>
  <si>
    <t>豈</t>
  </si>
  <si>
    <t>째</t>
  </si>
  <si>
    <t>짹</t>
  </si>
  <si>
    <t>짼</t>
  </si>
  <si>
    <t>쨀</t>
  </si>
  <si>
    <t>쨈</t>
  </si>
  <si>
    <t>쨉</t>
  </si>
  <si>
    <t>쨋</t>
  </si>
  <si>
    <t>쨌</t>
  </si>
  <si>
    <t>쨍</t>
  </si>
  <si>
    <t>쨔</t>
  </si>
  <si>
    <t>쨘</t>
  </si>
  <si>
    <t>쨩</t>
  </si>
  <si>
    <t>쩌</t>
  </si>
  <si>
    <t>쩍</t>
  </si>
  <si>
    <t>쩐</t>
  </si>
  <si>
    <t>쩔</t>
  </si>
  <si>
    <t>拳</t>
  </si>
  <si>
    <t>妆</t>
  </si>
  <si>
    <t>扯</t>
  </si>
  <si>
    <t>哑</t>
  </si>
  <si>
    <t>忌</t>
  </si>
  <si>
    <t>枚</t>
  </si>
  <si>
    <t>妥</t>
  </si>
  <si>
    <t>逗</t>
  </si>
  <si>
    <t>芝</t>
  </si>
  <si>
    <t>棚</t>
  </si>
  <si>
    <t>崩</t>
  </si>
  <si>
    <t>吻</t>
  </si>
  <si>
    <t>勾</t>
  </si>
  <si>
    <t>匪</t>
  </si>
  <si>
    <t>兆</t>
  </si>
  <si>
    <t>畏</t>
  </si>
  <si>
    <t>妝</t>
  </si>
  <si>
    <t>啞</t>
  </si>
  <si>
    <t>耻</t>
  </si>
  <si>
    <t>仇</t>
  </si>
  <si>
    <t>衍</t>
  </si>
  <si>
    <t>朽</t>
  </si>
  <si>
    <t>邪</t>
  </si>
  <si>
    <t>侣</t>
  </si>
  <si>
    <t>叨</t>
  </si>
  <si>
    <t>祈</t>
  </si>
  <si>
    <t>斩</t>
  </si>
  <si>
    <t>雇</t>
  </si>
  <si>
    <t>叭</t>
  </si>
  <si>
    <t>旱</t>
  </si>
  <si>
    <t>秃</t>
  </si>
  <si>
    <t>竿</t>
  </si>
  <si>
    <t>栋</t>
  </si>
  <si>
    <t>戈</t>
  </si>
  <si>
    <t>恥</t>
  </si>
  <si>
    <t>侶</t>
  </si>
  <si>
    <t>斬</t>
  </si>
  <si>
    <t>禿</t>
  </si>
  <si>
    <t>棟</t>
  </si>
  <si>
    <t>쩜</t>
  </si>
  <si>
    <t>쩝</t>
  </si>
  <si>
    <t>쩟</t>
  </si>
  <si>
    <t>쩠</t>
  </si>
  <si>
    <t>쩡</t>
  </si>
  <si>
    <t>쩨</t>
  </si>
  <si>
    <t>쩽</t>
  </si>
  <si>
    <t>쪄</t>
  </si>
  <si>
    <t>쪘</t>
  </si>
  <si>
    <t>쪼</t>
  </si>
  <si>
    <t>쪽</t>
  </si>
  <si>
    <t>쫀</t>
  </si>
  <si>
    <t>쫄</t>
  </si>
  <si>
    <t>쫌</t>
  </si>
  <si>
    <t>쫍</t>
  </si>
  <si>
    <t>쫏</t>
  </si>
  <si>
    <t>蝇</t>
  </si>
  <si>
    <t>旬</t>
  </si>
  <si>
    <t>丫</t>
  </si>
  <si>
    <t>甸</t>
  </si>
  <si>
    <t>乞</t>
  </si>
  <si>
    <t>厄</t>
  </si>
  <si>
    <t>囚</t>
  </si>
  <si>
    <t>耍</t>
  </si>
  <si>
    <t>枉</t>
  </si>
  <si>
    <t>删</t>
  </si>
  <si>
    <t>拙</t>
  </si>
  <si>
    <t>徘</t>
  </si>
  <si>
    <t>秉</t>
  </si>
  <si>
    <t>匀</t>
  </si>
  <si>
    <t>沐</t>
  </si>
  <si>
    <t>淮</t>
  </si>
  <si>
    <t>蠅</t>
  </si>
  <si>
    <t>刪</t>
  </si>
  <si>
    <t>勻</t>
  </si>
  <si>
    <t>쫑</t>
  </si>
  <si>
    <t>쫓</t>
  </si>
  <si>
    <t>쫘</t>
  </si>
  <si>
    <t>쫙</t>
  </si>
  <si>
    <t>쫠</t>
  </si>
  <si>
    <t>쫬</t>
  </si>
  <si>
    <t>쫴</t>
  </si>
  <si>
    <t>쬈</t>
  </si>
  <si>
    <t>쬐</t>
  </si>
  <si>
    <t>쬔</t>
  </si>
  <si>
    <t>쬘</t>
  </si>
  <si>
    <t>쬠</t>
  </si>
  <si>
    <t>쬡</t>
  </si>
  <si>
    <t>쭁</t>
  </si>
  <si>
    <t>쭈</t>
  </si>
  <si>
    <t>쭉</t>
  </si>
  <si>
    <t>抒</t>
  </si>
  <si>
    <t>斧</t>
  </si>
  <si>
    <t>盯</t>
  </si>
  <si>
    <t>阱</t>
  </si>
  <si>
    <t>甩</t>
  </si>
  <si>
    <t>妒</t>
  </si>
  <si>
    <t>泄</t>
  </si>
  <si>
    <t>奸</t>
  </si>
  <si>
    <t>崛</t>
  </si>
  <si>
    <t>扛</t>
  </si>
  <si>
    <t>咽</t>
  </si>
  <si>
    <t>耿</t>
  </si>
  <si>
    <t>旭</t>
  </si>
  <si>
    <t>弛</t>
  </si>
  <si>
    <t>酥</t>
  </si>
  <si>
    <t>扒</t>
  </si>
  <si>
    <t>쭌</t>
  </si>
  <si>
    <t>쭐</t>
  </si>
  <si>
    <t>쭘</t>
  </si>
  <si>
    <t>쭙</t>
  </si>
  <si>
    <t>쭝</t>
  </si>
  <si>
    <t>쭤</t>
  </si>
  <si>
    <t>쭸</t>
  </si>
  <si>
    <t>쭹</t>
  </si>
  <si>
    <t>쮜</t>
  </si>
  <si>
    <t>쮸</t>
  </si>
  <si>
    <t>쯔</t>
  </si>
  <si>
    <t>쯤</t>
  </si>
  <si>
    <t>쯧</t>
  </si>
  <si>
    <t>쯩</t>
  </si>
  <si>
    <t>찌</t>
  </si>
  <si>
    <t>찍</t>
  </si>
  <si>
    <t>弘</t>
  </si>
  <si>
    <t>炬</t>
  </si>
  <si>
    <t>卉</t>
  </si>
  <si>
    <t>闸</t>
  </si>
  <si>
    <t>冗</t>
  </si>
  <si>
    <t>阂</t>
  </si>
  <si>
    <t>猖</t>
  </si>
  <si>
    <t>刁</t>
  </si>
  <si>
    <t>芯</t>
  </si>
  <si>
    <t>撬</t>
  </si>
  <si>
    <t>州</t>
  </si>
  <si>
    <t>脉</t>
  </si>
  <si>
    <t>丹</t>
  </si>
  <si>
    <t>亦</t>
  </si>
  <si>
    <t>哀</t>
  </si>
  <si>
    <t>凯</t>
  </si>
  <si>
    <t>閘</t>
  </si>
  <si>
    <t>閡</t>
  </si>
  <si>
    <t>脈</t>
  </si>
  <si>
    <t>凱</t>
  </si>
  <si>
    <t>찐</t>
  </si>
  <si>
    <t>찔</t>
  </si>
  <si>
    <t>찜</t>
  </si>
  <si>
    <t>찝</t>
  </si>
  <si>
    <t>찡</t>
  </si>
  <si>
    <t>찢</t>
  </si>
  <si>
    <t>찧</t>
  </si>
  <si>
    <t>차</t>
  </si>
  <si>
    <t>착</t>
  </si>
  <si>
    <t>찬</t>
  </si>
  <si>
    <t>찮</t>
  </si>
  <si>
    <t>찰</t>
  </si>
  <si>
    <t>참</t>
  </si>
  <si>
    <t>찹</t>
  </si>
  <si>
    <t>찻</t>
  </si>
  <si>
    <t>吴</t>
  </si>
  <si>
    <t>苗</t>
  </si>
  <si>
    <t>呈</t>
  </si>
  <si>
    <t>胎</t>
  </si>
  <si>
    <t>赤</t>
  </si>
  <si>
    <t>尿</t>
  </si>
  <si>
    <t>眉</t>
  </si>
  <si>
    <t>稻</t>
  </si>
  <si>
    <t>筋</t>
  </si>
  <si>
    <t>掘</t>
  </si>
  <si>
    <t>催</t>
  </si>
  <si>
    <t>昂</t>
  </si>
  <si>
    <t>粒</t>
  </si>
  <si>
    <t>契</t>
  </si>
  <si>
    <t>盈</t>
  </si>
  <si>
    <t>刑</t>
  </si>
  <si>
    <t>吳</t>
  </si>
  <si>
    <t>찼</t>
  </si>
  <si>
    <t>창</t>
  </si>
  <si>
    <t>찾</t>
  </si>
  <si>
    <t>채</t>
  </si>
  <si>
    <t>책</t>
  </si>
  <si>
    <t>챈</t>
  </si>
  <si>
    <t>챌</t>
  </si>
  <si>
    <t>챔</t>
  </si>
  <si>
    <t>챕</t>
  </si>
  <si>
    <t>챗</t>
  </si>
  <si>
    <t>챘</t>
  </si>
  <si>
    <t>챙</t>
  </si>
  <si>
    <t>챠</t>
  </si>
  <si>
    <t>챤</t>
  </si>
  <si>
    <t>챦</t>
  </si>
  <si>
    <t>淋</t>
  </si>
  <si>
    <t>赫</t>
  </si>
  <si>
    <t>逢</t>
  </si>
  <si>
    <t>抑</t>
  </si>
  <si>
    <t>姻</t>
  </si>
  <si>
    <t>翁</t>
  </si>
  <si>
    <t>艇</t>
  </si>
  <si>
    <t>邓</t>
  </si>
  <si>
    <t>抚</t>
  </si>
  <si>
    <t>柳</t>
  </si>
  <si>
    <t>逝</t>
  </si>
  <si>
    <t>蜂</t>
  </si>
  <si>
    <t>菊</t>
  </si>
  <si>
    <t>卵</t>
  </si>
  <si>
    <t>丘</t>
  </si>
  <si>
    <t>筝</t>
  </si>
  <si>
    <t>鄧</t>
  </si>
  <si>
    <t>撫</t>
  </si>
  <si>
    <t>箏</t>
  </si>
  <si>
    <t>챨</t>
  </si>
  <si>
    <t>챰</t>
  </si>
  <si>
    <t>챵</t>
  </si>
  <si>
    <t>처</t>
  </si>
  <si>
    <t>척</t>
  </si>
  <si>
    <t>천</t>
  </si>
  <si>
    <t>철</t>
  </si>
  <si>
    <t>첨</t>
  </si>
  <si>
    <t>첩</t>
  </si>
  <si>
    <t>첫</t>
  </si>
  <si>
    <t>첬</t>
  </si>
  <si>
    <t>청</t>
  </si>
  <si>
    <t>체</t>
  </si>
  <si>
    <t>첵</t>
  </si>
  <si>
    <t>첸</t>
  </si>
  <si>
    <t>첼</t>
  </si>
  <si>
    <t>昆</t>
  </si>
  <si>
    <t>倦</t>
  </si>
  <si>
    <t>芬</t>
  </si>
  <si>
    <t>羞</t>
  </si>
  <si>
    <t>抹</t>
  </si>
  <si>
    <t>脊</t>
  </si>
  <si>
    <t>睁</t>
  </si>
  <si>
    <t>毯</t>
  </si>
  <si>
    <t>蕾</t>
  </si>
  <si>
    <t>巢</t>
  </si>
  <si>
    <t>舅</t>
  </si>
  <si>
    <t>捧</t>
  </si>
  <si>
    <t>焚</t>
  </si>
  <si>
    <t>翔</t>
  </si>
  <si>
    <t>芒</t>
  </si>
  <si>
    <t>夷</t>
  </si>
  <si>
    <t>睜</t>
  </si>
  <si>
    <t>쳄</t>
  </si>
  <si>
    <t>쳅</t>
  </si>
  <si>
    <t>쳇</t>
  </si>
  <si>
    <t>쳉</t>
  </si>
  <si>
    <t>쳐</t>
  </si>
  <si>
    <t>쳔</t>
  </si>
  <si>
    <t>쳤</t>
  </si>
  <si>
    <t>쳬</t>
  </si>
  <si>
    <t>쳰</t>
  </si>
  <si>
    <t>촁</t>
  </si>
  <si>
    <t>초</t>
  </si>
  <si>
    <t>촉</t>
  </si>
  <si>
    <t>촌</t>
  </si>
  <si>
    <t>촐</t>
  </si>
  <si>
    <t>촘</t>
  </si>
  <si>
    <t>촙</t>
  </si>
  <si>
    <t>萎</t>
  </si>
  <si>
    <t>犬</t>
  </si>
  <si>
    <t>霜</t>
  </si>
  <si>
    <t>伐</t>
  </si>
  <si>
    <t>裸</t>
  </si>
  <si>
    <t>晋</t>
  </si>
  <si>
    <t>兹</t>
  </si>
  <si>
    <t>澄</t>
  </si>
  <si>
    <t>瞪</t>
  </si>
  <si>
    <t>肾</t>
  </si>
  <si>
    <t>鼎</t>
  </si>
  <si>
    <t>溢</t>
  </si>
  <si>
    <t>儒</t>
  </si>
  <si>
    <t>泣</t>
  </si>
  <si>
    <t>滔</t>
  </si>
  <si>
    <t>丸</t>
  </si>
  <si>
    <t>晉</t>
  </si>
  <si>
    <t>茲</t>
  </si>
  <si>
    <t>腎</t>
  </si>
  <si>
    <t>촛</t>
  </si>
  <si>
    <t>총</t>
  </si>
  <si>
    <t>촤</t>
  </si>
  <si>
    <t>촨</t>
  </si>
  <si>
    <t>촬</t>
  </si>
  <si>
    <t>촹</t>
  </si>
  <si>
    <t>최</t>
  </si>
  <si>
    <t>쵠</t>
  </si>
  <si>
    <t>쵤</t>
  </si>
  <si>
    <t>쵬</t>
  </si>
  <si>
    <t>쵭</t>
  </si>
  <si>
    <t>쵯</t>
  </si>
  <si>
    <t>쵱</t>
  </si>
  <si>
    <t>쵸</t>
  </si>
  <si>
    <t>춈</t>
  </si>
  <si>
    <t>추</t>
  </si>
  <si>
    <t>晰</t>
  </si>
  <si>
    <t>竖</t>
  </si>
  <si>
    <t>泌</t>
  </si>
  <si>
    <t>栓</t>
  </si>
  <si>
    <t>汰</t>
  </si>
  <si>
    <t>旨</t>
  </si>
  <si>
    <t>函</t>
  </si>
  <si>
    <t>凳</t>
  </si>
  <si>
    <t>卸</t>
  </si>
  <si>
    <t>奠</t>
  </si>
  <si>
    <t>吼</t>
  </si>
  <si>
    <t>沫</t>
  </si>
  <si>
    <t>框</t>
  </si>
  <si>
    <t>椰</t>
  </si>
  <si>
    <t>哼</t>
  </si>
  <si>
    <t>昼</t>
  </si>
  <si>
    <t>豎</t>
  </si>
  <si>
    <t>晝</t>
  </si>
  <si>
    <t>축</t>
  </si>
  <si>
    <t>춘</t>
  </si>
  <si>
    <t>출</t>
  </si>
  <si>
    <t>춤</t>
  </si>
  <si>
    <t>춥</t>
  </si>
  <si>
    <t>춧</t>
  </si>
  <si>
    <t>충</t>
  </si>
  <si>
    <t>춰</t>
  </si>
  <si>
    <t>췄</t>
  </si>
  <si>
    <t>췌</t>
  </si>
  <si>
    <t>췐</t>
  </si>
  <si>
    <t>취</t>
  </si>
  <si>
    <t>췬</t>
  </si>
  <si>
    <t>췰</t>
  </si>
  <si>
    <t>췸</t>
  </si>
  <si>
    <t>췹</t>
  </si>
  <si>
    <t>肖</t>
  </si>
  <si>
    <t>蠢</t>
  </si>
  <si>
    <t>崭</t>
  </si>
  <si>
    <t>桩</t>
  </si>
  <si>
    <t>娶</t>
  </si>
  <si>
    <t>搂</t>
  </si>
  <si>
    <t>蜀</t>
  </si>
  <si>
    <t>妄</t>
  </si>
  <si>
    <t>嗓</t>
  </si>
  <si>
    <t>迄</t>
  </si>
  <si>
    <t>徊</t>
  </si>
  <si>
    <t>剔</t>
  </si>
  <si>
    <t>吏</t>
  </si>
  <si>
    <t>屡</t>
  </si>
  <si>
    <t>昧</t>
  </si>
  <si>
    <t>炭</t>
  </si>
  <si>
    <t>嶄</t>
  </si>
  <si>
    <t>樁</t>
  </si>
  <si>
    <t>摟</t>
  </si>
  <si>
    <t>屢</t>
  </si>
  <si>
    <t>췻</t>
  </si>
  <si>
    <t>췽</t>
  </si>
  <si>
    <t>츄</t>
  </si>
  <si>
    <t>츈</t>
  </si>
  <si>
    <t>츌</t>
  </si>
  <si>
    <t>츔</t>
  </si>
  <si>
    <t>츙</t>
  </si>
  <si>
    <t>츠</t>
  </si>
  <si>
    <t>측</t>
  </si>
  <si>
    <t>츤</t>
  </si>
  <si>
    <t>츨</t>
  </si>
  <si>
    <t>츰</t>
  </si>
  <si>
    <t>츱</t>
  </si>
  <si>
    <t>츳</t>
  </si>
  <si>
    <t>층</t>
  </si>
  <si>
    <t>眨</t>
  </si>
  <si>
    <t>侃</t>
  </si>
  <si>
    <t>祀</t>
  </si>
  <si>
    <t>哎</t>
  </si>
  <si>
    <t>巫</t>
  </si>
  <si>
    <t>萌</t>
  </si>
  <si>
    <t>摧</t>
  </si>
  <si>
    <t>焰</t>
  </si>
  <si>
    <t>佑</t>
  </si>
  <si>
    <t>晤</t>
  </si>
  <si>
    <t>屉</t>
  </si>
  <si>
    <t>筐</t>
  </si>
  <si>
    <t>逮</t>
  </si>
  <si>
    <t>呐</t>
  </si>
  <si>
    <t>遂</t>
  </si>
  <si>
    <t>吩</t>
  </si>
  <si>
    <t>屜</t>
  </si>
  <si>
    <t>吶</t>
  </si>
  <si>
    <t>치</t>
  </si>
  <si>
    <t>칙</t>
  </si>
  <si>
    <t>친</t>
  </si>
  <si>
    <t>칟</t>
  </si>
  <si>
    <t>칠</t>
  </si>
  <si>
    <t>칡</t>
  </si>
  <si>
    <t>침</t>
  </si>
  <si>
    <t>칩</t>
  </si>
  <si>
    <t>칫</t>
  </si>
  <si>
    <t>칭</t>
  </si>
  <si>
    <t>카</t>
  </si>
  <si>
    <t>칵</t>
  </si>
  <si>
    <t>칸</t>
  </si>
  <si>
    <t>칼</t>
  </si>
  <si>
    <t>캄</t>
  </si>
  <si>
    <t>浙</t>
  </si>
  <si>
    <t>彬</t>
  </si>
  <si>
    <t>琢</t>
  </si>
  <si>
    <t>恕</t>
  </si>
  <si>
    <t>婪</t>
  </si>
  <si>
    <t>煽</t>
  </si>
  <si>
    <t>胚</t>
  </si>
  <si>
    <t>酣</t>
  </si>
  <si>
    <t>肇</t>
  </si>
  <si>
    <t>丙</t>
  </si>
  <si>
    <t>冶</t>
  </si>
  <si>
    <t>吁</t>
  </si>
  <si>
    <t>捆</t>
  </si>
  <si>
    <t>啃</t>
  </si>
  <si>
    <t>怠</t>
  </si>
  <si>
    <t>拴</t>
  </si>
  <si>
    <t>캅</t>
  </si>
  <si>
    <t>캇</t>
  </si>
  <si>
    <t>캉</t>
  </si>
  <si>
    <t>캐</t>
  </si>
  <si>
    <t>캑</t>
  </si>
  <si>
    <t>캔</t>
  </si>
  <si>
    <t>캘</t>
  </si>
  <si>
    <t>캠</t>
  </si>
  <si>
    <t>캡</t>
  </si>
  <si>
    <t>캣</t>
  </si>
  <si>
    <t>캤</t>
  </si>
  <si>
    <t>캥</t>
  </si>
  <si>
    <t>캬</t>
  </si>
  <si>
    <t>캭</t>
  </si>
  <si>
    <t>컁</t>
  </si>
  <si>
    <t>커</t>
  </si>
  <si>
    <t>揪</t>
  </si>
  <si>
    <t>焊</t>
  </si>
  <si>
    <t>卤</t>
  </si>
  <si>
    <t>磊</t>
  </si>
  <si>
    <t>橙</t>
  </si>
  <si>
    <t>屹</t>
  </si>
  <si>
    <t>岔</t>
  </si>
  <si>
    <t>俘</t>
  </si>
  <si>
    <t>隘</t>
  </si>
  <si>
    <t>阎</t>
  </si>
  <si>
    <t>睬</t>
  </si>
  <si>
    <t>掐</t>
  </si>
  <si>
    <t>灸</t>
  </si>
  <si>
    <t>瞅</t>
  </si>
  <si>
    <t>叼</t>
  </si>
  <si>
    <t>捂</t>
  </si>
  <si>
    <t>滷</t>
  </si>
  <si>
    <t>閻</t>
  </si>
  <si>
    <t>컥</t>
  </si>
  <si>
    <t>컨</t>
  </si>
  <si>
    <t>컫</t>
  </si>
  <si>
    <t>컬</t>
  </si>
  <si>
    <t>컴</t>
  </si>
  <si>
    <t>컵</t>
  </si>
  <si>
    <t>컷</t>
  </si>
  <si>
    <t>컸</t>
  </si>
  <si>
    <t>컹</t>
  </si>
  <si>
    <t>케</t>
  </si>
  <si>
    <t>켁</t>
  </si>
  <si>
    <t>켄</t>
  </si>
  <si>
    <t>켈</t>
  </si>
  <si>
    <t>켐</t>
  </si>
  <si>
    <t>켑</t>
  </si>
  <si>
    <t>켓</t>
  </si>
  <si>
    <t>捍</t>
  </si>
  <si>
    <t>沏</t>
  </si>
  <si>
    <t>倔</t>
  </si>
  <si>
    <t>掰</t>
  </si>
  <si>
    <t>汛</t>
  </si>
  <si>
    <t>拽</t>
  </si>
  <si>
    <t>洲</t>
  </si>
  <si>
    <t>宋</t>
  </si>
  <si>
    <t>伯</t>
  </si>
  <si>
    <t>莲</t>
  </si>
  <si>
    <t>伊</t>
  </si>
  <si>
    <t>柔</t>
  </si>
  <si>
    <t>莫</t>
  </si>
  <si>
    <t>郑</t>
  </si>
  <si>
    <t>瑞</t>
  </si>
  <si>
    <t>荒</t>
  </si>
  <si>
    <t>蓮</t>
  </si>
  <si>
    <t>鄭</t>
  </si>
  <si>
    <t>켕</t>
  </si>
  <si>
    <t>켜</t>
  </si>
  <si>
    <t>켠</t>
  </si>
  <si>
    <t>켤</t>
  </si>
  <si>
    <t>켬</t>
  </si>
  <si>
    <t>켭</t>
  </si>
  <si>
    <t>켯</t>
  </si>
  <si>
    <t>켰</t>
  </si>
  <si>
    <t>켱</t>
  </si>
  <si>
    <t>켸</t>
  </si>
  <si>
    <t>코</t>
  </si>
  <si>
    <t>콕</t>
  </si>
  <si>
    <t>콘</t>
  </si>
  <si>
    <t>콜</t>
  </si>
  <si>
    <t>콤</t>
  </si>
  <si>
    <t>콥</t>
  </si>
  <si>
    <t>岩</t>
  </si>
  <si>
    <t>杜</t>
  </si>
  <si>
    <t>峡</t>
  </si>
  <si>
    <t>悠</t>
  </si>
  <si>
    <t>婴</t>
  </si>
  <si>
    <t>君</t>
  </si>
  <si>
    <t>唐</t>
  </si>
  <si>
    <t>贞</t>
  </si>
  <si>
    <t>衰</t>
  </si>
  <si>
    <t>攀</t>
  </si>
  <si>
    <t>捷</t>
  </si>
  <si>
    <t>伏</t>
  </si>
  <si>
    <t>厢</t>
  </si>
  <si>
    <t>胀</t>
  </si>
  <si>
    <t>迪</t>
  </si>
  <si>
    <t>柏</t>
  </si>
  <si>
    <t>峽</t>
  </si>
  <si>
    <t>嬰</t>
  </si>
  <si>
    <t>貞</t>
  </si>
  <si>
    <t>廂</t>
  </si>
  <si>
    <t>脹</t>
  </si>
  <si>
    <t>콧</t>
  </si>
  <si>
    <t>콩</t>
  </si>
  <si>
    <t>콰</t>
  </si>
  <si>
    <t>콱</t>
  </si>
  <si>
    <t>콴</t>
  </si>
  <si>
    <t>콸</t>
  </si>
  <si>
    <t>쾀</t>
  </si>
  <si>
    <t>쾅</t>
  </si>
  <si>
    <t>쾌</t>
  </si>
  <si>
    <t>쾡</t>
  </si>
  <si>
    <t>쾨</t>
  </si>
  <si>
    <t>쾰</t>
  </si>
  <si>
    <t>쿄</t>
  </si>
  <si>
    <t>쿠</t>
  </si>
  <si>
    <t>쿡</t>
  </si>
  <si>
    <t>쿤</t>
  </si>
  <si>
    <t>朱</t>
  </si>
  <si>
    <t>溜</t>
  </si>
  <si>
    <t>阁</t>
  </si>
  <si>
    <t>枯</t>
  </si>
  <si>
    <t>脂</t>
  </si>
  <si>
    <t>茫</t>
  </si>
  <si>
    <t>勉</t>
  </si>
  <si>
    <t>拓</t>
  </si>
  <si>
    <t>漆</t>
  </si>
  <si>
    <t>肢</t>
  </si>
  <si>
    <t>芳</t>
  </si>
  <si>
    <t>噪</t>
  </si>
  <si>
    <t>翅</t>
  </si>
  <si>
    <t>浑</t>
  </si>
  <si>
    <t>妨</t>
  </si>
  <si>
    <t>掩</t>
  </si>
  <si>
    <t>閣</t>
  </si>
  <si>
    <t>渾</t>
  </si>
  <si>
    <t>卑</t>
  </si>
  <si>
    <t>侍</t>
  </si>
  <si>
    <t>罕</t>
  </si>
  <si>
    <t>酬</t>
  </si>
  <si>
    <t>缸</t>
  </si>
  <si>
    <t>涵</t>
  </si>
  <si>
    <t>玄</t>
  </si>
  <si>
    <t>抖</t>
  </si>
  <si>
    <t>狭</t>
  </si>
  <si>
    <t>轴</t>
  </si>
  <si>
    <t>烛</t>
  </si>
  <si>
    <t>喘</t>
  </si>
  <si>
    <t>昔</t>
  </si>
  <si>
    <t>呵</t>
  </si>
  <si>
    <t>卓</t>
  </si>
  <si>
    <t>庸</t>
  </si>
  <si>
    <t>狹</t>
  </si>
  <si>
    <t>軸</t>
  </si>
  <si>
    <t>燭</t>
  </si>
  <si>
    <t>쿨</t>
  </si>
  <si>
    <t>쿰</t>
  </si>
  <si>
    <t>쿱</t>
  </si>
  <si>
    <t>쿳</t>
  </si>
  <si>
    <t>쿵</t>
  </si>
  <si>
    <t>쿼</t>
  </si>
  <si>
    <t>퀀</t>
  </si>
  <si>
    <t>퀄</t>
  </si>
  <si>
    <t>퀑</t>
  </si>
  <si>
    <t>퀘</t>
  </si>
  <si>
    <t>퀭</t>
  </si>
  <si>
    <t>퀴</t>
  </si>
  <si>
    <t>퀵</t>
  </si>
  <si>
    <t>퀸</t>
  </si>
  <si>
    <t>퀼</t>
  </si>
  <si>
    <t>桶</t>
  </si>
  <si>
    <t>穴</t>
  </si>
  <si>
    <t>泊</t>
  </si>
  <si>
    <t>蓬</t>
  </si>
  <si>
    <t>侠</t>
  </si>
  <si>
    <t>燥</t>
  </si>
  <si>
    <t>肪</t>
  </si>
  <si>
    <t>篷</t>
  </si>
  <si>
    <t>仲</t>
  </si>
  <si>
    <t>俊</t>
  </si>
  <si>
    <t>惹</t>
  </si>
  <si>
    <t>垒</t>
  </si>
  <si>
    <t>挽</t>
  </si>
  <si>
    <t>爹</t>
  </si>
  <si>
    <t>栖</t>
  </si>
  <si>
    <t>膝</t>
  </si>
  <si>
    <t>俠</t>
  </si>
  <si>
    <t>壘</t>
  </si>
  <si>
    <t>棲</t>
  </si>
  <si>
    <t>큄</t>
  </si>
  <si>
    <t>큅</t>
  </si>
  <si>
    <t>큇</t>
  </si>
  <si>
    <t>큉</t>
  </si>
  <si>
    <t>큐</t>
  </si>
  <si>
    <t>큔</t>
  </si>
  <si>
    <t>큘</t>
  </si>
  <si>
    <t>큠</t>
  </si>
  <si>
    <t>크</t>
  </si>
  <si>
    <t>큭</t>
  </si>
  <si>
    <t>큰</t>
  </si>
  <si>
    <t>클</t>
  </si>
  <si>
    <t>큼</t>
  </si>
  <si>
    <t>큽</t>
  </si>
  <si>
    <t>킁</t>
  </si>
  <si>
    <t>沾</t>
  </si>
  <si>
    <t>凄</t>
  </si>
  <si>
    <t>伪</t>
  </si>
  <si>
    <t>歧</t>
  </si>
  <si>
    <t>藤</t>
  </si>
  <si>
    <t>仗</t>
  </si>
  <si>
    <t>役</t>
  </si>
  <si>
    <t>岳</t>
  </si>
  <si>
    <t>削</t>
  </si>
  <si>
    <t>僵</t>
  </si>
  <si>
    <t>剥</t>
  </si>
  <si>
    <t>笛</t>
  </si>
  <si>
    <t>杭</t>
  </si>
  <si>
    <t>雁</t>
  </si>
  <si>
    <t>辰</t>
  </si>
  <si>
    <t>茅</t>
  </si>
  <si>
    <t>淒</t>
  </si>
  <si>
    <t>偽</t>
  </si>
  <si>
    <t>剝</t>
  </si>
  <si>
    <t>키</t>
  </si>
  <si>
    <t>킥</t>
  </si>
  <si>
    <t>킨</t>
  </si>
  <si>
    <t>킬</t>
  </si>
  <si>
    <t>킴</t>
  </si>
  <si>
    <t>킵</t>
  </si>
  <si>
    <t>킷</t>
  </si>
  <si>
    <t>킹</t>
  </si>
  <si>
    <t>타</t>
  </si>
  <si>
    <t>탁</t>
  </si>
  <si>
    <t>탄</t>
  </si>
  <si>
    <t>탈</t>
  </si>
  <si>
    <t>탉</t>
  </si>
  <si>
    <t>탐</t>
  </si>
  <si>
    <t>탑</t>
  </si>
  <si>
    <t>탓</t>
  </si>
  <si>
    <t>舆</t>
  </si>
  <si>
    <t>拯</t>
  </si>
  <si>
    <t>屑</t>
  </si>
  <si>
    <t>浊</t>
  </si>
  <si>
    <t>拘</t>
  </si>
  <si>
    <t>觅</t>
  </si>
  <si>
    <t>歪</t>
  </si>
  <si>
    <t>峻</t>
  </si>
  <si>
    <t>挪</t>
  </si>
  <si>
    <t>浸</t>
  </si>
  <si>
    <t>渊</t>
  </si>
  <si>
    <t>盏</t>
  </si>
  <si>
    <t>灶</t>
  </si>
  <si>
    <t>卒</t>
  </si>
  <si>
    <t>汹</t>
  </si>
  <si>
    <t>呕</t>
  </si>
  <si>
    <t>輿</t>
  </si>
  <si>
    <t>濁</t>
  </si>
  <si>
    <t>覓</t>
  </si>
  <si>
    <t>淵</t>
  </si>
  <si>
    <t>盞</t>
  </si>
  <si>
    <t>洶</t>
  </si>
  <si>
    <t>嘔</t>
  </si>
  <si>
    <t>탔</t>
  </si>
  <si>
    <t>탕</t>
  </si>
  <si>
    <t>태</t>
  </si>
  <si>
    <t>택</t>
  </si>
  <si>
    <t>탠</t>
  </si>
  <si>
    <t>탤</t>
  </si>
  <si>
    <t>탬</t>
  </si>
  <si>
    <t>탭</t>
  </si>
  <si>
    <t>탯</t>
  </si>
  <si>
    <t>탰</t>
  </si>
  <si>
    <t>탱</t>
  </si>
  <si>
    <t>탸</t>
  </si>
  <si>
    <t>턍</t>
  </si>
  <si>
    <t>터</t>
  </si>
  <si>
    <t>턱</t>
  </si>
  <si>
    <t>턴</t>
  </si>
  <si>
    <t>渗</t>
  </si>
  <si>
    <t>杖</t>
  </si>
  <si>
    <t>醇</t>
  </si>
  <si>
    <t>梢</t>
  </si>
  <si>
    <t>伺</t>
  </si>
  <si>
    <t>秧</t>
  </si>
  <si>
    <t>淹</t>
  </si>
  <si>
    <t>熙</t>
  </si>
  <si>
    <t>灼</t>
  </si>
  <si>
    <t>冈</t>
  </si>
  <si>
    <t>肆</t>
  </si>
  <si>
    <t>沼</t>
  </si>
  <si>
    <t>荆</t>
  </si>
  <si>
    <t>溉</t>
  </si>
  <si>
    <t>姜</t>
  </si>
  <si>
    <t>皂</t>
  </si>
  <si>
    <t>滲</t>
  </si>
  <si>
    <t>岡</t>
  </si>
  <si>
    <t>荊</t>
  </si>
  <si>
    <t>薑</t>
  </si>
  <si>
    <t>털</t>
  </si>
  <si>
    <t>턺</t>
  </si>
  <si>
    <t>텀</t>
  </si>
  <si>
    <t>텁</t>
  </si>
  <si>
    <t>텃</t>
  </si>
  <si>
    <t>텄</t>
  </si>
  <si>
    <t>텅</t>
  </si>
  <si>
    <t>테</t>
  </si>
  <si>
    <t>텍</t>
  </si>
  <si>
    <t>텐</t>
  </si>
  <si>
    <t>텔</t>
  </si>
  <si>
    <t>템</t>
  </si>
  <si>
    <t>텝</t>
  </si>
  <si>
    <t>텟</t>
  </si>
  <si>
    <t>텡</t>
  </si>
  <si>
    <t>텨</t>
  </si>
  <si>
    <t>咐</t>
  </si>
  <si>
    <t>媚</t>
  </si>
  <si>
    <t>贾</t>
  </si>
  <si>
    <t>棍</t>
  </si>
  <si>
    <t>沮</t>
  </si>
  <si>
    <t>苛</t>
  </si>
  <si>
    <t>哨</t>
  </si>
  <si>
    <t>胳</t>
  </si>
  <si>
    <t>瞄</t>
  </si>
  <si>
    <t>枢</t>
  </si>
  <si>
    <t>屯</t>
  </si>
  <si>
    <t>歹</t>
  </si>
  <si>
    <t>妖</t>
  </si>
  <si>
    <t>沃</t>
  </si>
  <si>
    <t>柄</t>
  </si>
  <si>
    <t>烹</t>
  </si>
  <si>
    <t>賈</t>
  </si>
  <si>
    <t>樞</t>
  </si>
  <si>
    <t>텬</t>
  </si>
  <si>
    <t>텼</t>
  </si>
  <si>
    <t>톄</t>
  </si>
  <si>
    <t>톈</t>
  </si>
  <si>
    <t>토</t>
  </si>
  <si>
    <t>톡</t>
  </si>
  <si>
    <t>톤</t>
  </si>
  <si>
    <t>톨</t>
  </si>
  <si>
    <t>톰</t>
  </si>
  <si>
    <t>톱</t>
  </si>
  <si>
    <t>톳</t>
  </si>
  <si>
    <t>통</t>
  </si>
  <si>
    <t>톺</t>
  </si>
  <si>
    <t>톼</t>
  </si>
  <si>
    <t>퇀</t>
  </si>
  <si>
    <t>퇘</t>
  </si>
  <si>
    <t>隧</t>
  </si>
  <si>
    <t>粘</t>
  </si>
  <si>
    <t>挟</t>
  </si>
  <si>
    <t>俏</t>
  </si>
  <si>
    <t>侮</t>
  </si>
  <si>
    <t>亩</t>
  </si>
  <si>
    <t>秤</t>
  </si>
  <si>
    <t>酌</t>
  </si>
  <si>
    <t>佐</t>
  </si>
  <si>
    <t>弧</t>
  </si>
  <si>
    <t>兢</t>
  </si>
  <si>
    <t>酝</t>
  </si>
  <si>
    <t>趴</t>
  </si>
  <si>
    <t>搓</t>
  </si>
  <si>
    <t>峙</t>
  </si>
  <si>
    <t>逞</t>
  </si>
  <si>
    <t>挾</t>
  </si>
  <si>
    <t>畝</t>
  </si>
  <si>
    <t>醞</t>
  </si>
  <si>
    <t>퇴</t>
  </si>
  <si>
    <t>퇸</t>
  </si>
  <si>
    <t>툇</t>
  </si>
  <si>
    <t>툉</t>
  </si>
  <si>
    <t>툐</t>
  </si>
  <si>
    <t>투</t>
  </si>
  <si>
    <t>툭</t>
  </si>
  <si>
    <t>툰</t>
  </si>
  <si>
    <t>툴</t>
  </si>
  <si>
    <t>툼</t>
  </si>
  <si>
    <t>툽</t>
  </si>
  <si>
    <t>툿</t>
  </si>
  <si>
    <t>퉁</t>
  </si>
  <si>
    <t>퉈</t>
  </si>
  <si>
    <t>퉜</t>
  </si>
  <si>
    <t>炊</t>
  </si>
  <si>
    <t>戳</t>
  </si>
  <si>
    <t>匿</t>
  </si>
  <si>
    <t>揣</t>
  </si>
  <si>
    <t>慑</t>
  </si>
  <si>
    <t>霉</t>
  </si>
  <si>
    <t>吭</t>
  </si>
  <si>
    <t>侈</t>
  </si>
  <si>
    <t>囱</t>
  </si>
  <si>
    <t>狡</t>
  </si>
  <si>
    <t>沪</t>
  </si>
  <si>
    <t>扳</t>
  </si>
  <si>
    <t>阀</t>
  </si>
  <si>
    <t>抨</t>
  </si>
  <si>
    <t>酗</t>
  </si>
  <si>
    <t>乒</t>
  </si>
  <si>
    <t>懾</t>
  </si>
  <si>
    <t>囪</t>
  </si>
  <si>
    <t>滬</t>
  </si>
  <si>
    <t>閥</t>
  </si>
  <si>
    <t>퉤</t>
  </si>
  <si>
    <t>튀</t>
  </si>
  <si>
    <t>튁</t>
  </si>
  <si>
    <t>튄</t>
  </si>
  <si>
    <t>튈</t>
  </si>
  <si>
    <t>튐</t>
  </si>
  <si>
    <t>튑</t>
  </si>
  <si>
    <t>튕</t>
  </si>
  <si>
    <t>튜</t>
  </si>
  <si>
    <t>튠</t>
  </si>
  <si>
    <t>튤</t>
  </si>
  <si>
    <t>튬</t>
  </si>
  <si>
    <t>튱</t>
  </si>
  <si>
    <t>트</t>
  </si>
  <si>
    <t>특</t>
  </si>
  <si>
    <t>乓</t>
  </si>
  <si>
    <t>舶</t>
  </si>
  <si>
    <t>掺</t>
  </si>
  <si>
    <t>拄</t>
  </si>
  <si>
    <t>狈</t>
  </si>
  <si>
    <t>蘸</t>
  </si>
  <si>
    <t>哆</t>
  </si>
  <si>
    <t>猾</t>
  </si>
  <si>
    <t>沽</t>
  </si>
  <si>
    <t>捎</t>
  </si>
  <si>
    <t>臊</t>
  </si>
  <si>
    <t>遛</t>
  </si>
  <si>
    <t>捅</t>
  </si>
  <si>
    <t>弈</t>
  </si>
  <si>
    <t>抠</t>
  </si>
  <si>
    <t>挎</t>
  </si>
  <si>
    <t>摻</t>
  </si>
  <si>
    <t>狽</t>
  </si>
  <si>
    <t>摳</t>
  </si>
  <si>
    <t>튼</t>
  </si>
  <si>
    <t>튿</t>
  </si>
  <si>
    <t>틀</t>
  </si>
  <si>
    <t>틂</t>
  </si>
  <si>
    <t>틈</t>
  </si>
  <si>
    <t>틉</t>
  </si>
  <si>
    <t>틋</t>
  </si>
  <si>
    <t>틔</t>
  </si>
  <si>
    <t>틘</t>
  </si>
  <si>
    <t>틜</t>
  </si>
  <si>
    <t>틤</t>
  </si>
  <si>
    <t>틥</t>
  </si>
  <si>
    <t>티</t>
  </si>
  <si>
    <t>틱</t>
  </si>
  <si>
    <t>틴</t>
  </si>
  <si>
    <t>틸</t>
  </si>
  <si>
    <t>荧</t>
  </si>
  <si>
    <t>斯</t>
  </si>
  <si>
    <t>伦</t>
  </si>
  <si>
    <t>荷</t>
  </si>
  <si>
    <t>杨</t>
  </si>
  <si>
    <t>溪</t>
  </si>
  <si>
    <t>茂</t>
  </si>
  <si>
    <t>鲁</t>
  </si>
  <si>
    <t>陶</t>
  </si>
  <si>
    <t>棋</t>
  </si>
  <si>
    <t>姿</t>
  </si>
  <si>
    <t>勒</t>
  </si>
  <si>
    <t>遥</t>
  </si>
  <si>
    <t>俄</t>
  </si>
  <si>
    <t>桂</t>
  </si>
  <si>
    <t>笼</t>
  </si>
  <si>
    <t>熒</t>
  </si>
  <si>
    <t>倫</t>
  </si>
  <si>
    <t>楊</t>
  </si>
  <si>
    <t>魯</t>
  </si>
  <si>
    <t>遙</t>
  </si>
  <si>
    <t>籠</t>
  </si>
  <si>
    <t>팀</t>
  </si>
  <si>
    <t>팁</t>
  </si>
  <si>
    <t>팃</t>
  </si>
  <si>
    <t>팅</t>
  </si>
  <si>
    <t>파</t>
  </si>
  <si>
    <t>팍</t>
  </si>
  <si>
    <t>팎</t>
  </si>
  <si>
    <t>판</t>
  </si>
  <si>
    <t>팔</t>
  </si>
  <si>
    <t>팖</t>
  </si>
  <si>
    <t>팜</t>
  </si>
  <si>
    <t>팝</t>
  </si>
  <si>
    <t>팟</t>
  </si>
  <si>
    <t>팠</t>
  </si>
  <si>
    <t>팡</t>
  </si>
  <si>
    <t>팥</t>
  </si>
  <si>
    <t>丛</t>
  </si>
  <si>
    <t>黎</t>
  </si>
  <si>
    <t>腹</t>
  </si>
  <si>
    <t>燕</t>
  </si>
  <si>
    <t>叠</t>
  </si>
  <si>
    <t>惧</t>
  </si>
  <si>
    <t>渔</t>
  </si>
  <si>
    <t>贤</t>
  </si>
  <si>
    <t>勃</t>
  </si>
  <si>
    <t>牧</t>
  </si>
  <si>
    <t>劫</t>
  </si>
  <si>
    <t>翠</t>
  </si>
  <si>
    <t>蛙</t>
  </si>
  <si>
    <t>惑</t>
  </si>
  <si>
    <t>袭</t>
  </si>
  <si>
    <t>涌</t>
  </si>
  <si>
    <t>叢</t>
  </si>
  <si>
    <t>疊</t>
  </si>
  <si>
    <t>懼</t>
  </si>
  <si>
    <t>漁</t>
  </si>
  <si>
    <t>賢</t>
  </si>
  <si>
    <t>襲</t>
  </si>
  <si>
    <t>湧</t>
  </si>
  <si>
    <t>패</t>
  </si>
  <si>
    <t>팩</t>
  </si>
  <si>
    <t>팬</t>
  </si>
  <si>
    <t>팰</t>
  </si>
  <si>
    <t>팸</t>
  </si>
  <si>
    <t>팹</t>
  </si>
  <si>
    <t>팻</t>
  </si>
  <si>
    <t>팼</t>
  </si>
  <si>
    <t>팽</t>
  </si>
  <si>
    <t>퍄</t>
  </si>
  <si>
    <t>퍅</t>
  </si>
  <si>
    <t>퍼</t>
  </si>
  <si>
    <t>퍽</t>
  </si>
  <si>
    <t>펀</t>
  </si>
  <si>
    <t>펄</t>
  </si>
  <si>
    <t>펌</t>
  </si>
  <si>
    <t>钉</t>
  </si>
  <si>
    <t>驰</t>
  </si>
  <si>
    <t>膨</t>
  </si>
  <si>
    <t>茎</t>
  </si>
  <si>
    <t>皆</t>
  </si>
  <si>
    <t>袍</t>
  </si>
  <si>
    <t>朴</t>
  </si>
  <si>
    <t>敦</t>
  </si>
  <si>
    <t>筒</t>
  </si>
  <si>
    <t>罩</t>
  </si>
  <si>
    <t>蒸</t>
  </si>
  <si>
    <t>辨</t>
  </si>
  <si>
    <t>恒</t>
  </si>
  <si>
    <t>淘</t>
  </si>
  <si>
    <t>亭</t>
  </si>
  <si>
    <t>碟</t>
  </si>
  <si>
    <t>釘</t>
  </si>
  <si>
    <t>馳</t>
  </si>
  <si>
    <t>莖</t>
  </si>
  <si>
    <t>樸</t>
  </si>
  <si>
    <t>恆</t>
  </si>
  <si>
    <t>펍</t>
  </si>
  <si>
    <t>펏</t>
  </si>
  <si>
    <t>펐</t>
  </si>
  <si>
    <t>펑</t>
  </si>
  <si>
    <t>페</t>
  </si>
  <si>
    <t>펙</t>
  </si>
  <si>
    <t>펜</t>
  </si>
  <si>
    <t>펠</t>
  </si>
  <si>
    <t>펨</t>
  </si>
  <si>
    <t>펩</t>
  </si>
  <si>
    <t>펫</t>
  </si>
  <si>
    <t>펭</t>
  </si>
  <si>
    <t>펴</t>
  </si>
  <si>
    <t>편</t>
  </si>
  <si>
    <t>펼</t>
  </si>
  <si>
    <t>폄</t>
  </si>
  <si>
    <t>逆</t>
  </si>
  <si>
    <t>晃</t>
  </si>
  <si>
    <t>匙</t>
  </si>
  <si>
    <t>郭</t>
  </si>
  <si>
    <t>嫁</t>
  </si>
  <si>
    <t>敞</t>
  </si>
  <si>
    <t>弊</t>
  </si>
  <si>
    <t>屿</t>
  </si>
  <si>
    <t>弦</t>
  </si>
  <si>
    <t>捏</t>
  </si>
  <si>
    <t>嫩</t>
  </si>
  <si>
    <t>暮</t>
  </si>
  <si>
    <t>株</t>
  </si>
  <si>
    <t>贬</t>
  </si>
  <si>
    <t>牡</t>
  </si>
  <si>
    <t>脖</t>
  </si>
  <si>
    <t>嶼</t>
  </si>
  <si>
    <t>貶</t>
  </si>
  <si>
    <t>폅</t>
  </si>
  <si>
    <t>폈</t>
  </si>
  <si>
    <t>평</t>
  </si>
  <si>
    <t>폐</t>
  </si>
  <si>
    <t>폘</t>
  </si>
  <si>
    <t>폡</t>
  </si>
  <si>
    <t>폣</t>
  </si>
  <si>
    <t>포</t>
  </si>
  <si>
    <t>폭</t>
  </si>
  <si>
    <t>폰</t>
  </si>
  <si>
    <t>폴</t>
  </si>
  <si>
    <t>폼</t>
  </si>
  <si>
    <t>폽</t>
  </si>
  <si>
    <t>폿</t>
  </si>
  <si>
    <t>퐁</t>
  </si>
  <si>
    <t>萧</t>
  </si>
  <si>
    <t>乖</t>
  </si>
  <si>
    <t>瓷</t>
  </si>
  <si>
    <t>遮</t>
  </si>
  <si>
    <t>抛</t>
  </si>
  <si>
    <t>喇</t>
  </si>
  <si>
    <t>愚</t>
  </si>
  <si>
    <t>猩</t>
  </si>
  <si>
    <t>讶</t>
  </si>
  <si>
    <t>倘</t>
  </si>
  <si>
    <t>掀</t>
  </si>
  <si>
    <t>枕</t>
  </si>
  <si>
    <t>刹</t>
  </si>
  <si>
    <t>荐</t>
  </si>
  <si>
    <t>辱</t>
  </si>
  <si>
    <t>僧</t>
  </si>
  <si>
    <t>蕭</t>
  </si>
  <si>
    <t>拋</t>
  </si>
  <si>
    <t>訝</t>
  </si>
  <si>
    <t>剎</t>
  </si>
  <si>
    <t>薦</t>
  </si>
  <si>
    <t>퐈</t>
  </si>
  <si>
    <t>퐝</t>
  </si>
  <si>
    <t>푀</t>
  </si>
  <si>
    <t>푄</t>
  </si>
  <si>
    <t>표</t>
  </si>
  <si>
    <t>푠</t>
  </si>
  <si>
    <t>푤</t>
  </si>
  <si>
    <t>푭</t>
  </si>
  <si>
    <t>푯</t>
  </si>
  <si>
    <t>푸</t>
  </si>
  <si>
    <t>푹</t>
  </si>
  <si>
    <t>푼</t>
  </si>
  <si>
    <t>푿</t>
  </si>
  <si>
    <t>풀</t>
  </si>
  <si>
    <t>풂</t>
  </si>
  <si>
    <t>沸</t>
  </si>
  <si>
    <t>潭</t>
  </si>
  <si>
    <t>哦</t>
  </si>
  <si>
    <t>耸</t>
  </si>
  <si>
    <t>虐</t>
  </si>
  <si>
    <t>狼</t>
  </si>
  <si>
    <t>凑</t>
  </si>
  <si>
    <t>菩</t>
  </si>
  <si>
    <t>募</t>
  </si>
  <si>
    <t>仆</t>
  </si>
  <si>
    <t>铝</t>
  </si>
  <si>
    <t>陋</t>
  </si>
  <si>
    <t>衷</t>
  </si>
  <si>
    <t>侦</t>
  </si>
  <si>
    <t>沛</t>
  </si>
  <si>
    <t>剖</t>
  </si>
  <si>
    <t>聳</t>
  </si>
  <si>
    <t>湊</t>
  </si>
  <si>
    <t>僕</t>
  </si>
  <si>
    <t>鋁</t>
  </si>
  <si>
    <t>偵</t>
  </si>
  <si>
    <t>품</t>
  </si>
  <si>
    <t>풉</t>
  </si>
  <si>
    <t>풋</t>
  </si>
  <si>
    <t>풍</t>
  </si>
  <si>
    <t>풔</t>
  </si>
  <si>
    <t>풩</t>
  </si>
  <si>
    <t>퓌</t>
  </si>
  <si>
    <t>퓐</t>
  </si>
  <si>
    <t>퓔</t>
  </si>
  <si>
    <t>퓜</t>
  </si>
  <si>
    <t>퓟</t>
  </si>
  <si>
    <t>퓨</t>
  </si>
  <si>
    <t>퓬</t>
  </si>
  <si>
    <t>퓰</t>
  </si>
  <si>
    <t>퓸</t>
  </si>
  <si>
    <t>퓻</t>
  </si>
  <si>
    <t>秩</t>
  </si>
  <si>
    <t>衔</t>
  </si>
  <si>
    <t>畔</t>
  </si>
  <si>
    <t>媳</t>
  </si>
  <si>
    <t>赐</t>
  </si>
  <si>
    <t>躬</t>
  </si>
  <si>
    <t>袱</t>
  </si>
  <si>
    <t>畜</t>
  </si>
  <si>
    <t>辐</t>
  </si>
  <si>
    <t>搁</t>
  </si>
  <si>
    <t>拢</t>
  </si>
  <si>
    <t>躁</t>
  </si>
  <si>
    <t>浦</t>
  </si>
  <si>
    <t>庞</t>
  </si>
  <si>
    <t>拌</t>
  </si>
  <si>
    <t>熄</t>
  </si>
  <si>
    <t>銜</t>
  </si>
  <si>
    <t>賜</t>
  </si>
  <si>
    <t>輻</t>
  </si>
  <si>
    <t>擱</t>
  </si>
  <si>
    <t>攏</t>
  </si>
  <si>
    <t>龐</t>
  </si>
  <si>
    <t>蔓</t>
  </si>
  <si>
    <t>棘</t>
  </si>
  <si>
    <t>蹦</t>
  </si>
  <si>
    <t>佣</t>
  </si>
  <si>
    <t>粹</t>
  </si>
  <si>
    <t>蔽</t>
  </si>
  <si>
    <t>啸</t>
  </si>
  <si>
    <t>驳</t>
  </si>
  <si>
    <t>咙</t>
  </si>
  <si>
    <t>砌</t>
  </si>
  <si>
    <t>哺</t>
  </si>
  <si>
    <t>虔</t>
  </si>
  <si>
    <t>凰</t>
  </si>
  <si>
    <t>唠</t>
  </si>
  <si>
    <t>捞</t>
  </si>
  <si>
    <t>聋</t>
  </si>
  <si>
    <t>傭</t>
  </si>
  <si>
    <t>嘯</t>
  </si>
  <si>
    <t>駁</t>
  </si>
  <si>
    <t>嚨</t>
  </si>
  <si>
    <t>嘮</t>
  </si>
  <si>
    <t>撈</t>
  </si>
  <si>
    <t>聾</t>
  </si>
  <si>
    <t>퓽</t>
  </si>
  <si>
    <t>프</t>
  </si>
  <si>
    <t>픈</t>
  </si>
  <si>
    <t>플</t>
  </si>
  <si>
    <t>픔</t>
  </si>
  <si>
    <t>픕</t>
  </si>
  <si>
    <t>픗</t>
  </si>
  <si>
    <t>피</t>
  </si>
  <si>
    <t>픽</t>
  </si>
  <si>
    <t>핀</t>
  </si>
  <si>
    <t>필</t>
  </si>
  <si>
    <t>핌</t>
  </si>
  <si>
    <t>핍</t>
  </si>
  <si>
    <t>핏</t>
  </si>
  <si>
    <t>핑</t>
  </si>
  <si>
    <t>하</t>
  </si>
  <si>
    <t>怡</t>
  </si>
  <si>
    <t>孵</t>
  </si>
  <si>
    <t>胧</t>
  </si>
  <si>
    <t>耽</t>
  </si>
  <si>
    <t>兜</t>
  </si>
  <si>
    <t>揉</t>
  </si>
  <si>
    <t>裔</t>
  </si>
  <si>
    <t>骇</t>
  </si>
  <si>
    <t>惕</t>
  </si>
  <si>
    <t>藻</t>
  </si>
  <si>
    <t>萍</t>
  </si>
  <si>
    <t>撇</t>
  </si>
  <si>
    <t>爵</t>
  </si>
  <si>
    <t>兑</t>
  </si>
  <si>
    <t>炫</t>
  </si>
  <si>
    <t>娥</t>
  </si>
  <si>
    <t>朧</t>
  </si>
  <si>
    <t>駭</t>
  </si>
  <si>
    <t>兌</t>
  </si>
  <si>
    <t>학</t>
  </si>
  <si>
    <t>한</t>
  </si>
  <si>
    <t>할</t>
  </si>
  <si>
    <t>핥</t>
  </si>
  <si>
    <t>함</t>
  </si>
  <si>
    <t>합</t>
  </si>
  <si>
    <t>핫</t>
  </si>
  <si>
    <t>항</t>
  </si>
  <si>
    <t>해</t>
  </si>
  <si>
    <t>핵</t>
  </si>
  <si>
    <t>핸</t>
  </si>
  <si>
    <t>핼</t>
  </si>
  <si>
    <t>햄</t>
  </si>
  <si>
    <t>햅</t>
  </si>
  <si>
    <t>햇</t>
  </si>
  <si>
    <t>했</t>
  </si>
  <si>
    <t>婿</t>
  </si>
  <si>
    <t>枣</t>
  </si>
  <si>
    <t>潘</t>
  </si>
  <si>
    <t>莽</t>
  </si>
  <si>
    <t>惭</t>
  </si>
  <si>
    <t>嬉</t>
  </si>
  <si>
    <t>鄙</t>
  </si>
  <si>
    <t>卦</t>
  </si>
  <si>
    <t>髦</t>
  </si>
  <si>
    <t>菇</t>
  </si>
  <si>
    <t>遏</t>
  </si>
  <si>
    <t>礁</t>
  </si>
  <si>
    <t>腥</t>
  </si>
  <si>
    <t>驯</t>
  </si>
  <si>
    <t>冯</t>
  </si>
  <si>
    <t>赎</t>
  </si>
  <si>
    <t>棗</t>
  </si>
  <si>
    <t>慚</t>
  </si>
  <si>
    <t>馴</t>
  </si>
  <si>
    <t>馮</t>
  </si>
  <si>
    <t>贖</t>
  </si>
  <si>
    <t>행</t>
  </si>
  <si>
    <t>햐</t>
  </si>
  <si>
    <t>향</t>
  </si>
  <si>
    <t>허</t>
  </si>
  <si>
    <t>헉</t>
  </si>
  <si>
    <t>헌</t>
  </si>
  <si>
    <t>헐</t>
  </si>
  <si>
    <t>헒</t>
  </si>
  <si>
    <t>험</t>
  </si>
  <si>
    <t>헙</t>
  </si>
  <si>
    <t>헛</t>
  </si>
  <si>
    <t>헝</t>
  </si>
  <si>
    <t>헤</t>
  </si>
  <si>
    <t>헥</t>
  </si>
  <si>
    <t>헨</t>
  </si>
  <si>
    <t>헬</t>
  </si>
  <si>
    <t>迭</t>
  </si>
  <si>
    <t>驭</t>
  </si>
  <si>
    <t>恤</t>
  </si>
  <si>
    <t>舵</t>
  </si>
  <si>
    <t>诈</t>
  </si>
  <si>
    <t>拎</t>
  </si>
  <si>
    <t>淆</t>
  </si>
  <si>
    <t>杠</t>
  </si>
  <si>
    <t>揍</t>
  </si>
  <si>
    <t>靶</t>
  </si>
  <si>
    <t>稼</t>
  </si>
  <si>
    <t>淌</t>
  </si>
  <si>
    <t>矢</t>
  </si>
  <si>
    <t>钙</t>
  </si>
  <si>
    <t>赁</t>
  </si>
  <si>
    <t>涤</t>
  </si>
  <si>
    <t>馭</t>
  </si>
  <si>
    <t>詐</t>
  </si>
  <si>
    <t>槓</t>
  </si>
  <si>
    <t>鈣</t>
  </si>
  <si>
    <t>賃</t>
  </si>
  <si>
    <t>滌</t>
  </si>
  <si>
    <t>헴</t>
  </si>
  <si>
    <t>헵</t>
  </si>
  <si>
    <t>헷</t>
  </si>
  <si>
    <t>헹</t>
  </si>
  <si>
    <t>혀</t>
  </si>
  <si>
    <t>혁</t>
  </si>
  <si>
    <t>현</t>
  </si>
  <si>
    <t>혈</t>
  </si>
  <si>
    <t>혐</t>
  </si>
  <si>
    <t>협</t>
  </si>
  <si>
    <t>혓</t>
  </si>
  <si>
    <t>혔</t>
  </si>
  <si>
    <t>형</t>
  </si>
  <si>
    <t>혜</t>
  </si>
  <si>
    <t>혠</t>
  </si>
  <si>
    <t>闺</t>
  </si>
  <si>
    <t>氓</t>
  </si>
  <si>
    <t>桨</t>
  </si>
  <si>
    <t>柬</t>
  </si>
  <si>
    <t>盹</t>
  </si>
  <si>
    <t>竣</t>
  </si>
  <si>
    <t>憋</t>
  </si>
  <si>
    <t>抡</t>
  </si>
  <si>
    <t>驮</t>
  </si>
  <si>
    <t>诽</t>
  </si>
  <si>
    <t>刨</t>
  </si>
  <si>
    <t>蹬</t>
  </si>
  <si>
    <t>涝</t>
  </si>
  <si>
    <t>煲</t>
  </si>
  <si>
    <t>唇</t>
  </si>
  <si>
    <t>欧</t>
  </si>
  <si>
    <t>閨</t>
  </si>
  <si>
    <t>槳</t>
  </si>
  <si>
    <t>掄</t>
  </si>
  <si>
    <t>馱</t>
  </si>
  <si>
    <t>誹</t>
  </si>
  <si>
    <t>澇</t>
  </si>
  <si>
    <t>歐</t>
  </si>
  <si>
    <t>혤</t>
  </si>
  <si>
    <t>혭</t>
  </si>
  <si>
    <t>호</t>
  </si>
  <si>
    <t>혹</t>
  </si>
  <si>
    <t>혼</t>
  </si>
  <si>
    <t>홀</t>
  </si>
  <si>
    <t>홅</t>
  </si>
  <si>
    <t>홈</t>
  </si>
  <si>
    <t>홉</t>
  </si>
  <si>
    <t>홋</t>
  </si>
  <si>
    <t>홍</t>
  </si>
  <si>
    <t>홑</t>
  </si>
  <si>
    <t>화</t>
  </si>
  <si>
    <t>확</t>
  </si>
  <si>
    <t>환</t>
  </si>
  <si>
    <t>隆</t>
  </si>
  <si>
    <t>丝</t>
  </si>
  <si>
    <t>奥</t>
  </si>
  <si>
    <t>迹</t>
  </si>
  <si>
    <t>滋</t>
  </si>
  <si>
    <t>宙</t>
  </si>
  <si>
    <t>覆</t>
  </si>
  <si>
    <t>恼</t>
  </si>
  <si>
    <t>慈</t>
  </si>
  <si>
    <t>齿</t>
  </si>
  <si>
    <t>稀</t>
  </si>
  <si>
    <t>垂</t>
  </si>
  <si>
    <t>痕</t>
  </si>
  <si>
    <t>雾</t>
  </si>
  <si>
    <t>帐</t>
  </si>
  <si>
    <t>猎</t>
  </si>
  <si>
    <t>絲</t>
  </si>
  <si>
    <t>奧</t>
  </si>
  <si>
    <t>跡</t>
  </si>
  <si>
    <t>惱</t>
  </si>
  <si>
    <t>齒</t>
  </si>
  <si>
    <t>霧</t>
  </si>
  <si>
    <t>帳</t>
  </si>
  <si>
    <t>獵</t>
  </si>
  <si>
    <t>활</t>
  </si>
  <si>
    <t>홧</t>
  </si>
  <si>
    <t>황</t>
  </si>
  <si>
    <t>홰</t>
  </si>
  <si>
    <t>홱</t>
  </si>
  <si>
    <t>홴</t>
  </si>
  <si>
    <t>횃</t>
  </si>
  <si>
    <t>횅</t>
  </si>
  <si>
    <t>회</t>
  </si>
  <si>
    <t>획</t>
  </si>
  <si>
    <t>횐</t>
  </si>
  <si>
    <t>횔</t>
  </si>
  <si>
    <t>횝</t>
  </si>
  <si>
    <t>횟</t>
  </si>
  <si>
    <t>횡</t>
  </si>
  <si>
    <t>효</t>
  </si>
  <si>
    <t>腾</t>
  </si>
  <si>
    <t>割</t>
  </si>
  <si>
    <t>雀</t>
  </si>
  <si>
    <t>撒</t>
  </si>
  <si>
    <t>腊</t>
  </si>
  <si>
    <t>涯</t>
  </si>
  <si>
    <t>祸</t>
  </si>
  <si>
    <t>迈</t>
  </si>
  <si>
    <t>陌</t>
  </si>
  <si>
    <t>孝</t>
  </si>
  <si>
    <t>宪</t>
  </si>
  <si>
    <t>贩</t>
  </si>
  <si>
    <t>鹿</t>
  </si>
  <si>
    <t>蜜</t>
  </si>
  <si>
    <t>佩</t>
  </si>
  <si>
    <t>摊</t>
  </si>
  <si>
    <t>騰</t>
  </si>
  <si>
    <t>臘</t>
  </si>
  <si>
    <t>禍</t>
  </si>
  <si>
    <t>邁</t>
  </si>
  <si>
    <t>憲</t>
  </si>
  <si>
    <t>販</t>
  </si>
  <si>
    <t>攤</t>
  </si>
  <si>
    <t>횬</t>
  </si>
  <si>
    <t>횰</t>
  </si>
  <si>
    <t>횹</t>
  </si>
  <si>
    <t>횻</t>
  </si>
  <si>
    <t>후</t>
  </si>
  <si>
    <t>훅</t>
  </si>
  <si>
    <t>훈</t>
  </si>
  <si>
    <t>훌</t>
  </si>
  <si>
    <t>훑</t>
  </si>
  <si>
    <t>훔</t>
  </si>
  <si>
    <t>훗</t>
  </si>
  <si>
    <t>훙</t>
  </si>
  <si>
    <t>훠</t>
  </si>
  <si>
    <t>훤</t>
  </si>
  <si>
    <t>훨</t>
  </si>
  <si>
    <t>훰</t>
  </si>
  <si>
    <t>荡</t>
  </si>
  <si>
    <t>蓄</t>
  </si>
  <si>
    <t>诱</t>
  </si>
  <si>
    <t>黏</t>
  </si>
  <si>
    <t>灌</t>
  </si>
  <si>
    <t>坑</t>
  </si>
  <si>
    <t>霸</t>
  </si>
  <si>
    <t>俯</t>
  </si>
  <si>
    <t>毅</t>
  </si>
  <si>
    <t>唤</t>
  </si>
  <si>
    <t>滩</t>
  </si>
  <si>
    <t>瑰</t>
  </si>
  <si>
    <t>挫</t>
  </si>
  <si>
    <t>羡</t>
  </si>
  <si>
    <t>携</t>
  </si>
  <si>
    <t>霞</t>
  </si>
  <si>
    <t>盪</t>
  </si>
  <si>
    <t>誘</t>
  </si>
  <si>
    <t>喚</t>
  </si>
  <si>
    <t>灘</t>
  </si>
  <si>
    <t>羨</t>
  </si>
  <si>
    <t>攜</t>
  </si>
  <si>
    <t>훵</t>
  </si>
  <si>
    <t>훼</t>
  </si>
  <si>
    <t>훽</t>
  </si>
  <si>
    <t>휀</t>
  </si>
  <si>
    <t>휄</t>
  </si>
  <si>
    <t>휑</t>
  </si>
  <si>
    <t>휘</t>
  </si>
  <si>
    <t>휙</t>
  </si>
  <si>
    <t>휜</t>
  </si>
  <si>
    <t>휠</t>
  </si>
  <si>
    <t>휨</t>
  </si>
  <si>
    <t>휩</t>
  </si>
  <si>
    <t>휫</t>
  </si>
  <si>
    <t>휭</t>
  </si>
  <si>
    <t>휴</t>
  </si>
  <si>
    <t>휵</t>
  </si>
  <si>
    <t>碳</t>
  </si>
  <si>
    <t>顷</t>
  </si>
  <si>
    <t>涡</t>
  </si>
  <si>
    <t>尸</t>
  </si>
  <si>
    <t>窄</t>
  </si>
  <si>
    <t>慨</t>
  </si>
  <si>
    <t>腺</t>
  </si>
  <si>
    <t>碌</t>
  </si>
  <si>
    <t>彰</t>
  </si>
  <si>
    <t>怖</t>
  </si>
  <si>
    <t>禅</t>
  </si>
  <si>
    <t>崖</t>
  </si>
  <si>
    <t>虾</t>
  </si>
  <si>
    <t>谱</t>
  </si>
  <si>
    <t>疆</t>
  </si>
  <si>
    <t>帕</t>
  </si>
  <si>
    <t>頃</t>
  </si>
  <si>
    <t>渦</t>
  </si>
  <si>
    <t>屍</t>
  </si>
  <si>
    <t>禪</t>
  </si>
  <si>
    <t>蝦</t>
  </si>
  <si>
    <t>譜</t>
  </si>
  <si>
    <t>휸</t>
  </si>
  <si>
    <t>휼</t>
  </si>
  <si>
    <t>흄</t>
  </si>
  <si>
    <t>흇</t>
  </si>
  <si>
    <t>흉</t>
  </si>
  <si>
    <t>흐</t>
  </si>
  <si>
    <t>흑</t>
  </si>
  <si>
    <t>흔</t>
  </si>
  <si>
    <t>흖</t>
  </si>
  <si>
    <t>흗</t>
  </si>
  <si>
    <t>흘</t>
  </si>
  <si>
    <t>흙</t>
  </si>
  <si>
    <t>흠</t>
  </si>
  <si>
    <t>흡</t>
  </si>
  <si>
    <t>흣</t>
  </si>
  <si>
    <t>흥</t>
  </si>
  <si>
    <t>滥</t>
  </si>
  <si>
    <t>赴</t>
  </si>
  <si>
    <t>辜</t>
  </si>
  <si>
    <t>贼</t>
  </si>
  <si>
    <t>倚</t>
  </si>
  <si>
    <t>堤</t>
  </si>
  <si>
    <t>誓</t>
  </si>
  <si>
    <t>谜</t>
  </si>
  <si>
    <t>灿</t>
  </si>
  <si>
    <t>坠</t>
  </si>
  <si>
    <t>劣</t>
  </si>
  <si>
    <t>瞩</t>
  </si>
  <si>
    <t>宵</t>
  </si>
  <si>
    <t>浆</t>
  </si>
  <si>
    <t>矣</t>
  </si>
  <si>
    <t>烫</t>
  </si>
  <si>
    <t>濫</t>
  </si>
  <si>
    <t>賊</t>
  </si>
  <si>
    <t>謎</t>
  </si>
  <si>
    <t>燦</t>
  </si>
  <si>
    <t>墜</t>
  </si>
  <si>
    <t>矚</t>
  </si>
  <si>
    <t>漿</t>
  </si>
  <si>
    <t>燙</t>
  </si>
  <si>
    <t>흩</t>
  </si>
  <si>
    <t>희</t>
  </si>
  <si>
    <t>흰</t>
  </si>
  <si>
    <t>흴</t>
  </si>
  <si>
    <t>흼</t>
  </si>
  <si>
    <t>흽</t>
  </si>
  <si>
    <t>힁</t>
  </si>
  <si>
    <t>히</t>
  </si>
  <si>
    <t>힉</t>
  </si>
  <si>
    <t>힌</t>
  </si>
  <si>
    <t>힐</t>
  </si>
  <si>
    <t>힘</t>
  </si>
  <si>
    <t>힙</t>
  </si>
  <si>
    <t>힛</t>
  </si>
  <si>
    <t>힝</t>
  </si>
  <si>
    <t>煌</t>
  </si>
  <si>
    <t>惩</t>
  </si>
  <si>
    <t>拱</t>
  </si>
  <si>
    <t>搏</t>
  </si>
  <si>
    <t>蜡</t>
  </si>
  <si>
    <t>陡</t>
  </si>
  <si>
    <t>嚷</t>
  </si>
  <si>
    <t>恳</t>
  </si>
  <si>
    <t>嚼</t>
  </si>
  <si>
    <t>梳</t>
  </si>
  <si>
    <t>酿</t>
  </si>
  <si>
    <t>嘲</t>
  </si>
  <si>
    <t>豹</t>
  </si>
  <si>
    <t>逸</t>
  </si>
  <si>
    <t>矩</t>
  </si>
  <si>
    <t>溯</t>
  </si>
  <si>
    <t>懲</t>
  </si>
  <si>
    <t>蠟</t>
  </si>
  <si>
    <t>懇</t>
  </si>
  <si>
    <t>釀</t>
  </si>
  <si>
    <t>腻</t>
  </si>
  <si>
    <t>焕</t>
  </si>
  <si>
    <t>坪</t>
  </si>
  <si>
    <t>冤</t>
  </si>
  <si>
    <t>拣</t>
  </si>
  <si>
    <t>橡</t>
  </si>
  <si>
    <t>潇</t>
  </si>
  <si>
    <t>贿</t>
  </si>
  <si>
    <t>锡</t>
  </si>
  <si>
    <t>帆</t>
  </si>
  <si>
    <t>膏</t>
  </si>
  <si>
    <t>履</t>
  </si>
  <si>
    <t>贱</t>
  </si>
  <si>
    <t>竭</t>
  </si>
  <si>
    <t>洽</t>
  </si>
  <si>
    <t>蒜</t>
  </si>
  <si>
    <t>膩</t>
  </si>
  <si>
    <t>煥</t>
  </si>
  <si>
    <t>揀</t>
  </si>
  <si>
    <t>瀟</t>
  </si>
  <si>
    <t>賄</t>
  </si>
  <si>
    <t>錫</t>
  </si>
  <si>
    <t>賤</t>
  </si>
  <si>
    <t>浇</t>
  </si>
  <si>
    <t>涕</t>
  </si>
  <si>
    <t>烘</t>
  </si>
  <si>
    <t>熬</t>
  </si>
  <si>
    <t>瞎</t>
  </si>
  <si>
    <t>翘</t>
  </si>
  <si>
    <t>陨</t>
  </si>
  <si>
    <t>槐</t>
  </si>
  <si>
    <t>砍</t>
  </si>
  <si>
    <t>撕</t>
  </si>
  <si>
    <t>朦</t>
  </si>
  <si>
    <t>嵌</t>
  </si>
  <si>
    <t>滞</t>
  </si>
  <si>
    <t>塌</t>
  </si>
  <si>
    <t>嫂</t>
  </si>
  <si>
    <t>葱</t>
  </si>
  <si>
    <t>澆</t>
  </si>
  <si>
    <t>翹</t>
  </si>
  <si>
    <t>隕</t>
  </si>
  <si>
    <t>滯</t>
  </si>
  <si>
    <t>蔥</t>
  </si>
  <si>
    <t>寥</t>
  </si>
  <si>
    <t>嘱</t>
  </si>
  <si>
    <t>廓</t>
  </si>
  <si>
    <t>飙</t>
  </si>
  <si>
    <t>畸</t>
  </si>
  <si>
    <t>嗅</t>
  </si>
  <si>
    <t>哄</t>
  </si>
  <si>
    <t>呜</t>
  </si>
  <si>
    <t>莹</t>
  </si>
  <si>
    <t>棺</t>
  </si>
  <si>
    <t>辙</t>
  </si>
  <si>
    <t>靴</t>
  </si>
  <si>
    <t>膊</t>
  </si>
  <si>
    <t>鞠</t>
  </si>
  <si>
    <t>勋</t>
  </si>
  <si>
    <t>寨</t>
  </si>
  <si>
    <t>囑</t>
  </si>
  <si>
    <t>飆</t>
  </si>
  <si>
    <t>嗚</t>
  </si>
  <si>
    <t>瑩</t>
  </si>
  <si>
    <t>轍</t>
  </si>
  <si>
    <t>勛</t>
  </si>
  <si>
    <t>帖</t>
  </si>
  <si>
    <t>楷</t>
  </si>
  <si>
    <t>漾</t>
  </si>
  <si>
    <t>瞒</t>
  </si>
  <si>
    <t>槛</t>
  </si>
  <si>
    <t>艘</t>
  </si>
  <si>
    <t>辖</t>
  </si>
  <si>
    <t>阐</t>
  </si>
  <si>
    <t>粤</t>
  </si>
  <si>
    <t>挠</t>
  </si>
  <si>
    <t>渣</t>
  </si>
  <si>
    <t>讼</t>
  </si>
  <si>
    <t>磋</t>
  </si>
  <si>
    <t>垮</t>
  </si>
  <si>
    <t>钧</t>
  </si>
  <si>
    <t>攘</t>
  </si>
  <si>
    <t>瞞</t>
  </si>
  <si>
    <t>檻</t>
  </si>
  <si>
    <t>轄</t>
  </si>
  <si>
    <t>闡</t>
  </si>
  <si>
    <t>粵</t>
  </si>
  <si>
    <t>撓</t>
  </si>
  <si>
    <t>訟</t>
  </si>
  <si>
    <t>鈞</t>
  </si>
  <si>
    <t>剃</t>
  </si>
  <si>
    <t>赂</t>
  </si>
  <si>
    <t>鳄</t>
  </si>
  <si>
    <t>虏</t>
  </si>
  <si>
    <t>钳</t>
  </si>
  <si>
    <t>谍</t>
  </si>
  <si>
    <t>咧</t>
  </si>
  <si>
    <t>殴</t>
  </si>
  <si>
    <t>炖</t>
  </si>
  <si>
    <t>唬</t>
  </si>
  <si>
    <t>痰</t>
  </si>
  <si>
    <t>跤</t>
  </si>
  <si>
    <t>膳</t>
  </si>
  <si>
    <t>踹</t>
  </si>
  <si>
    <t>讹</t>
  </si>
  <si>
    <t>涮</t>
  </si>
  <si>
    <t>賂</t>
  </si>
  <si>
    <t>鱷</t>
  </si>
  <si>
    <t>虜</t>
  </si>
  <si>
    <t>鉗</t>
  </si>
  <si>
    <t>諜</t>
  </si>
  <si>
    <t>毆</t>
  </si>
  <si>
    <t>燉</t>
  </si>
  <si>
    <t>訛</t>
  </si>
  <si>
    <t>兰</t>
  </si>
  <si>
    <t>擎</t>
  </si>
  <si>
    <t>刘</t>
  </si>
  <si>
    <t>贪</t>
  </si>
  <si>
    <t>署</t>
  </si>
  <si>
    <t>澳</t>
  </si>
  <si>
    <t>驱</t>
  </si>
  <si>
    <t>悦</t>
  </si>
  <si>
    <t>苍</t>
  </si>
  <si>
    <t>魂</t>
  </si>
  <si>
    <t>雕</t>
  </si>
  <si>
    <t>腔</t>
  </si>
  <si>
    <t>纽</t>
  </si>
  <si>
    <t>堡</t>
  </si>
  <si>
    <t>癌</t>
  </si>
  <si>
    <t>筹</t>
  </si>
  <si>
    <t>蘭</t>
  </si>
  <si>
    <t>劉</t>
  </si>
  <si>
    <t>貪</t>
  </si>
  <si>
    <t>驅</t>
  </si>
  <si>
    <t>悅</t>
  </si>
  <si>
    <t>蒼</t>
  </si>
  <si>
    <t>紐</t>
  </si>
  <si>
    <t>籌</t>
  </si>
  <si>
    <t>踪</t>
  </si>
  <si>
    <t>碧</t>
  </si>
  <si>
    <t>兼</t>
  </si>
  <si>
    <t>萨</t>
  </si>
  <si>
    <t>碑</t>
  </si>
  <si>
    <t>庙</t>
  </si>
  <si>
    <t>膀</t>
  </si>
  <si>
    <t>廊</t>
  </si>
  <si>
    <t>疫</t>
  </si>
  <si>
    <t>纹</t>
  </si>
  <si>
    <t>鸣</t>
  </si>
  <si>
    <t>寓</t>
  </si>
  <si>
    <t>颁</t>
  </si>
  <si>
    <t>寞</t>
  </si>
  <si>
    <t>壳</t>
  </si>
  <si>
    <t>绳</t>
  </si>
  <si>
    <t>蹤</t>
  </si>
  <si>
    <t>薩</t>
  </si>
  <si>
    <t>廟</t>
  </si>
  <si>
    <t>紋</t>
  </si>
  <si>
    <t>鳴</t>
  </si>
  <si>
    <t>頒</t>
  </si>
  <si>
    <t>殼</t>
  </si>
  <si>
    <t>繩</t>
  </si>
  <si>
    <t>巷</t>
  </si>
  <si>
    <t>蒂</t>
  </si>
  <si>
    <t>钓</t>
  </si>
  <si>
    <t>陵</t>
  </si>
  <si>
    <t>砖</t>
  </si>
  <si>
    <t>浩</t>
  </si>
  <si>
    <t>夸</t>
  </si>
  <si>
    <t>葬</t>
  </si>
  <si>
    <t>铭</t>
  </si>
  <si>
    <t>翼</t>
  </si>
  <si>
    <t>魅</t>
  </si>
  <si>
    <t>鸦</t>
  </si>
  <si>
    <t>凌</t>
  </si>
  <si>
    <t>诵</t>
  </si>
  <si>
    <t>芦</t>
  </si>
  <si>
    <t>粪</t>
  </si>
  <si>
    <t>釣</t>
  </si>
  <si>
    <t>磚</t>
  </si>
  <si>
    <t>誇</t>
  </si>
  <si>
    <t>銘</t>
  </si>
  <si>
    <t>鴉</t>
  </si>
  <si>
    <t>誦</t>
  </si>
  <si>
    <t>蘆</t>
  </si>
  <si>
    <t>糞</t>
  </si>
  <si>
    <t>瞬</t>
  </si>
  <si>
    <t>厦</t>
  </si>
  <si>
    <t>赋</t>
  </si>
  <si>
    <t>乔</t>
  </si>
  <si>
    <t>钦</t>
  </si>
  <si>
    <t>遣</t>
  </si>
  <si>
    <t>橘</t>
  </si>
  <si>
    <t>涛</t>
  </si>
  <si>
    <t>蚀</t>
  </si>
  <si>
    <t>趁</t>
  </si>
  <si>
    <t>魄</t>
  </si>
  <si>
    <t>躯</t>
  </si>
  <si>
    <t>恍</t>
  </si>
  <si>
    <t>谨</t>
  </si>
  <si>
    <t>骚</t>
  </si>
  <si>
    <t>唉</t>
  </si>
  <si>
    <t>廈</t>
  </si>
  <si>
    <t>賦</t>
  </si>
  <si>
    <t>喬</t>
  </si>
  <si>
    <t>欽</t>
  </si>
  <si>
    <t>濤</t>
  </si>
  <si>
    <t>蝕</t>
  </si>
  <si>
    <t>軀</t>
  </si>
  <si>
    <t>謹</t>
  </si>
  <si>
    <t>騷</t>
  </si>
  <si>
    <t>殷</t>
  </si>
  <si>
    <t>讽</t>
  </si>
  <si>
    <t>宰</t>
  </si>
  <si>
    <t>诀</t>
  </si>
  <si>
    <t>睹</t>
  </si>
  <si>
    <t>曹</t>
  </si>
  <si>
    <t>瓣</t>
  </si>
  <si>
    <t>祷</t>
  </si>
  <si>
    <t>栽</t>
  </si>
  <si>
    <t>颂</t>
  </si>
  <si>
    <t>叛</t>
  </si>
  <si>
    <t>舱</t>
  </si>
  <si>
    <t>泻</t>
  </si>
  <si>
    <t>橱</t>
  </si>
  <si>
    <t>掠</t>
  </si>
  <si>
    <t>饥</t>
  </si>
  <si>
    <t>諷</t>
  </si>
  <si>
    <t>訣</t>
  </si>
  <si>
    <t>禱</t>
  </si>
  <si>
    <t>頌</t>
  </si>
  <si>
    <t>艙</t>
  </si>
  <si>
    <t>瀉</t>
  </si>
  <si>
    <t>櫥</t>
  </si>
  <si>
    <t>飢</t>
  </si>
  <si>
    <t>煎</t>
  </si>
  <si>
    <t>瘤</t>
  </si>
  <si>
    <t>渺</t>
  </si>
  <si>
    <t>滤</t>
  </si>
  <si>
    <t>魏</t>
  </si>
  <si>
    <t>拦</t>
  </si>
  <si>
    <t>颖</t>
  </si>
  <si>
    <t>窜</t>
  </si>
  <si>
    <t>谬</t>
  </si>
  <si>
    <t>怯</t>
  </si>
  <si>
    <t>屠</t>
  </si>
  <si>
    <t>钩</t>
  </si>
  <si>
    <t>寝</t>
  </si>
  <si>
    <t>谎</t>
  </si>
  <si>
    <t>奢</t>
  </si>
  <si>
    <t>韧</t>
  </si>
  <si>
    <t>濾</t>
  </si>
  <si>
    <t>攔</t>
  </si>
  <si>
    <t>穎</t>
  </si>
  <si>
    <t>竄</t>
  </si>
  <si>
    <t>謬</t>
  </si>
  <si>
    <t>鉤</t>
  </si>
  <si>
    <t>寢</t>
  </si>
  <si>
    <t>謊</t>
  </si>
  <si>
    <t>韌</t>
  </si>
  <si>
    <t>棱</t>
  </si>
  <si>
    <t>颓</t>
  </si>
  <si>
    <t>澜</t>
  </si>
  <si>
    <t>沧</t>
  </si>
  <si>
    <t>缀</t>
  </si>
  <si>
    <t>嘿</t>
  </si>
  <si>
    <t>袁</t>
  </si>
  <si>
    <t>嗽</t>
  </si>
  <si>
    <t>讳</t>
  </si>
  <si>
    <t>鹏</t>
  </si>
  <si>
    <t>墅</t>
  </si>
  <si>
    <t>惰</t>
  </si>
  <si>
    <t>咏</t>
  </si>
  <si>
    <t>塘</t>
  </si>
  <si>
    <t>曝</t>
  </si>
  <si>
    <t>窟</t>
  </si>
  <si>
    <t>稜</t>
  </si>
  <si>
    <t>頹</t>
  </si>
  <si>
    <t>瀾</t>
  </si>
  <si>
    <t>滄</t>
  </si>
  <si>
    <t>綴</t>
  </si>
  <si>
    <t>諱</t>
  </si>
  <si>
    <t>鵬</t>
  </si>
  <si>
    <t>詠</t>
  </si>
  <si>
    <t>踊</t>
  </si>
  <si>
    <t>勘</t>
  </si>
  <si>
    <t>慷</t>
  </si>
  <si>
    <t>擅</t>
  </si>
  <si>
    <t>贮</t>
  </si>
  <si>
    <t>溅</t>
  </si>
  <si>
    <t>悼</t>
  </si>
  <si>
    <t>诫</t>
  </si>
  <si>
    <t>烁</t>
  </si>
  <si>
    <t>曙</t>
  </si>
  <si>
    <t>垄</t>
  </si>
  <si>
    <t>尬</t>
  </si>
  <si>
    <t>紊</t>
  </si>
  <si>
    <t>链</t>
  </si>
  <si>
    <t>殃</t>
  </si>
  <si>
    <t>唾</t>
  </si>
  <si>
    <t>踴</t>
  </si>
  <si>
    <t>貯</t>
  </si>
  <si>
    <t>濺</t>
  </si>
  <si>
    <t>誡</t>
  </si>
  <si>
    <t>爍</t>
  </si>
  <si>
    <t>壟</t>
  </si>
  <si>
    <t>鏈</t>
  </si>
  <si>
    <t>睦</t>
  </si>
  <si>
    <t>畴</t>
  </si>
  <si>
    <t>呛</t>
  </si>
  <si>
    <t>媲</t>
  </si>
  <si>
    <t>砸</t>
  </si>
  <si>
    <t>愣</t>
  </si>
  <si>
    <t>酵</t>
  </si>
  <si>
    <t>惫</t>
  </si>
  <si>
    <t>骏</t>
  </si>
  <si>
    <t>榨</t>
  </si>
  <si>
    <t>姥</t>
  </si>
  <si>
    <t>饵</t>
  </si>
  <si>
    <t>稠</t>
  </si>
  <si>
    <t>瘟</t>
  </si>
  <si>
    <t>拧</t>
  </si>
  <si>
    <t>绯</t>
  </si>
  <si>
    <t>疇</t>
  </si>
  <si>
    <t>嗆</t>
  </si>
  <si>
    <t>憊</t>
  </si>
  <si>
    <t>駿</t>
  </si>
  <si>
    <t>餌</t>
  </si>
  <si>
    <t>擰</t>
  </si>
  <si>
    <t>緋</t>
  </si>
  <si>
    <t>蔑</t>
  </si>
  <si>
    <t>蹭</t>
  </si>
  <si>
    <t>捶</t>
  </si>
  <si>
    <t>磕</t>
  </si>
  <si>
    <t>譁</t>
  </si>
  <si>
    <t>罗</t>
  </si>
  <si>
    <t>愈</t>
  </si>
  <si>
    <t>轿</t>
  </si>
  <si>
    <t>徐</t>
  </si>
  <si>
    <t>韩</t>
  </si>
  <si>
    <t>祭</t>
  </si>
  <si>
    <t>坛</t>
  </si>
  <si>
    <t>泽</t>
  </si>
  <si>
    <t>兽</t>
  </si>
  <si>
    <t>凤</t>
  </si>
  <si>
    <t>裕</t>
  </si>
  <si>
    <t>羅</t>
  </si>
  <si>
    <t>轎</t>
  </si>
  <si>
    <t>韓</t>
  </si>
  <si>
    <t>壇</t>
  </si>
  <si>
    <t>澤</t>
  </si>
  <si>
    <t>獸</t>
  </si>
  <si>
    <t>鳳</t>
  </si>
  <si>
    <t>颈</t>
  </si>
  <si>
    <t>疏</t>
  </si>
  <si>
    <t>狮</t>
  </si>
  <si>
    <t>臂</t>
  </si>
  <si>
    <t>赵</t>
  </si>
  <si>
    <t>慎</t>
  </si>
  <si>
    <t>狱</t>
  </si>
  <si>
    <t>馨</t>
  </si>
  <si>
    <t>浴</t>
  </si>
  <si>
    <t>喻</t>
  </si>
  <si>
    <t>叙</t>
  </si>
  <si>
    <t>谣</t>
  </si>
  <si>
    <t>纱</t>
  </si>
  <si>
    <t>郁</t>
  </si>
  <si>
    <t>娇</t>
  </si>
  <si>
    <t>罐</t>
  </si>
  <si>
    <t>頸</t>
  </si>
  <si>
    <t>獅</t>
  </si>
  <si>
    <t>趙</t>
  </si>
  <si>
    <t>獄</t>
  </si>
  <si>
    <t>敘</t>
  </si>
  <si>
    <t>謠</t>
  </si>
  <si>
    <t>紗</t>
  </si>
  <si>
    <t>鬱</t>
  </si>
  <si>
    <t>嬌</t>
  </si>
  <si>
    <t>磁</t>
  </si>
  <si>
    <t>鞭</t>
  </si>
  <si>
    <t>鹤</t>
  </si>
  <si>
    <t>喉</t>
  </si>
  <si>
    <t>瀑</t>
  </si>
  <si>
    <t>辟</t>
  </si>
  <si>
    <t>螺</t>
  </si>
  <si>
    <t>颠</t>
  </si>
  <si>
    <t>侨</t>
  </si>
  <si>
    <t>愧</t>
  </si>
  <si>
    <t>髓</t>
  </si>
  <si>
    <t>撰</t>
  </si>
  <si>
    <t>喧</t>
  </si>
  <si>
    <t>筛</t>
  </si>
  <si>
    <t>隶</t>
  </si>
  <si>
    <t>垦</t>
  </si>
  <si>
    <t>鶴</t>
  </si>
  <si>
    <t>闢</t>
  </si>
  <si>
    <t>顛</t>
  </si>
  <si>
    <t>僑</t>
  </si>
  <si>
    <t>篩</t>
  </si>
  <si>
    <t>隸</t>
  </si>
  <si>
    <t>墾</t>
  </si>
  <si>
    <t>僚</t>
  </si>
  <si>
    <t>砂</t>
  </si>
  <si>
    <t>绑</t>
  </si>
  <si>
    <t>坟</t>
  </si>
  <si>
    <t>颊</t>
  </si>
  <si>
    <t>辽</t>
  </si>
  <si>
    <t>婉</t>
  </si>
  <si>
    <t>锈</t>
  </si>
  <si>
    <t>缉</t>
  </si>
  <si>
    <t>瞻</t>
  </si>
  <si>
    <t>腕</t>
  </si>
  <si>
    <t>槽</t>
  </si>
  <si>
    <t>壤</t>
  </si>
  <si>
    <t>魁</t>
  </si>
  <si>
    <t>窑</t>
  </si>
  <si>
    <t>搅</t>
  </si>
  <si>
    <t>綁</t>
  </si>
  <si>
    <t>墳</t>
  </si>
  <si>
    <t>頰</t>
  </si>
  <si>
    <t>遼</t>
  </si>
  <si>
    <t>鏽</t>
  </si>
  <si>
    <t>緝</t>
  </si>
  <si>
    <t>窯</t>
  </si>
  <si>
    <t>攪</t>
  </si>
  <si>
    <t>稽</t>
  </si>
  <si>
    <t>捣</t>
  </si>
  <si>
    <t>馅</t>
  </si>
  <si>
    <t>嗜</t>
  </si>
  <si>
    <t>絮</t>
  </si>
  <si>
    <t>禽</t>
  </si>
  <si>
    <t>绅</t>
  </si>
  <si>
    <t>堕</t>
  </si>
  <si>
    <t>敷</t>
  </si>
  <si>
    <t>糙</t>
  </si>
  <si>
    <t>绷</t>
  </si>
  <si>
    <t>锯</t>
  </si>
  <si>
    <t>旷</t>
  </si>
  <si>
    <t>坝</t>
  </si>
  <si>
    <t>僻</t>
  </si>
  <si>
    <t>渝</t>
  </si>
  <si>
    <t>搗</t>
  </si>
  <si>
    <t>餡</t>
  </si>
  <si>
    <t>紳</t>
  </si>
  <si>
    <t>墮</t>
  </si>
  <si>
    <t>繃</t>
  </si>
  <si>
    <t>鋸</t>
  </si>
  <si>
    <t>曠</t>
  </si>
  <si>
    <t>壩</t>
  </si>
  <si>
    <t>嫦</t>
  </si>
  <si>
    <t>膛</t>
  </si>
  <si>
    <t>劈</t>
  </si>
  <si>
    <t>墟</t>
  </si>
  <si>
    <t>尴</t>
  </si>
  <si>
    <t>逾</t>
  </si>
  <si>
    <t>惦</t>
  </si>
  <si>
    <t>痺</t>
  </si>
  <si>
    <t>缕</t>
  </si>
  <si>
    <t>馁</t>
  </si>
  <si>
    <t>诧</t>
  </si>
  <si>
    <t>潦</t>
  </si>
  <si>
    <t>浏</t>
  </si>
  <si>
    <t>蘑</t>
  </si>
  <si>
    <t>尘</t>
  </si>
  <si>
    <t>董</t>
  </si>
  <si>
    <t>尷</t>
  </si>
  <si>
    <t>縷</t>
  </si>
  <si>
    <t>餒</t>
  </si>
  <si>
    <t>詫</t>
  </si>
  <si>
    <t>瀏</t>
  </si>
  <si>
    <t>塵</t>
  </si>
  <si>
    <t>飘</t>
  </si>
  <si>
    <t>魔</t>
  </si>
  <si>
    <t>殿</t>
  </si>
  <si>
    <t>囊</t>
  </si>
  <si>
    <t>韵</t>
  </si>
  <si>
    <t>缝</t>
  </si>
  <si>
    <t>廉</t>
  </si>
  <si>
    <t>疲</t>
  </si>
  <si>
    <t>慕</t>
  </si>
  <si>
    <t>岭</t>
  </si>
  <si>
    <t>堪</t>
  </si>
  <si>
    <t>逊</t>
  </si>
  <si>
    <t>锐</t>
  </si>
  <si>
    <t>恭</t>
  </si>
  <si>
    <t>溃</t>
  </si>
  <si>
    <t>纺</t>
  </si>
  <si>
    <t>飄</t>
  </si>
  <si>
    <t>韻</t>
  </si>
  <si>
    <t>縫</t>
  </si>
  <si>
    <t>嶺</t>
  </si>
  <si>
    <t>遜</t>
  </si>
  <si>
    <t>銳</t>
  </si>
  <si>
    <t>潰</t>
  </si>
  <si>
    <t>紡</t>
  </si>
  <si>
    <t>譬</t>
  </si>
  <si>
    <t>萝</t>
  </si>
  <si>
    <t>瘾</t>
  </si>
  <si>
    <t>弥</t>
  </si>
  <si>
    <t>饲</t>
  </si>
  <si>
    <t>皱</t>
  </si>
  <si>
    <t>骤</t>
  </si>
  <si>
    <t>荫</t>
  </si>
  <si>
    <t>撼</t>
  </si>
  <si>
    <t>钞</t>
  </si>
  <si>
    <t>穆</t>
  </si>
  <si>
    <t>镶</t>
  </si>
  <si>
    <t>隙</t>
  </si>
  <si>
    <t>御</t>
  </si>
  <si>
    <t>俭</t>
  </si>
  <si>
    <t>钥</t>
  </si>
  <si>
    <t>蘿</t>
  </si>
  <si>
    <t>癮</t>
  </si>
  <si>
    <t>彌</t>
  </si>
  <si>
    <t>飼</t>
  </si>
  <si>
    <t>皺</t>
  </si>
  <si>
    <t>驟</t>
  </si>
  <si>
    <t>蔭</t>
  </si>
  <si>
    <t>鈔</t>
  </si>
  <si>
    <t>鑲</t>
  </si>
  <si>
    <t>禦</t>
  </si>
  <si>
    <t>儉</t>
  </si>
  <si>
    <t>鑰</t>
  </si>
  <si>
    <t>窘</t>
  </si>
  <si>
    <t>揽</t>
  </si>
  <si>
    <t>毙</t>
  </si>
  <si>
    <t>瘫</t>
  </si>
  <si>
    <t>粽</t>
  </si>
  <si>
    <t>磅</t>
  </si>
  <si>
    <t>蔼</t>
  </si>
  <si>
    <t>椒</t>
  </si>
  <si>
    <t>薰</t>
  </si>
  <si>
    <t>巅</t>
  </si>
  <si>
    <t>绞</t>
  </si>
  <si>
    <t>敛</t>
  </si>
  <si>
    <t>铲</t>
  </si>
  <si>
    <t>痪</t>
  </si>
  <si>
    <t>谤</t>
  </si>
  <si>
    <t>衅</t>
  </si>
  <si>
    <t>攬</t>
  </si>
  <si>
    <t>斃</t>
  </si>
  <si>
    <t>癱</t>
  </si>
  <si>
    <t>藹</t>
  </si>
  <si>
    <t>巔</t>
  </si>
  <si>
    <t>絞</t>
  </si>
  <si>
    <t>斂</t>
  </si>
  <si>
    <t>鏟</t>
  </si>
  <si>
    <t>瘓</t>
  </si>
  <si>
    <t>謗</t>
  </si>
  <si>
    <t>釁</t>
  </si>
  <si>
    <t>锦</t>
  </si>
  <si>
    <t>颇</t>
  </si>
  <si>
    <t>鹅</t>
  </si>
  <si>
    <t>窝</t>
  </si>
  <si>
    <t>绣</t>
  </si>
  <si>
    <t>痴</t>
  </si>
  <si>
    <t>垫</t>
  </si>
  <si>
    <t>戚</t>
  </si>
  <si>
    <t>颤</t>
  </si>
  <si>
    <t>窥</t>
  </si>
  <si>
    <t>寡</t>
  </si>
  <si>
    <t>辫</t>
  </si>
  <si>
    <t>簇</t>
  </si>
  <si>
    <t>徽</t>
  </si>
  <si>
    <t>凿</t>
  </si>
  <si>
    <t>幢</t>
  </si>
  <si>
    <t>錦</t>
  </si>
  <si>
    <t>頗</t>
  </si>
  <si>
    <t>鵝</t>
  </si>
  <si>
    <t>窩</t>
  </si>
  <si>
    <t>繡</t>
  </si>
  <si>
    <t>墊</t>
  </si>
  <si>
    <t>顫</t>
  </si>
  <si>
    <t>窺</t>
  </si>
  <si>
    <t>辮</t>
  </si>
  <si>
    <t>鑿</t>
  </si>
  <si>
    <t>鸽</t>
  </si>
  <si>
    <t>帜</t>
  </si>
  <si>
    <t>蕴</t>
  </si>
  <si>
    <t>绰</t>
  </si>
  <si>
    <t>窒</t>
  </si>
  <si>
    <t>铸</t>
  </si>
  <si>
    <t>嫉</t>
  </si>
  <si>
    <t>挚</t>
  </si>
  <si>
    <t>淀</t>
  </si>
  <si>
    <t>谴</t>
  </si>
  <si>
    <t>缅</t>
  </si>
  <si>
    <t>惋</t>
  </si>
  <si>
    <t>锤</t>
  </si>
  <si>
    <t>鲨</t>
  </si>
  <si>
    <t>嗦</t>
  </si>
  <si>
    <t>纬</t>
  </si>
  <si>
    <t>鴿</t>
  </si>
  <si>
    <t>幟</t>
  </si>
  <si>
    <t>蘊</t>
  </si>
  <si>
    <t>綽</t>
  </si>
  <si>
    <t>鑄</t>
  </si>
  <si>
    <t>摯</t>
  </si>
  <si>
    <t>澱</t>
  </si>
  <si>
    <t>譴</t>
  </si>
  <si>
    <t>緬</t>
  </si>
  <si>
    <t>錘</t>
  </si>
  <si>
    <t>鯊</t>
  </si>
  <si>
    <t>緯</t>
  </si>
  <si>
    <t>赃</t>
  </si>
  <si>
    <t>攒</t>
  </si>
  <si>
    <t>搀</t>
  </si>
  <si>
    <t>镑</t>
  </si>
  <si>
    <t>歼</t>
  </si>
  <si>
    <t>窿</t>
  </si>
  <si>
    <t>赡</t>
  </si>
  <si>
    <t>寂</t>
  </si>
  <si>
    <t>拟</t>
  </si>
  <si>
    <t>涂</t>
  </si>
  <si>
    <t>凝</t>
  </si>
  <si>
    <t>鹰</t>
  </si>
  <si>
    <t>溶</t>
  </si>
  <si>
    <t>窍</t>
  </si>
  <si>
    <t>矫</t>
  </si>
  <si>
    <t>饶</t>
  </si>
  <si>
    <t>贓</t>
  </si>
  <si>
    <t>攢</t>
  </si>
  <si>
    <t>攙</t>
  </si>
  <si>
    <t>鎊</t>
  </si>
  <si>
    <t>殲</t>
  </si>
  <si>
    <t>贍</t>
  </si>
  <si>
    <t>擬</t>
  </si>
  <si>
    <t>塗</t>
  </si>
  <si>
    <t>鷹</t>
  </si>
  <si>
    <t>竅</t>
  </si>
  <si>
    <t>矯</t>
  </si>
  <si>
    <t>饒</t>
  </si>
  <si>
    <t>懈</t>
  </si>
  <si>
    <t>缚</t>
  </si>
  <si>
    <t>讥</t>
  </si>
  <si>
    <t>绵</t>
  </si>
  <si>
    <t>绸</t>
  </si>
  <si>
    <t>缔</t>
  </si>
  <si>
    <t>窃</t>
  </si>
  <si>
    <t>蛮</t>
  </si>
  <si>
    <t>痒</t>
  </si>
  <si>
    <t>豁</t>
  </si>
  <si>
    <t>绽</t>
  </si>
  <si>
    <t>秽</t>
  </si>
  <si>
    <t>孪</t>
  </si>
  <si>
    <t>纤</t>
  </si>
  <si>
    <t>缴</t>
  </si>
  <si>
    <t>滨</t>
  </si>
  <si>
    <t>縛</t>
  </si>
  <si>
    <t>譏</t>
  </si>
  <si>
    <t>綿</t>
  </si>
  <si>
    <t>綢</t>
  </si>
  <si>
    <t>締</t>
  </si>
  <si>
    <t>竊</t>
  </si>
  <si>
    <t>蠻</t>
  </si>
  <si>
    <t>癢</t>
  </si>
  <si>
    <t>綻</t>
  </si>
  <si>
    <t>穢</t>
  </si>
  <si>
    <t>孿</t>
  </si>
  <si>
    <t>纖</t>
  </si>
  <si>
    <t>繳</t>
  </si>
  <si>
    <t>濱</t>
  </si>
  <si>
    <t>绎</t>
  </si>
  <si>
    <t>舔</t>
  </si>
  <si>
    <t>馈</t>
  </si>
  <si>
    <t>缆</t>
  </si>
  <si>
    <t>馋</t>
  </si>
  <si>
    <t>缠</t>
  </si>
  <si>
    <t>缤</t>
  </si>
  <si>
    <t>乍</t>
  </si>
  <si>
    <t>皿</t>
  </si>
  <si>
    <t>臼</t>
  </si>
  <si>
    <t>亥</t>
  </si>
  <si>
    <t>廿</t>
  </si>
  <si>
    <t>繹</t>
  </si>
  <si>
    <t>饋</t>
  </si>
  <si>
    <t>纜</t>
  </si>
  <si>
    <t>饞</t>
  </si>
  <si>
    <t>纏</t>
  </si>
  <si>
    <t>繽</t>
  </si>
  <si>
    <t>並</t>
  </si>
  <si>
    <t>匕</t>
  </si>
  <si>
    <t>祕</t>
  </si>
  <si>
    <t>耶</t>
  </si>
  <si>
    <t>姊</t>
  </si>
  <si>
    <t>吾</t>
  </si>
  <si>
    <t>菲</t>
  </si>
  <si>
    <t>珊</t>
  </si>
  <si>
    <t>汝</t>
  </si>
  <si>
    <t>咪</t>
  </si>
  <si>
    <t>栗</t>
  </si>
  <si>
    <t>豚</t>
  </si>
  <si>
    <t>姦</t>
  </si>
  <si>
    <t>隻</t>
  </si>
  <si>
    <t>杉</t>
  </si>
  <si>
    <t>眷</t>
  </si>
  <si>
    <t>汀</t>
  </si>
  <si>
    <t>狄</t>
  </si>
  <si>
    <t>芹</t>
  </si>
  <si>
    <t>匣</t>
  </si>
  <si>
    <t>曳</t>
  </si>
  <si>
    <t>椎</t>
  </si>
  <si>
    <t>炙</t>
  </si>
  <si>
    <t>栅</t>
  </si>
  <si>
    <t>轩</t>
  </si>
  <si>
    <t>肘</t>
  </si>
  <si>
    <t>闽</t>
  </si>
  <si>
    <t>柵</t>
  </si>
  <si>
    <t>軒</t>
  </si>
  <si>
    <t>閩</t>
  </si>
  <si>
    <t>兮</t>
  </si>
  <si>
    <t>姬</t>
  </si>
  <si>
    <t>氾</t>
  </si>
  <si>
    <t>咤</t>
  </si>
  <si>
    <t>茁</t>
  </si>
  <si>
    <t>沁</t>
  </si>
  <si>
    <t>屎</t>
  </si>
  <si>
    <t>拇</t>
  </si>
  <si>
    <t>轧</t>
  </si>
  <si>
    <t>叩</t>
  </si>
  <si>
    <t>脐</t>
  </si>
  <si>
    <t>茸</t>
  </si>
  <si>
    <t>噩</t>
  </si>
  <si>
    <t>彗</t>
  </si>
  <si>
    <t>吒</t>
  </si>
  <si>
    <t>弔</t>
  </si>
  <si>
    <t>軋</t>
  </si>
  <si>
    <t>盃</t>
  </si>
  <si>
    <t>臍</t>
  </si>
  <si>
    <t>辍</t>
  </si>
  <si>
    <t>兀</t>
  </si>
  <si>
    <t>唔</t>
  </si>
  <si>
    <t>儡</t>
  </si>
  <si>
    <t>杏</t>
  </si>
  <si>
    <t>翡</t>
  </si>
  <si>
    <t>肋</t>
  </si>
  <si>
    <t>叱</t>
  </si>
  <si>
    <t>斐</t>
  </si>
  <si>
    <t>吝</t>
  </si>
  <si>
    <t>崔</t>
  </si>
  <si>
    <t>蕊</t>
  </si>
  <si>
    <t>舀</t>
  </si>
  <si>
    <t>扉</t>
  </si>
  <si>
    <t>荔</t>
  </si>
  <si>
    <t>笆</t>
  </si>
  <si>
    <t>輟</t>
  </si>
  <si>
    <t>吋</t>
  </si>
  <si>
    <t>咋</t>
  </si>
  <si>
    <t>酋</t>
  </si>
  <si>
    <t>蚱</t>
  </si>
  <si>
    <t>橇</t>
  </si>
  <si>
    <t>蛊</t>
  </si>
  <si>
    <t>嗝</t>
  </si>
  <si>
    <t>刎</t>
  </si>
  <si>
    <t>喆</t>
  </si>
  <si>
    <t>丼</t>
  </si>
  <si>
    <t>眯</t>
  </si>
  <si>
    <t>桕</t>
  </si>
  <si>
    <t>蝶</t>
  </si>
  <si>
    <t>蠱</t>
  </si>
  <si>
    <t>鬥</t>
  </si>
  <si>
    <t>迴</t>
  </si>
  <si>
    <t>闆</t>
  </si>
  <si>
    <t>琳</t>
  </si>
  <si>
    <t>妮</t>
  </si>
  <si>
    <t>瑟</t>
  </si>
  <si>
    <t>蚕</t>
  </si>
  <si>
    <t>莉</t>
  </si>
  <si>
    <t>屁</t>
  </si>
  <si>
    <t>蜥</t>
  </si>
  <si>
    <t>溺</t>
  </si>
  <si>
    <t>拭</t>
  </si>
  <si>
    <t>曆</t>
  </si>
  <si>
    <t>蠶</t>
  </si>
  <si>
    <t>捲</t>
  </si>
  <si>
    <t>洩</t>
  </si>
  <si>
    <t>拚</t>
  </si>
  <si>
    <t>笋</t>
  </si>
  <si>
    <t>眺</t>
  </si>
  <si>
    <t>嗯</t>
  </si>
  <si>
    <t>瞇</t>
  </si>
  <si>
    <t>淫</t>
  </si>
  <si>
    <t>梧</t>
  </si>
  <si>
    <t>咒</t>
  </si>
  <si>
    <t>茵</t>
  </si>
  <si>
    <t>啄</t>
  </si>
  <si>
    <t>倩</t>
  </si>
  <si>
    <t>汐</t>
  </si>
  <si>
    <t>烽</t>
  </si>
  <si>
    <t>苔</t>
  </si>
  <si>
    <t>筍</t>
  </si>
  <si>
    <t>眶</t>
  </si>
  <si>
    <t>呻</t>
  </si>
  <si>
    <t>俐</t>
  </si>
  <si>
    <t>亨</t>
  </si>
  <si>
    <t>翩</t>
  </si>
  <si>
    <t>刃</t>
  </si>
  <si>
    <t>亢</t>
  </si>
  <si>
    <t>咎</t>
  </si>
  <si>
    <t>姚</t>
  </si>
  <si>
    <t>蚤</t>
  </si>
  <si>
    <t>蜻</t>
  </si>
  <si>
    <t>辄</t>
  </si>
  <si>
    <t>彦</t>
  </si>
  <si>
    <t>蜓</t>
  </si>
  <si>
    <t>妾</t>
  </si>
  <si>
    <t>僱</t>
  </si>
  <si>
    <t>輒</t>
  </si>
  <si>
    <t>彥</t>
  </si>
  <si>
    <t>夭</t>
  </si>
  <si>
    <t>扼</t>
  </si>
  <si>
    <t>湘</t>
  </si>
  <si>
    <t>喽</t>
  </si>
  <si>
    <t>涧</t>
  </si>
  <si>
    <t>芋</t>
  </si>
  <si>
    <t>娟</t>
  </si>
  <si>
    <t>掬</t>
  </si>
  <si>
    <t>翌</t>
  </si>
  <si>
    <t>芜</t>
  </si>
  <si>
    <t>榻</t>
  </si>
  <si>
    <t>篓</t>
  </si>
  <si>
    <t>攸</t>
  </si>
  <si>
    <t>茉</t>
  </si>
  <si>
    <t>喋</t>
  </si>
  <si>
    <t>呎</t>
  </si>
  <si>
    <t>嘍</t>
  </si>
  <si>
    <t>澗</t>
  </si>
  <si>
    <t>蕪</t>
  </si>
  <si>
    <t>簍</t>
  </si>
  <si>
    <t>羔</t>
  </si>
  <si>
    <t>孺</t>
  </si>
  <si>
    <t>蜷</t>
  </si>
  <si>
    <t>蝙</t>
  </si>
  <si>
    <t>糯</t>
  </si>
  <si>
    <t>杵</t>
  </si>
  <si>
    <t>忿</t>
  </si>
  <si>
    <t>枴</t>
  </si>
  <si>
    <t>枷</t>
  </si>
  <si>
    <t>擂</t>
  </si>
  <si>
    <t>恙</t>
  </si>
  <si>
    <t>霆</t>
  </si>
  <si>
    <t>樵</t>
  </si>
  <si>
    <t>簪</t>
  </si>
  <si>
    <t>睏</t>
  </si>
  <si>
    <t>噁</t>
  </si>
  <si>
    <t>甬</t>
  </si>
  <si>
    <t>弩</t>
  </si>
  <si>
    <t>喙</t>
  </si>
  <si>
    <t>蜢</t>
  </si>
  <si>
    <t>遢</t>
  </si>
  <si>
    <t>篆</t>
  </si>
  <si>
    <t>盔</t>
  </si>
  <si>
    <t>腱</t>
  </si>
  <si>
    <t>蜴</t>
  </si>
  <si>
    <t>芮</t>
  </si>
  <si>
    <t>峋</t>
  </si>
  <si>
    <t>猬</t>
  </si>
  <si>
    <t>榷</t>
  </si>
  <si>
    <t>尹</t>
  </si>
  <si>
    <t>佯</t>
  </si>
  <si>
    <t>烊</t>
  </si>
  <si>
    <t>蝟</t>
  </si>
  <si>
    <t>篝</t>
  </si>
  <si>
    <t>呃</t>
  </si>
  <si>
    <t>崽</t>
  </si>
  <si>
    <t>煨</t>
  </si>
  <si>
    <t>昀</t>
  </si>
  <si>
    <t>嘣</t>
  </si>
  <si>
    <t>搡</t>
  </si>
  <si>
    <t>孬</t>
  </si>
  <si>
    <t>捋</t>
  </si>
  <si>
    <t>洛</t>
  </si>
  <si>
    <t>彷</t>
  </si>
  <si>
    <t>莱</t>
  </si>
  <si>
    <t>曼</t>
  </si>
  <si>
    <t>啓</t>
  </si>
  <si>
    <t>儘</t>
  </si>
  <si>
    <t>萊</t>
  </si>
  <si>
    <t>沖</t>
  </si>
  <si>
    <t>煞</t>
  </si>
  <si>
    <t>芙</t>
  </si>
  <si>
    <t>妓</t>
  </si>
  <si>
    <t>惟</t>
  </si>
  <si>
    <t>吱</t>
  </si>
  <si>
    <t>萤</t>
  </si>
  <si>
    <t>弗</t>
  </si>
  <si>
    <t>娜</t>
  </si>
  <si>
    <t>梭</t>
  </si>
  <si>
    <t>嘻</t>
  </si>
  <si>
    <t>雌</t>
  </si>
  <si>
    <t>莓</t>
  </si>
  <si>
    <t>狐</t>
  </si>
  <si>
    <t>昭</t>
  </si>
  <si>
    <t>哗</t>
  </si>
  <si>
    <t>佔</t>
  </si>
  <si>
    <t>螢</t>
  </si>
  <si>
    <t>嘩</t>
  </si>
  <si>
    <t>枫</t>
  </si>
  <si>
    <t>冥</t>
  </si>
  <si>
    <t>卿</t>
  </si>
  <si>
    <t>榴</t>
  </si>
  <si>
    <t>耘</t>
  </si>
  <si>
    <t>彭</t>
  </si>
  <si>
    <t>峭</t>
  </si>
  <si>
    <t>逍</t>
  </si>
  <si>
    <t>栈</t>
  </si>
  <si>
    <t>抉</t>
  </si>
  <si>
    <t>咕</t>
  </si>
  <si>
    <t>甫</t>
  </si>
  <si>
    <t>咯</t>
  </si>
  <si>
    <t>汲</t>
  </si>
  <si>
    <t>梗</t>
  </si>
  <si>
    <t>楓</t>
  </si>
  <si>
    <t>棧</t>
  </si>
  <si>
    <t>蛀</t>
  </si>
  <si>
    <t>咀</t>
  </si>
  <si>
    <t>趾</t>
  </si>
  <si>
    <t>楣</t>
  </si>
  <si>
    <t>盎</t>
  </si>
  <si>
    <t>酪</t>
  </si>
  <si>
    <t>庇</t>
  </si>
  <si>
    <t>敝</t>
  </si>
  <si>
    <t>靖</t>
  </si>
  <si>
    <t>褪</t>
  </si>
  <si>
    <t>睐</t>
  </si>
  <si>
    <t>骸</t>
  </si>
  <si>
    <t>瀚</t>
  </si>
  <si>
    <t>祠</t>
  </si>
  <si>
    <t>吠</t>
  </si>
  <si>
    <t>睞</t>
  </si>
  <si>
    <t>呱</t>
  </si>
  <si>
    <t>苟</t>
  </si>
  <si>
    <t>韦</t>
  </si>
  <si>
    <t>奕</t>
  </si>
  <si>
    <t>赦</t>
  </si>
  <si>
    <t>矗</t>
  </si>
  <si>
    <t>炕</t>
  </si>
  <si>
    <t>唧</t>
  </si>
  <si>
    <t>晦</t>
  </si>
  <si>
    <t>羹</t>
  </si>
  <si>
    <t>禄</t>
  </si>
  <si>
    <t>咫</t>
  </si>
  <si>
    <t>粱</t>
  </si>
  <si>
    <t>噎</t>
  </si>
  <si>
    <t>憔</t>
  </si>
  <si>
    <t>韋</t>
  </si>
  <si>
    <t>彙</t>
  </si>
  <si>
    <t>祿</t>
  </si>
  <si>
    <t>霄</t>
  </si>
  <si>
    <t>橄</t>
  </si>
  <si>
    <t>咦</t>
  </si>
  <si>
    <t>柚</t>
  </si>
  <si>
    <t>俺</t>
  </si>
  <si>
    <t>醃</t>
  </si>
  <si>
    <t>抿</t>
  </si>
  <si>
    <t>帷</t>
  </si>
  <si>
    <t>嗡</t>
  </si>
  <si>
    <t>盥</t>
  </si>
  <si>
    <t>迸</t>
  </si>
  <si>
    <t>恿</t>
  </si>
  <si>
    <t>湃</t>
  </si>
  <si>
    <t>圭</t>
  </si>
  <si>
    <t>炯</t>
  </si>
  <si>
    <t>荤</t>
  </si>
  <si>
    <t>葷</t>
  </si>
  <si>
    <t>烬</t>
  </si>
  <si>
    <t>嗣</t>
  </si>
  <si>
    <t>搔</t>
  </si>
  <si>
    <t>唆</t>
  </si>
  <si>
    <t>珀</t>
  </si>
  <si>
    <t>禀</t>
  </si>
  <si>
    <t>狙</t>
  </si>
  <si>
    <t>逅</t>
  </si>
  <si>
    <t>忤</t>
  </si>
  <si>
    <t>哧</t>
  </si>
  <si>
    <t>姣</t>
  </si>
  <si>
    <t>怦</t>
  </si>
  <si>
    <t>裱</t>
  </si>
  <si>
    <t>玷</t>
  </si>
  <si>
    <t>婊</t>
  </si>
  <si>
    <t>燼</t>
  </si>
  <si>
    <t>稟</t>
  </si>
  <si>
    <t>輓</t>
  </si>
  <si>
    <t>蚵</t>
  </si>
  <si>
    <t>妲</t>
  </si>
  <si>
    <t>胄</t>
  </si>
  <si>
    <t>荚</t>
  </si>
  <si>
    <t>蛆</t>
  </si>
  <si>
    <t>呗</t>
  </si>
  <si>
    <t>芡</t>
  </si>
  <si>
    <t>牠</t>
  </si>
  <si>
    <t>彿</t>
  </si>
  <si>
    <t>借</t>
  </si>
  <si>
    <t>莢</t>
  </si>
  <si>
    <t>唄</t>
  </si>
  <si>
    <t>樑</t>
  </si>
  <si>
    <t>徵</t>
  </si>
  <si>
    <t>託</t>
  </si>
  <si>
    <t>複</t>
  </si>
  <si>
    <t>夥</t>
  </si>
  <si>
    <t>樱</t>
  </si>
  <si>
    <t>吟</t>
  </si>
  <si>
    <t>蝴</t>
  </si>
  <si>
    <t>葛</t>
  </si>
  <si>
    <t>玛</t>
  </si>
  <si>
    <t>蒋</t>
  </si>
  <si>
    <t>甄</t>
  </si>
  <si>
    <t>澎</t>
  </si>
  <si>
    <t>玲</t>
  </si>
  <si>
    <t>雏</t>
  </si>
  <si>
    <t>沦</t>
  </si>
  <si>
    <t>妳</t>
  </si>
  <si>
    <t>佈</t>
  </si>
  <si>
    <t>櫻</t>
  </si>
  <si>
    <t>瑪</t>
  </si>
  <si>
    <t>穫</t>
  </si>
  <si>
    <t>蔣</t>
  </si>
  <si>
    <t>昇</t>
  </si>
  <si>
    <t>雛</t>
  </si>
  <si>
    <t>淪</t>
  </si>
  <si>
    <t>颱</t>
  </si>
  <si>
    <t>蚂</t>
  </si>
  <si>
    <t>焉</t>
  </si>
  <si>
    <t>濛</t>
  </si>
  <si>
    <t>矽</t>
  </si>
  <si>
    <t>涩</t>
  </si>
  <si>
    <t>陀</t>
  </si>
  <si>
    <t>褐</t>
  </si>
  <si>
    <t>桐</t>
  </si>
  <si>
    <t>钜</t>
  </si>
  <si>
    <t>淇</t>
  </si>
  <si>
    <t>钮</t>
  </si>
  <si>
    <t>笃</t>
  </si>
  <si>
    <t>坤</t>
  </si>
  <si>
    <t>罹</t>
  </si>
  <si>
    <t>瑚</t>
  </si>
  <si>
    <t>螞</t>
  </si>
  <si>
    <t>傢</t>
  </si>
  <si>
    <t>澀</t>
  </si>
  <si>
    <t>鉅</t>
  </si>
  <si>
    <t>鈕</t>
  </si>
  <si>
    <t>篤</t>
  </si>
  <si>
    <t>悍</t>
  </si>
  <si>
    <t>啧</t>
  </si>
  <si>
    <t>琐</t>
  </si>
  <si>
    <t>拂</t>
  </si>
  <si>
    <t>葵</t>
  </si>
  <si>
    <t>蛛</t>
  </si>
  <si>
    <t>聆</t>
  </si>
  <si>
    <t>蜒</t>
  </si>
  <si>
    <t>伶</t>
  </si>
  <si>
    <t>掷</t>
  </si>
  <si>
    <t>稣</t>
  </si>
  <si>
    <t>峨</t>
  </si>
  <si>
    <t>瞥</t>
  </si>
  <si>
    <t>穗</t>
  </si>
  <si>
    <t>嘖</t>
  </si>
  <si>
    <t>嚥</t>
  </si>
  <si>
    <t>摺</t>
  </si>
  <si>
    <t>瑣</t>
  </si>
  <si>
    <t>擲</t>
  </si>
  <si>
    <t>穌</t>
  </si>
  <si>
    <t>沈</t>
  </si>
  <si>
    <t>襄</t>
  </si>
  <si>
    <t>眩</t>
  </si>
  <si>
    <t>疤</t>
  </si>
  <si>
    <t>圃</t>
  </si>
  <si>
    <t>恣</t>
  </si>
  <si>
    <t>惚</t>
  </si>
  <si>
    <t>萃</t>
  </si>
  <si>
    <t>蛾</t>
  </si>
  <si>
    <t>蔗</t>
  </si>
  <si>
    <t>咆</t>
  </si>
  <si>
    <t>晌</t>
  </si>
  <si>
    <t>郡</t>
  </si>
  <si>
    <t>渍</t>
  </si>
  <si>
    <t>凛</t>
  </si>
  <si>
    <t>慄</t>
  </si>
  <si>
    <t>漬</t>
  </si>
  <si>
    <t>凜</t>
  </si>
  <si>
    <t>忱</t>
  </si>
  <si>
    <t>芥</t>
  </si>
  <si>
    <t>悸</t>
  </si>
  <si>
    <t>槌</t>
  </si>
  <si>
    <t>茨</t>
  </si>
  <si>
    <t>尧</t>
  </si>
  <si>
    <t>檬</t>
  </si>
  <si>
    <t>淳</t>
  </si>
  <si>
    <t>噬</t>
  </si>
  <si>
    <t>痘</t>
  </si>
  <si>
    <t>跆</t>
  </si>
  <si>
    <t>懦</t>
  </si>
  <si>
    <t>奎</t>
  </si>
  <si>
    <t>跺</t>
  </si>
  <si>
    <t>堯</t>
  </si>
  <si>
    <t>剋</t>
  </si>
  <si>
    <t>矇</t>
  </si>
  <si>
    <t>噗</t>
  </si>
  <si>
    <t>蝠</t>
  </si>
  <si>
    <t>锥</t>
  </si>
  <si>
    <t>汴</t>
  </si>
  <si>
    <t>侷</t>
  </si>
  <si>
    <t>戮</t>
  </si>
  <si>
    <t>忡</t>
  </si>
  <si>
    <t>讪</t>
  </si>
  <si>
    <t>釜</t>
  </si>
  <si>
    <t>啪</t>
  </si>
  <si>
    <t>帚</t>
  </si>
  <si>
    <t>苞</t>
  </si>
  <si>
    <t>涸</t>
  </si>
  <si>
    <t>暱</t>
  </si>
  <si>
    <t>暧</t>
  </si>
  <si>
    <t>錐</t>
  </si>
  <si>
    <t>訕</t>
  </si>
  <si>
    <t>彆</t>
  </si>
  <si>
    <t>曖</t>
  </si>
  <si>
    <t>皙</t>
  </si>
  <si>
    <t>匍</t>
  </si>
  <si>
    <t>咿</t>
  </si>
  <si>
    <t>唷</t>
  </si>
  <si>
    <t>蟆</t>
  </si>
  <si>
    <t>觊</t>
  </si>
  <si>
    <t>狩</t>
  </si>
  <si>
    <t>踝</t>
  </si>
  <si>
    <t>熠</t>
  </si>
  <si>
    <t>荨</t>
  </si>
  <si>
    <t>焙</t>
  </si>
  <si>
    <t>甥</t>
  </si>
  <si>
    <t>痱</t>
  </si>
  <si>
    <t>雹</t>
  </si>
  <si>
    <t>蕈</t>
  </si>
  <si>
    <t>糠</t>
  </si>
  <si>
    <t>覬</t>
  </si>
  <si>
    <t>蕁</t>
  </si>
  <si>
    <t>葩</t>
  </si>
  <si>
    <t>睽</t>
  </si>
  <si>
    <t>鼬</t>
  </si>
  <si>
    <t>恫</t>
  </si>
  <si>
    <t>瞑</t>
  </si>
  <si>
    <t>喁</t>
  </si>
  <si>
    <t>撂</t>
  </si>
  <si>
    <t>舷</t>
  </si>
  <si>
    <t>嗨</t>
  </si>
  <si>
    <t>鼹</t>
  </si>
  <si>
    <t>牝</t>
  </si>
  <si>
    <t>硌</t>
  </si>
  <si>
    <t>獴</t>
  </si>
  <si>
    <t>咔</t>
  </si>
  <si>
    <t>噌</t>
  </si>
  <si>
    <t>鼴</t>
  </si>
  <si>
    <t>艷</t>
  </si>
  <si>
    <t>咣</t>
  </si>
  <si>
    <t>贰</t>
  </si>
  <si>
    <t>跩</t>
  </si>
  <si>
    <t>唁</t>
  </si>
  <si>
    <t>菸</t>
  </si>
  <si>
    <t>藩</t>
  </si>
  <si>
    <t>唸</t>
  </si>
  <si>
    <t>哩</t>
  </si>
  <si>
    <t>貳</t>
  </si>
  <si>
    <t>遊</t>
  </si>
  <si>
    <t>蘇</t>
  </si>
  <si>
    <t>誌</t>
  </si>
  <si>
    <t>幹</t>
  </si>
  <si>
    <t>蕩</t>
  </si>
  <si>
    <t>蔔</t>
  </si>
  <si>
    <t>醜</t>
  </si>
  <si>
    <t>疹</t>
  </si>
  <si>
    <t>犀</t>
  </si>
  <si>
    <t>坊</t>
  </si>
  <si>
    <t>蝉</t>
  </si>
  <si>
    <t>卢</t>
  </si>
  <si>
    <t>诠</t>
  </si>
  <si>
    <t>暇</t>
  </si>
  <si>
    <t>澈</t>
  </si>
  <si>
    <t>榔</t>
  </si>
  <si>
    <t>琼</t>
  </si>
  <si>
    <t>埔</t>
  </si>
  <si>
    <t>琉</t>
  </si>
  <si>
    <t>翰</t>
  </si>
  <si>
    <t>蒐</t>
  </si>
  <si>
    <t>坎</t>
  </si>
  <si>
    <t>噹</t>
  </si>
  <si>
    <t>蟬</t>
  </si>
  <si>
    <t>盧</t>
  </si>
  <si>
    <t>詮</t>
  </si>
  <si>
    <t>瓊</t>
  </si>
  <si>
    <t>蜗</t>
  </si>
  <si>
    <t>崎</t>
  </si>
  <si>
    <t>喳</t>
  </si>
  <si>
    <t>斋</t>
  </si>
  <si>
    <t>螂</t>
  </si>
  <si>
    <t>蟑</t>
  </si>
  <si>
    <t>怅</t>
  </si>
  <si>
    <t>裳</t>
  </si>
  <si>
    <t>瑕</t>
  </si>
  <si>
    <t>辗</t>
  </si>
  <si>
    <t>狸</t>
  </si>
  <si>
    <t>褒</t>
  </si>
  <si>
    <t>怔</t>
  </si>
  <si>
    <t>祟</t>
  </si>
  <si>
    <t>阖</t>
  </si>
  <si>
    <t>蒲</t>
  </si>
  <si>
    <t>蝸</t>
  </si>
  <si>
    <t>齋</t>
  </si>
  <si>
    <t>悵</t>
  </si>
  <si>
    <t>輾</t>
  </si>
  <si>
    <t>闔</t>
  </si>
  <si>
    <t>睫</t>
  </si>
  <si>
    <t>殉</t>
  </si>
  <si>
    <t>徨</t>
  </si>
  <si>
    <t>薇</t>
  </si>
  <si>
    <t>垢</t>
  </si>
  <si>
    <t>悚</t>
  </si>
  <si>
    <t>嘶</t>
  </si>
  <si>
    <t>殆</t>
  </si>
  <si>
    <t>傀</t>
  </si>
  <si>
    <t>硝</t>
  </si>
  <si>
    <t>嘎</t>
  </si>
  <si>
    <t>髻</t>
  </si>
  <si>
    <t>疚</t>
  </si>
  <si>
    <t>垣</t>
  </si>
  <si>
    <t>瞌</t>
  </si>
  <si>
    <t>鼾</t>
  </si>
  <si>
    <t>姪</t>
  </si>
  <si>
    <t>痊</t>
  </si>
  <si>
    <t>婷</t>
  </si>
  <si>
    <t>嘘</t>
  </si>
  <si>
    <t>噜</t>
  </si>
  <si>
    <t>蛤</t>
  </si>
  <si>
    <t>蹋</t>
  </si>
  <si>
    <t>淤</t>
  </si>
  <si>
    <t>寐</t>
  </si>
  <si>
    <t>糗</t>
  </si>
  <si>
    <t>犁</t>
  </si>
  <si>
    <t>彪</t>
  </si>
  <si>
    <t>睿</t>
  </si>
  <si>
    <t>肮</t>
  </si>
  <si>
    <t>坍</t>
  </si>
  <si>
    <t>皎</t>
  </si>
  <si>
    <t>噓</t>
  </si>
  <si>
    <t>嚕</t>
  </si>
  <si>
    <t>骯</t>
  </si>
  <si>
    <t>侥</t>
  </si>
  <si>
    <t>疙</t>
  </si>
  <si>
    <t>眸</t>
  </si>
  <si>
    <t>偕</t>
  </si>
  <si>
    <t>砚</t>
  </si>
  <si>
    <t>帛</t>
  </si>
  <si>
    <t>砰</t>
  </si>
  <si>
    <t>砥</t>
  </si>
  <si>
    <t>蝗</t>
  </si>
  <si>
    <t>腼</t>
  </si>
  <si>
    <t>邋</t>
  </si>
  <si>
    <t>嶙</t>
  </si>
  <si>
    <t>怏</t>
  </si>
  <si>
    <t>捻</t>
  </si>
  <si>
    <t>琥</t>
  </si>
  <si>
    <t>坷</t>
  </si>
  <si>
    <t>僥</t>
  </si>
  <si>
    <t>硯</t>
  </si>
  <si>
    <t>靦</t>
  </si>
  <si>
    <t>陛</t>
  </si>
  <si>
    <t>钠</t>
  </si>
  <si>
    <t>蓓</t>
  </si>
  <si>
    <t>蟒</t>
  </si>
  <si>
    <t>镌</t>
  </si>
  <si>
    <t>摀</t>
  </si>
  <si>
    <t>擤</t>
  </si>
  <si>
    <t>腆</t>
  </si>
  <si>
    <t>嗷</t>
  </si>
  <si>
    <t>谄</t>
  </si>
  <si>
    <t>侄</t>
  </si>
  <si>
    <t>啷</t>
  </si>
  <si>
    <t>搐</t>
  </si>
  <si>
    <t>痣</t>
  </si>
  <si>
    <t>槁</t>
  </si>
  <si>
    <t>鈉</t>
  </si>
  <si>
    <t>鐫</t>
  </si>
  <si>
    <t>諂</t>
  </si>
  <si>
    <t>殭</t>
  </si>
  <si>
    <t>锱</t>
  </si>
  <si>
    <t>箍</t>
  </si>
  <si>
    <t>羯</t>
  </si>
  <si>
    <t>锹</t>
  </si>
  <si>
    <t>裆</t>
  </si>
  <si>
    <t>氰</t>
  </si>
  <si>
    <t>嗖</t>
  </si>
  <si>
    <t>蛭</t>
  </si>
  <si>
    <t>诙</t>
  </si>
  <si>
    <t>烩</t>
  </si>
  <si>
    <t>铠</t>
  </si>
  <si>
    <t>栎</t>
  </si>
  <si>
    <t>獾</t>
  </si>
  <si>
    <t>螨</t>
  </si>
  <si>
    <t>喨</t>
  </si>
  <si>
    <t>錙</t>
  </si>
  <si>
    <t>鍬</t>
  </si>
  <si>
    <t>襠</t>
  </si>
  <si>
    <t>詼</t>
  </si>
  <si>
    <t>燴</t>
  </si>
  <si>
    <t>鎧</t>
  </si>
  <si>
    <t>櫟</t>
  </si>
  <si>
    <t>蟎</t>
  </si>
  <si>
    <t>鈎</t>
  </si>
  <si>
    <t>嗬</t>
  </si>
  <si>
    <t>榉</t>
  </si>
  <si>
    <t>掂</t>
  </si>
  <si>
    <t>怄</t>
  </si>
  <si>
    <t>诹</t>
  </si>
  <si>
    <t>溼</t>
  </si>
  <si>
    <t>蚁</t>
  </si>
  <si>
    <t>蹟</t>
  </si>
  <si>
    <t>櫸</t>
  </si>
  <si>
    <t>慪</t>
  </si>
  <si>
    <t>諏</t>
  </si>
  <si>
    <t>鬆</t>
  </si>
  <si>
    <t>髮</t>
  </si>
  <si>
    <t>捨</t>
  </si>
  <si>
    <t>蟻</t>
  </si>
  <si>
    <t>嘗</t>
  </si>
  <si>
    <t>錶</t>
  </si>
  <si>
    <t>穀</t>
  </si>
  <si>
    <t>註</t>
  </si>
  <si>
    <t>侯</t>
  </si>
  <si>
    <t>骆</t>
  </si>
  <si>
    <t>莎</t>
  </si>
  <si>
    <t>簿</t>
  </si>
  <si>
    <t>宛</t>
  </si>
  <si>
    <t>詹</t>
  </si>
  <si>
    <t>哮</t>
  </si>
  <si>
    <t>啼</t>
  </si>
  <si>
    <t>诡</t>
  </si>
  <si>
    <t>螃</t>
  </si>
  <si>
    <t>咛</t>
  </si>
  <si>
    <t>蜘</t>
  </si>
  <si>
    <t>婶</t>
  </si>
  <si>
    <t>嚣</t>
  </si>
  <si>
    <t>駱</t>
  </si>
  <si>
    <t>歎</t>
  </si>
  <si>
    <t>詭</t>
  </si>
  <si>
    <t>嚀</t>
  </si>
  <si>
    <t>倖</t>
  </si>
  <si>
    <t>嬸</t>
  </si>
  <si>
    <t>囂</t>
  </si>
  <si>
    <t>凋</t>
  </si>
  <si>
    <t>砲</t>
  </si>
  <si>
    <t>氢</t>
  </si>
  <si>
    <t>晾</t>
  </si>
  <si>
    <t>湛</t>
  </si>
  <si>
    <t>镯</t>
  </si>
  <si>
    <t>愕</t>
  </si>
  <si>
    <t>厮</t>
  </si>
  <si>
    <t>踱</t>
  </si>
  <si>
    <t>谧</t>
  </si>
  <si>
    <t>拷</t>
  </si>
  <si>
    <t>腋</t>
  </si>
  <si>
    <t>菱</t>
  </si>
  <si>
    <t>徬</t>
  </si>
  <si>
    <t>喔</t>
  </si>
  <si>
    <t>氫</t>
  </si>
  <si>
    <t>鐲</t>
  </si>
  <si>
    <t>廝</t>
  </si>
  <si>
    <t>謐</t>
  </si>
  <si>
    <t>诲</t>
  </si>
  <si>
    <t>噢</t>
  </si>
  <si>
    <t>悴</t>
  </si>
  <si>
    <t>氯</t>
  </si>
  <si>
    <t>菠</t>
  </si>
  <si>
    <t>憎</t>
  </si>
  <si>
    <t>柠</t>
  </si>
  <si>
    <t>疵</t>
  </si>
  <si>
    <t>檀</t>
  </si>
  <si>
    <t>悖</t>
  </si>
  <si>
    <t>诅</t>
  </si>
  <si>
    <t>纾</t>
  </si>
  <si>
    <t>漉</t>
  </si>
  <si>
    <t>矜</t>
  </si>
  <si>
    <t>枭</t>
  </si>
  <si>
    <t>誨</t>
  </si>
  <si>
    <t>檸</t>
  </si>
  <si>
    <t>痠</t>
  </si>
  <si>
    <t>詛</t>
  </si>
  <si>
    <t>紓</t>
  </si>
  <si>
    <t>梟</t>
  </si>
  <si>
    <t>懵</t>
  </si>
  <si>
    <t>饪</t>
  </si>
  <si>
    <t>漱</t>
  </si>
  <si>
    <t>踉</t>
  </si>
  <si>
    <t>捺</t>
  </si>
  <si>
    <t>诬</t>
  </si>
  <si>
    <t>蛎</t>
  </si>
  <si>
    <t>滂</t>
  </si>
  <si>
    <t>辘</t>
  </si>
  <si>
    <t>痔</t>
  </si>
  <si>
    <t>莞</t>
  </si>
  <si>
    <t>啬</t>
  </si>
  <si>
    <t>幔</t>
  </si>
  <si>
    <t>簌</t>
  </si>
  <si>
    <t>鲔</t>
  </si>
  <si>
    <t>篦</t>
  </si>
  <si>
    <t>飪</t>
  </si>
  <si>
    <t>誣</t>
  </si>
  <si>
    <t>蠣</t>
  </si>
  <si>
    <t>轆</t>
  </si>
  <si>
    <t>嗇</t>
  </si>
  <si>
    <t>鮪</t>
  </si>
  <si>
    <t>嗒</t>
  </si>
  <si>
    <t>诣</t>
  </si>
  <si>
    <t>鸠</t>
  </si>
  <si>
    <t>铰</t>
  </si>
  <si>
    <t>瞟</t>
  </si>
  <si>
    <t>狞</t>
  </si>
  <si>
    <t>啥</t>
  </si>
  <si>
    <t>椹</t>
  </si>
  <si>
    <t>踮</t>
  </si>
  <si>
    <t>寅</t>
  </si>
  <si>
    <t>臧</t>
  </si>
  <si>
    <t>哒</t>
  </si>
  <si>
    <t>鲛</t>
  </si>
  <si>
    <t>锃</t>
  </si>
  <si>
    <t>詣</t>
  </si>
  <si>
    <t>鳩</t>
  </si>
  <si>
    <t>鉸</t>
  </si>
  <si>
    <t>獰</t>
  </si>
  <si>
    <t>噠</t>
  </si>
  <si>
    <t>鮫</t>
  </si>
  <si>
    <t>裏</t>
  </si>
  <si>
    <t>鋥</t>
  </si>
  <si>
    <t>碴</t>
  </si>
  <si>
    <t>咝</t>
  </si>
  <si>
    <t>喱</t>
  </si>
  <si>
    <t>儆</t>
  </si>
  <si>
    <t>埃</t>
  </si>
  <si>
    <t>鸿</t>
  </si>
  <si>
    <t>驼</t>
  </si>
  <si>
    <t>喃</t>
  </si>
  <si>
    <t>噝</t>
  </si>
  <si>
    <t>臺</t>
  </si>
  <si>
    <t>係</t>
  </si>
  <si>
    <t>麵</t>
  </si>
  <si>
    <t>鴻</t>
  </si>
  <si>
    <t>瞭</t>
  </si>
  <si>
    <t>餵</t>
  </si>
  <si>
    <t>鍊</t>
  </si>
  <si>
    <t>紮</t>
  </si>
  <si>
    <t>駝</t>
  </si>
  <si>
    <t>髒</t>
  </si>
  <si>
    <t>惶</t>
  </si>
  <si>
    <t>簷</t>
  </si>
  <si>
    <t>襟</t>
  </si>
  <si>
    <t>薛</t>
  </si>
  <si>
    <t>鲤</t>
  </si>
  <si>
    <t>蜿</t>
  </si>
  <si>
    <t>巍</t>
  </si>
  <si>
    <t>蔚</t>
  </si>
  <si>
    <t>漓</t>
  </si>
  <si>
    <t>墩</t>
  </si>
  <si>
    <t>鞍</t>
  </si>
  <si>
    <t>撩</t>
  </si>
  <si>
    <t>嚏</t>
  </si>
  <si>
    <t>硫</t>
  </si>
  <si>
    <t>鬍</t>
  </si>
  <si>
    <t>鯉</t>
  </si>
  <si>
    <t>籤</t>
  </si>
  <si>
    <t>嘟</t>
  </si>
  <si>
    <t>憧</t>
  </si>
  <si>
    <t>锄</t>
  </si>
  <si>
    <t>蟾</t>
  </si>
  <si>
    <t>谭</t>
  </si>
  <si>
    <t>蜍</t>
  </si>
  <si>
    <t>钝</t>
  </si>
  <si>
    <t>猿</t>
  </si>
  <si>
    <t>绢</t>
  </si>
  <si>
    <t>嘈</t>
  </si>
  <si>
    <t>飕</t>
  </si>
  <si>
    <t>榆</t>
  </si>
  <si>
    <t>镀</t>
  </si>
  <si>
    <t>渲</t>
  </si>
  <si>
    <t>鋤</t>
  </si>
  <si>
    <t>譚</t>
  </si>
  <si>
    <t>鈍</t>
  </si>
  <si>
    <t>絹</t>
  </si>
  <si>
    <t>颼</t>
  </si>
  <si>
    <t>颳</t>
  </si>
  <si>
    <t>鍍</t>
  </si>
  <si>
    <t>痉</t>
  </si>
  <si>
    <t>嘹</t>
  </si>
  <si>
    <t>锵</t>
  </si>
  <si>
    <t>鲑</t>
  </si>
  <si>
    <t>赘</t>
  </si>
  <si>
    <t>叽</t>
  </si>
  <si>
    <t>觑</t>
  </si>
  <si>
    <t>铢</t>
  </si>
  <si>
    <t>跷</t>
  </si>
  <si>
    <t>跄</t>
  </si>
  <si>
    <t>氨</t>
  </si>
  <si>
    <t>厥</t>
  </si>
  <si>
    <t>惮</t>
  </si>
  <si>
    <t>噤</t>
  </si>
  <si>
    <t>鳗</t>
  </si>
  <si>
    <t>痙</t>
  </si>
  <si>
    <t>鏘</t>
  </si>
  <si>
    <t>鮭</t>
  </si>
  <si>
    <t>贅</t>
  </si>
  <si>
    <t>嘰</t>
  </si>
  <si>
    <t>覷</t>
  </si>
  <si>
    <t>銖</t>
  </si>
  <si>
    <t>蹺</t>
  </si>
  <si>
    <t>蹌</t>
  </si>
  <si>
    <t>鎚</t>
  </si>
  <si>
    <t>憚</t>
  </si>
  <si>
    <t>鰻</t>
  </si>
  <si>
    <t>嘀</t>
  </si>
  <si>
    <t>鱿</t>
  </si>
  <si>
    <t>蔷</t>
  </si>
  <si>
    <t>辕</t>
  </si>
  <si>
    <t>跛</t>
  </si>
  <si>
    <t>赊</t>
  </si>
  <si>
    <t>黠</t>
  </si>
  <si>
    <t>濑</t>
  </si>
  <si>
    <t>碇</t>
  </si>
  <si>
    <t>幌</t>
  </si>
  <si>
    <t>箴</t>
  </si>
  <si>
    <t>豌</t>
  </si>
  <si>
    <t>燎</t>
  </si>
  <si>
    <t>獭</t>
  </si>
  <si>
    <t>蠹</t>
  </si>
  <si>
    <t>綵</t>
  </si>
  <si>
    <t>魷</t>
  </si>
  <si>
    <t>薔</t>
  </si>
  <si>
    <t>轅</t>
  </si>
  <si>
    <t>賒</t>
  </si>
  <si>
    <t>瀨</t>
  </si>
  <si>
    <t>獺</t>
  </si>
  <si>
    <t>疥</t>
  </si>
  <si>
    <t>萱</t>
  </si>
  <si>
    <t>窸</t>
  </si>
  <si>
    <t>荞</t>
  </si>
  <si>
    <t>糬</t>
  </si>
  <si>
    <t>摞</t>
  </si>
  <si>
    <t>噼</t>
  </si>
  <si>
    <t>埼</t>
  </si>
  <si>
    <t>淑</t>
  </si>
  <si>
    <t>蔡</t>
  </si>
  <si>
    <t>袄</t>
  </si>
  <si>
    <t>棕</t>
  </si>
  <si>
    <t>衊</t>
  </si>
  <si>
    <t>蕎</t>
  </si>
  <si>
    <t>謡</t>
  </si>
  <si>
    <t>鑑</t>
  </si>
  <si>
    <t>鬚</t>
  </si>
  <si>
    <t>襖</t>
  </si>
  <si>
    <t>鹉</t>
  </si>
  <si>
    <t>蹄</t>
  </si>
  <si>
    <t>鸥</t>
  </si>
  <si>
    <t>懊</t>
  </si>
  <si>
    <t>箩</t>
  </si>
  <si>
    <t>篱</t>
  </si>
  <si>
    <t>砾</t>
  </si>
  <si>
    <t>寇</t>
  </si>
  <si>
    <t>鳞</t>
  </si>
  <si>
    <t>斟</t>
  </si>
  <si>
    <t>脓</t>
  </si>
  <si>
    <t>鹊</t>
  </si>
  <si>
    <t>憬</t>
  </si>
  <si>
    <t>铿</t>
  </si>
  <si>
    <t>憩</t>
  </si>
  <si>
    <t>鵡</t>
  </si>
  <si>
    <t>檯</t>
  </si>
  <si>
    <t>鷗</t>
  </si>
  <si>
    <t>籮</t>
  </si>
  <si>
    <t>籬</t>
  </si>
  <si>
    <t>礫</t>
  </si>
  <si>
    <t>鱗</t>
  </si>
  <si>
    <t>膿</t>
  </si>
  <si>
    <t>鵲</t>
  </si>
  <si>
    <t>鏗</t>
  </si>
  <si>
    <t>莺</t>
  </si>
  <si>
    <t>黝</t>
  </si>
  <si>
    <t>榄</t>
  </si>
  <si>
    <t>鸳</t>
  </si>
  <si>
    <t>羁</t>
  </si>
  <si>
    <t>囉</t>
  </si>
  <si>
    <t>鸯</t>
  </si>
  <si>
    <t>孽</t>
  </si>
  <si>
    <t>怂</t>
  </si>
  <si>
    <t>霾</t>
  </si>
  <si>
    <t>哝</t>
  </si>
  <si>
    <t>惆</t>
  </si>
  <si>
    <t>擒</t>
  </si>
  <si>
    <t>纫</t>
  </si>
  <si>
    <t>鶯</t>
  </si>
  <si>
    <t>癥</t>
  </si>
  <si>
    <t>欖</t>
  </si>
  <si>
    <t>鴛</t>
  </si>
  <si>
    <t>羈</t>
  </si>
  <si>
    <t>鴦</t>
  </si>
  <si>
    <t>慫</t>
  </si>
  <si>
    <t>噥</t>
  </si>
  <si>
    <t>齣</t>
  </si>
  <si>
    <t>紉</t>
  </si>
  <si>
    <t>癞</t>
  </si>
  <si>
    <t>瘸</t>
  </si>
  <si>
    <t>馄</t>
  </si>
  <si>
    <t>欸</t>
  </si>
  <si>
    <t>绺</t>
  </si>
  <si>
    <t>噘</t>
  </si>
  <si>
    <t>獗</t>
  </si>
  <si>
    <t>燻</t>
  </si>
  <si>
    <t>砺</t>
  </si>
  <si>
    <t>窣</t>
  </si>
  <si>
    <t>撅</t>
  </si>
  <si>
    <t>舖</t>
  </si>
  <si>
    <t>囔</t>
  </si>
  <si>
    <t>灕</t>
  </si>
  <si>
    <t>癩</t>
  </si>
  <si>
    <t>餛</t>
  </si>
  <si>
    <t>綹</t>
  </si>
  <si>
    <t>礪</t>
  </si>
  <si>
    <t>製</t>
  </si>
  <si>
    <t>蟹</t>
  </si>
  <si>
    <t>鲸</t>
  </si>
  <si>
    <t>驴</t>
  </si>
  <si>
    <t>缎</t>
  </si>
  <si>
    <t>疮</t>
  </si>
  <si>
    <t>黯</t>
  </si>
  <si>
    <t>鹦</t>
  </si>
  <si>
    <t>璧</t>
  </si>
  <si>
    <t>哟</t>
  </si>
  <si>
    <t>绊</t>
  </si>
  <si>
    <t>碱</t>
  </si>
  <si>
    <t>飨</t>
  </si>
  <si>
    <t>肴</t>
  </si>
  <si>
    <t>茧</t>
  </si>
  <si>
    <t>洼</t>
  </si>
  <si>
    <t>鯨</t>
  </si>
  <si>
    <t>驢</t>
  </si>
  <si>
    <t>緞</t>
  </si>
  <si>
    <t>瘡</t>
  </si>
  <si>
    <t>鸚</t>
  </si>
  <si>
    <t>喲</t>
  </si>
  <si>
    <t>絆</t>
  </si>
  <si>
    <t>瀰</t>
  </si>
  <si>
    <t>鹼</t>
  </si>
  <si>
    <t>饗</t>
  </si>
  <si>
    <t>餚</t>
  </si>
  <si>
    <t>繭</t>
  </si>
  <si>
    <t>窪</t>
  </si>
  <si>
    <t>癖</t>
  </si>
  <si>
    <t>瘩</t>
  </si>
  <si>
    <t>觎</t>
  </si>
  <si>
    <t>镖</t>
  </si>
  <si>
    <t>忏</t>
  </si>
  <si>
    <t>缭</t>
  </si>
  <si>
    <t>邂</t>
  </si>
  <si>
    <t>饨</t>
  </si>
  <si>
    <t>攥</t>
  </si>
  <si>
    <t>蹿</t>
  </si>
  <si>
    <t>颧</t>
  </si>
  <si>
    <t>覦</t>
  </si>
  <si>
    <t>鏢</t>
  </si>
  <si>
    <t>懺</t>
  </si>
  <si>
    <t>繚</t>
  </si>
  <si>
    <t>飩</t>
  </si>
  <si>
    <t>躥</t>
  </si>
  <si>
    <t>顴</t>
  </si>
  <si>
    <t>緻</t>
  </si>
  <si>
    <t>慾</t>
  </si>
  <si>
    <t>繫</t>
  </si>
  <si>
    <t>嚮</t>
  </si>
  <si>
    <t>籲</t>
  </si>
  <si>
    <t>榕</t>
  </si>
  <si>
    <t>蓉</t>
  </si>
  <si>
    <t>麟</t>
  </si>
  <si>
    <t>颅</t>
  </si>
  <si>
    <t>熔</t>
  </si>
  <si>
    <t>瘪</t>
  </si>
  <si>
    <t>骡</t>
  </si>
  <si>
    <t>窖</t>
  </si>
  <si>
    <t>赝</t>
  </si>
  <si>
    <t>绾</t>
  </si>
  <si>
    <t>缛</t>
  </si>
  <si>
    <t>槭</t>
  </si>
  <si>
    <t>嘁</t>
  </si>
  <si>
    <t>锣</t>
  </si>
  <si>
    <t>顱</t>
  </si>
  <si>
    <t>癟</t>
  </si>
  <si>
    <t>鵰</t>
  </si>
  <si>
    <t>騾</t>
  </si>
  <si>
    <t>贗</t>
  </si>
  <si>
    <t>綰</t>
  </si>
  <si>
    <t>縟</t>
  </si>
  <si>
    <t>鑼</t>
  </si>
  <si>
    <t>鍾</t>
  </si>
  <si>
    <t>濒</t>
  </si>
  <si>
    <t>峦</t>
  </si>
  <si>
    <t>挛</t>
  </si>
  <si>
    <t>镰</t>
  </si>
  <si>
    <t>绫</t>
  </si>
  <si>
    <t>癫</t>
  </si>
  <si>
    <t>嚓</t>
  </si>
  <si>
    <t>槟</t>
  </si>
  <si>
    <t>瀕</t>
  </si>
  <si>
    <t>癒</t>
  </si>
  <si>
    <t>饑</t>
  </si>
  <si>
    <t>巒</t>
  </si>
  <si>
    <t>攣</t>
  </si>
  <si>
    <t>鐮</t>
  </si>
  <si>
    <t>綾</t>
  </si>
  <si>
    <t>癲</t>
  </si>
  <si>
    <t>讚</t>
  </si>
  <si>
    <t>檳</t>
  </si>
  <si>
    <t>癡</t>
  </si>
  <si>
    <t>Num of Lines</t>
  </si>
  <si>
    <t>Pixels per Line</t>
  </si>
  <si>
    <t>Pixels per Char</t>
  </si>
  <si>
    <t>Include Box Breaks</t>
  </si>
  <si>
    <t>Include Scrolling</t>
  </si>
  <si>
    <t>Vertically Center Text</t>
  </si>
  <si>
    <t>Box Style</t>
  </si>
  <si>
    <t>Start Tile X</t>
  </si>
  <si>
    <t>Start Tile Y</t>
  </si>
  <si>
    <t>你好！我是真菰博士。{NEW}如你所见，我是一名科学家。其实，我的研究课题正是“训练家”！我的梦想是收集各种训练家的存档数据，但目前还没取得什么突破……{NEW}所以在此期间，我正和一位老朋友合作进行另一个项目！在我所在的地区，有一个能让宝可梦的梦境变为现实的地方。这意味着它们在梦中遇到的其他宝可梦也会成真！这太棒了，而我的目标也是实现同样的效果——只不过对象换成了训练家的梦境！所以我需要你的帮助！我想尽可能多地把宝可梦从你的梦境中带到现实世界来！我想在我的“梦境宝可梦图鉴”（简称“梦境图鉴”）中收录两百多种宝可梦。不过，带出来的宝可梦都归你——毕竟它们原本就来自你的梦境嘛！最后提醒一句，建议你备份存档数据——以防万一出现什么意外！{NEW}我想大概就是这些了……只要你准备好开始，随时告诉我！</t>
  </si>
  <si>
    <t>嘿，训练家！很高兴你决定协助我们的研究，但我们需要的是最顶尖的高手！等你成为冠军后再回来吧！</t>
  </si>
  <si>
    <t>抱歉，训练家，在开始之前还有一件事需要处理——你需要开启“神秘礼物”功能！请前往最近的宝可梦中心或宝可梦商店，按如下内容填写问卷：LINK TOGETHER WITH ALL。完成这些步骤后，你就准备就绪了！回头见！</t>
  </si>
  <si>
    <t>抱歉，训练家，在开始之前还有一件事需要处理——你需要开启“神秘事件”功能！请前往橙华市的宝可梦中心，对电脑旁的那位男士说：MYSTERY EVENT IS EXCITING。做完这些，你就准备就绪了！回头见！</t>
  </si>
  <si>
    <t>太好了，这就是我需要的所有信息！我们开始吧！</t>
  </si>
  <si>
    <t>请在第二台 Game Boy 上加载您想要从中进行传输的游戏。在该游戏中，请确保当前选定的BOX正是您想要传输数据的那个箱子。随后，使用 Game Boy Color 通信线缆将两台主机连接起来。准备就绪后，与Cable Club的工作人员对话并启动连接。</t>
  </si>
  <si>
    <t>太棒了！绝妙！{新}一切都进行得完美无缺！</t>
  </si>
  <si>
    <t>看来这里至少有一只“梦幻图鉴”里没有收录的新宝可梦！作为奖励，我会给你们一些特别甜的美味。</t>
  </si>
  <si>
    <t>看起来你的“梦幻图鉴”里没有什么新发现，但这没关系！通过多次测试来确认研究结果是很重要的！</t>
  </si>
  <si>
    <t>我会把这些宝可梦送到我的一位朋友那里，这样你就可以去领取了！他就住在“SEVEN ISLAND”宝可梦中心的南边！</t>
  </si>
  <si>
    <t>我会把这些宝可梦传给我的朋友，这样你就可以去领取了！他们住在“MOSSDEEP CITY”宝可梦中心的东南方！</t>
  </si>
  <si>
    <t>我会把这些宝可梦送到我的一位朋友那里，这样你就可以去领取了！他们住在“SOOTOPOLIS CITY”宝可梦中心的东南方向！</t>
  </si>
  <si>
    <t>非常感谢您的帮助！如果您想传送更多宝可梦，随时告诉我！回头见！</t>
  </si>
  <si>
    <t>嗨，训练师！{NEW}{NEW}您当前似乎加载了其他赛事。这没关系，但如果您继续操作，它将被覆盖。如果您想体验当前赛事，请立即关闭系统；否则——</t>
  </si>
  <si>
    <t>训练家你好！{NEW}{NEW}看来你还有一些宝可梦需要领取……{NEW}在你领取之前，我无法发送新的宝可梦给你。{NEW}领取之后再回来吧！</t>
  </si>
  <si>
    <t>抱歉，训练家，您当前的活动“宝可梦箱”里似乎没有符合条件的宝可梦。请您再次确认一下箱子里的情况，我们再试一次吧！</t>
  </si>
  <si>
    <t>嗨，教练！{NEW}{NEW}在开始之前，我需要问你几个问题。</t>
  </si>
  <si>
    <t>太好了！{NEW}那是哪款游戏？</t>
  </si>
  <si>
    <t>首先，你要从中进行传输的 Game Boy 游戏是什么语言版本的？</t>
  </si>
  <si>
    <t>抱歉，该语言的那个版本目前不受支持。</t>
  </si>
  <si>
    <t>好了！让我们来看看即将传送的宝可梦。请注意，宝可梦一旦传送，便无法送回原本的游戏。准备好后请选择“确认”，如果改变主意，请选择“取消”。</t>
  </si>
  <si>
    <t>看来你拥有一只稀有的幻之宝可梦！由于它们非常稀有，机器似乎已经超负荷运转了。如果你愿意，我可以帮你稳定它们，但这会改变一些信息，例如相遇地点、训练家ID、训练家ID和闪光状态。或者我可以保持它们原样，但无法保证它们将来可以传送。你想让我帮你稳定它们吗？{NEW}这将适用于你宝可梦盒子里所有幻之宝可梦。</t>
  </si>
  <si>
    <t>没关系！如果您改变主意，随时欢迎回来！回头见！</t>
  </si>
  <si>
    <t>我发现至少有一只宝可梦无法从你当前的BOX中传送。携带道具或通过非预期手段进行了不当修改的宝可梦是无法传送的。不过，其他的宝可梦都可以正常传送！</t>
  </si>
  <si>
    <t>没问题！欢迎随时再来！</t>
  </si>
  <si>
    <t>……看来你的某只宝可梦在捣鼓那台机器！不过这似乎只是显示上的问题，所以我们可以继续！</t>
  </si>
  <si>
    <t>看来你去的是斗兽场而不是交易室！{NEW}我们再试一次！</t>
  </si>
  <si>
    <t>与另一台设备的通信已终止。{NEW}让我们再试一次！</t>
  </si>
  <si>
    <t>看来 Game Boy Color 通信线断开了……{NEW}让我们再试一次！</t>
  </si>
  <si>
    <t>看来连接超时了……我们再试一次吧！</t>
  </si>
  <si>
    <t>连接似乎超时了……{NEW}我们再试一次吧！</t>
  </si>
  <si>
    <t>您想要向其发送活动的 Game Boy 版游戏是什么语言版本的？</t>
  </si>
  <si>
    <t>你想向哪款 Game Boy 宝可梦游戏发送活动内容？</t>
  </si>
  <si>
    <t>抱歉，训练家，看来你还没集齐关都地区的全部 150 种宝可梦。去把它们都抓到手吧，这样我们就能把活动发送给你了！</t>
  </si>
  <si>
    <t>抱歉，训练家，看来你还没抓齐城都地区的全部 99 只新宝可梦。去把它们都抓到手吧，这样我们就能把活动发送给你了！</t>
  </si>
  <si>
    <t>取消</t>
  </si>
  <si>
    <t>按下START按钮！</t>
  </si>
  <si>
    <t>传送宝可梦</t>
  </si>
  <si>
    <t>梦境图鉴</t>
  </si>
  <si>
    <t>制作人员名单</t>
  </si>
  <si>
    <t>教程与要求</t>
  </si>
  <si>
    <t>您好！感谢您使用 Poké Transporter GB！{NEW}{NEW}温馨提示：Poké Transporter GB 会修改 Game Boy 和 Game Boy Advance 的存档文件。{NEWNEW}虽然 Poké Transporter GB 已结束测试阶段，但我们仍然建议您在使用前备份存档文件。祝您游戏愉快！{NEWNEW}-The Gears of Progress</t>
  </si>
  <si>
    <t>Poké Transporter GB 的制作源于对宝可梦系列的热爱与推崇，完全不以营利为目的。它将永远免费，且绝不会作为实体卡带进行销售。请支持原开发商。所有宝可梦名称、像素图像及音乐的版权均归任天堂、Creatures 和 GAME FREAK 所有。</t>
  </si>
  <si>
    <t>无法读取存档文件。{NEW}请插入正版宝可梦 Game Boy Advance 游戏卡带，然后按下 A 键。{NEW}{NEW}或者，您也可以按下 SELECT 键，将此程序发送到另一台 Game Boy Advance。</t>
  </si>
  <si>
    <t>宝可梦游戏已被移除。请关闭系统并重新启动程序。</t>
  </si>
  <si>
    <t>请使用 Game Boy Advance 通信线缆将本机与另一台 Game Boy Advance 连接，并进入多重启动（Multiboot）模式。随后，按下 A 键，开始将《Poké Transporter GB》发送至第二台 Game Boy Advance。</t>
  </si>
  <si>
    <t>正在将《宝可梦虚拟传送》数据发送至第二台 Game Boy Advance 主机。{NEW}请稍候。{NEW}{NEW}按住 B 键可取消。</t>
  </si>
  <si>
    <t>Poké Transporter GB 已成功发送！{NEW}现在可以关闭这台{NEW}Game Boy Advance 主机了。</t>
  </si>
  <si>
    <t>发送{NEW}宝可梦传送器 GB 时发生错误。{NEW}{NEW}按 A 键返回说明屏幕并重试。</t>
  </si>
  <si>
    <t>{CTR}链接成功！{NEW}等待交易……{nCTR}</t>
  </si>
  <si>
    <t>{CTR}正在连接至{NEW}Game Boy……{nCTR}</t>
  </si>
  <si>
    <t>{CTR}正在传输数据……{NEW}请稍候！{nCTR}</t>
  </si>
  <si>
    <t>{CTR}由 The Gears of Progress 创建{NEW}{NEW}由 Striaton 实验室团队开发{nCTR}
{CTR}- Striaton 实验室团队 -{NEW}{NEW}开发者：{NEW}-The Gears of Progress{nCTR}{SPA}[26]-TimoVM{SPA}[54]-RisingPhil{NEW}{SPA}[26]-EasyAsPi314{SPA}[24]-aestellic{NEW}{SPA}[26]-Essometer{SPA}[35]-vpraion
{CTR}- Striaton 实验室团队 -{NEW}{NEW}艺术家：{NEW}-LJBirdman{NEW}{NEW}音乐家：{NEW}-AquaticAlloy{NEW}-Minra Starlight{nCTR}
{CTR}- Striaton 实验室团队 -{NEW}{NEW}译者：{nCTR}{SPA}[35]日语：Petrosjd{NEW}{SPA}[48]法语：Lugiadrien{NEW}{SPA}[48]德语：Ayumea{NEW}{SPA}[25]西班牙语-ES：Yuraite{NEW}{CTR}CONTINUED▶{nCTR}
{CTR}- Striaton 实验室团队 -{NEW}{NEW}译者：{nCTR}{SPA}[45]意大利语：D. ‘Lagger’ Garlini{NEW}{SPA}[92]A. Chieffi{NEW}{SPA}[25]西班牙语（拉美）：Christóbal{NEW}{SPA}[6]葡萄牙语（巴西）：Hyd
{CTR}开发协助：{NEW}-im a blisy{NEW}-rileyk64{NEW}-Shao{nCTR}
{CTR}构建工具：{NEW}-DevkitPro{NEW}-LibTonc{NEW}{nCTR}
{CTR}灵感来源：{NEW}-Goppier{NEW}-Lorenzooone{NEW}-im a blisy{NEW}-RETIRE{nCTR}
{CTR}使用程序：{NEW}-HexManiacAdvance{NEW}-PKHeX{NEW}-WC3Tool{NEW}-Usenti{NEW}-SappyMidToAGB{nCTR}
{CTR}开源代码与库：{NEW}-libtonc-examples{NEW}-PokemonGen3toGenX{NEW}-gba-link-connection{NEW}-awesome-gbadev{NEW}-arduino-poke-gen2{nCTR}
{CTR}研究资源：{NEW}-arm-docs{NEW}-PokemonGen3toGenX{NEW}{NEW}完整链接可在本程序的 GitHub 页面找到{nCTR}
{CTR}ROM 数据源自 PRET 团队制作的反编译项目{nCTR}
{CTR}宝可梦数据来源：{NEW}-Bulbapedia{NEW}-Serebii{NEW}-PokeAPI.com{nCTR}
{CTR}Discord 社区协助：{NEW}-Hex Maniac Advance{NEW} 开发组{NEW}-gbadev{NEW}-pret{nCTR}
{CTR}文案协助：{NEW}-Mad{nCTR}
{CTR}特别感谢 Lorenzooone 在存档数据读写方面提供的协助。没有他们，这个项目就不可能实现。{nCTR}
{CTR}特别感谢 roku、Sleepy、Eza、sarahtonin、Basabi、Mad，以及所有多年来听我唠叨这个项目的人！{nCTR}
{CTR}所有宝可梦名称、精灵图像及相关资源名称的版权均归任天堂（Nintendo）、Creatures 和 GAME FREAK 所有。{nCTR}
{CTR}本项目未获得 GAME FREAK 或任天堂的认可或支持。{NEW}{NEW}请支持原开发商。{nCTR}
{CTR}- 所需设备 -{nCTR}・一台 Game Boy Advance{NEW}・另一台 Game Boy Advance 或{NEW}{SPA}[3]一台 Game Boy Color{NEW}・Game Boy Color 通信线{NEW}・Game Boy Advance 通信线{NEW}{SPA}[3]（可选，仅用于多重启动模式）{NEW}{SPA}[202]➡
{CTR}- 准备游戏 -{nCTR}{NEW}Game Boy Advance 游戏要求：{NEW}・已进入“殿堂”{NEW}・已开启“神秘礼物”功能{NEW}・确保电脑（PC）中有足够空间接收传送过来的宝可梦{NEW}⬅{SPA}[195]➡
{CTR}- 准备游戏 -{NEW}如何在《红宝石》与《蓝宝石》中{NEW}开启“神秘礼物”{nCTR}{NEW}在橙华市（Petalburg）宝可梦中心，{NEW}对电脑旁的人说：{NEW}{CTR}MYSTERY EVENT IS EXCITING{nCTR}⬅{SPA}[195]➡
{CTR}- 准备游戏 -{NEW}如何在《火红》、《叶绿》与《绿宝石》中{NEW}开启“神秘礼物”{nCTR}{NEW}在宝可梦商店（Pokémon Mart），按如下内容填写问卷：{NEW}{CTR}LINK TOGETHER WITH ALL{nCTR}⬅{SPA}[195]➡
{CTR}- 准备游戏 -{nCTR}{NEW}Game Boy 游戏要求：{NEW}・确保电脑（PC）中当前选定的“箱子”（BOX）即为您想要传送的那个箱子宝可梦{NEW}{NEW}⬅{SPA}[195]➡
{CTR}- 建议 -{nCTR}{NEW}“Poké Transporter GB”目前仍在开发中。因此，建议您尽可能备份存档。{NEW}{NEW}⬅{SPA}[195]➡
{CTR}- 暂不支持 -{nCTR}{NEW}{NEW}・所有日文版游戏{NEW}・韩文版《金》与《银》{NEW}{NEW}{NEW}⬅{SPA}[195]➡
{CTR}- 已知错误 -{nCTR}・原因不明：在将宝可梦传送至某些《绿宝石》存档时，按下“确认”后程序可能会崩溃。若未崩溃，帅哥（Looker）的形象可能会出现显示异常。{NEW}⬅</t>
  </si>
  <si>
    <t>咩</t>
  </si>
  <si>
    <t>喵</t>
  </si>
  <si>
    <t>榛</t>
  </si>
  <si>
    <t>毽</t>
  </si>
  <si>
    <t>狃</t>
  </si>
  <si>
    <t>瑙</t>
  </si>
  <si>
    <t>瓢</t>
  </si>
  <si>
    <t>着</t>
  </si>
  <si>
    <t>竺</t>
  </si>
  <si>
    <t>菰</t>
  </si>
  <si>
    <t>蚪</t>
  </si>
  <si>
    <t>蛹</t>
  </si>
  <si>
    <t>蝌</t>
  </si>
  <si>
    <t>蝎</t>
  </si>
  <si>
    <t>螳</t>
  </si>
  <si>
    <t>貘</t>
  </si>
  <si>
    <t>雳</t>
  </si>
  <si>
    <t>霹</t>
  </si>
  <si>
    <t>麒</t>
  </si>
  <si>
    <t>Quote</t>
  </si>
  <si>
    <t>Explanation</t>
  </si>
  <si>
    <t>PTGB will be released on February 27th, 2026!</t>
  </si>
  <si>
    <t>Over-engineered spaghetti!</t>
  </si>
  <si>
    <t>Squeezing every kilobyte!</t>
  </si>
  <si>
    <t>gameboy-payload-update is the new release-candidate candidate!</t>
  </si>
  <si>
    <t>It's so over!</t>
  </si>
  <si>
    <t>We're so back!</t>
  </si>
  <si>
    <t>#feature-creep</t>
  </si>
  <si>
    <t>Definitely not a cult!</t>
  </si>
  <si>
    <t>3.3 == 5.0</t>
  </si>
  <si>
    <t>Sorry for breaking your emulators!</t>
  </si>
  <si>
    <t>AAAAAAAAAAAAAAAAAAAAAA</t>
  </si>
  <si>
    <t>What were you thinking, Gears?</t>
  </si>
  <si>
    <t>{Trans, Vtuber, French} uprising!</t>
  </si>
  <si>
    <t>PTGB is up to date.</t>
  </si>
  <si>
    <t>We'll rewrite build_script soon!</t>
  </si>
  <si>
    <t>v1.3.0 when?</t>
  </si>
  <si>
    <t>Downloading more IWRAM!</t>
  </si>
  <si>
    <t>The human eye can't see more than 256 KiB!</t>
  </si>
  <si>
    <t>sdfklajhsdlkfj MG Script exceeded by 104 bytes!</t>
  </si>
  <si>
    <t>Repelled MissingNo.!</t>
  </si>
  <si>
    <t>Welp, back to the text_engine mines!</t>
  </si>
  <si>
    <t>Rewrite it in ASM/Rust!</t>
  </si>
  <si>
    <t>Treecko-proof!</t>
  </si>
  <si>
    <t>ZZDZZAZZ4ZZ</t>
  </si>
  <si>
    <t>Well behaved malware!</t>
  </si>
  <si>
    <t>Umbreon is a Dragon type!</t>
  </si>
  <si>
    <t>Now with language support!</t>
  </si>
  <si>
    <t>Featuring Ditto that are rEALLYgood at staying transformed!</t>
  </si>
  <si>
    <t>Welcome back, Gears of Progress here!</t>
  </si>
  <si>
    <t>Shining at the end of every day!</t>
  </si>
  <si>
    <t>The kind of dream that gets better the more people you share it with!</t>
  </si>
  <si>
    <t>Made from all over the world!</t>
  </si>
  <si>
    <t>Ladies and gentlemen, for your own safety, please grasp your armrests firmly!</t>
  </si>
  <si>
    <t>You're telling me a fish fried this ptgb?</t>
  </si>
  <si>
    <t>7.8 Too much water.</t>
  </si>
  <si>
    <t>Justice for Brigette</t>
  </si>
  <si>
    <t>Brigette is the character used in the Pokémon Bank, and will lost her job on February 26th 2027</t>
  </si>
  <si>
    <t>A three minute egg must boil for three minutes.</t>
  </si>
  <si>
    <t>Why is Looker shiny?</t>
  </si>
  <si>
    <t>Reference to Looker color palette being bugged in Emerald under some circumstances</t>
  </si>
  <si>
    <t>Je suis mesure</t>
  </si>
  <si>
    <t>Missing word from Lugiadrien</t>
  </si>
  <si>
    <t>Togepi ruined everything!</t>
  </si>
  <si>
    <t>Togepi being hatch only made having a legal HGSS met location impossible, due to the hatch flag not transferring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</si>
</sst>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color theme="1"/>
      <name val="Arial"/>
      <scheme val="minor"/>
    </font>
    <font/>
    <font>
      <sz val="11.0"/>
      <color theme="1"/>
      <name val="Arial"/>
      <scheme val="minor"/>
    </font>
    <font>
      <u/>
      <color rgb="FF0000FF"/>
    </font>
    <font>
      <b/>
      <color rgb="FF0000FF"/>
      <name val="Arial"/>
      <scheme val="minor"/>
    </font>
    <font>
      <color theme="1"/>
      <name val="Arial"/>
    </font>
    <font>
      <color rgb="FF0000FF"/>
      <name val="Arial"/>
      <scheme val="minor"/>
    </font>
    <font>
      <b/>
      <color theme="1"/>
      <name val="Arial"/>
      <scheme val="minor"/>
    </font>
    <font>
      <color rgb="FF000000"/>
      <name val="Arial"/>
    </font>
    <font>
      <color theme="1"/>
      <name val="&quot;gg mono&quot;"/>
    </font>
  </fonts>
  <fills count="14">
    <fill>
      <patternFill patternType="none"/>
    </fill>
    <fill>
      <patternFill patternType="lightGray"/>
    </fill>
    <fill>
      <patternFill patternType="solid">
        <fgColor rgb="FFCCCCCC"/>
        <bgColor rgb="FFCCCCCC"/>
      </patternFill>
    </fill>
    <fill>
      <patternFill patternType="solid">
        <fgColor rgb="FFEA9999"/>
        <bgColor rgb="FFEA9999"/>
      </patternFill>
    </fill>
    <fill>
      <patternFill patternType="solid">
        <fgColor rgb="FFF9CB9C"/>
        <bgColor rgb="FFF9CB9C"/>
      </patternFill>
    </fill>
    <fill>
      <patternFill patternType="solid">
        <fgColor rgb="FF434343"/>
        <bgColor rgb="FF434343"/>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B4A7D6"/>
        <bgColor rgb="FFB4A7D6"/>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B7B7B7"/>
        <bgColor rgb="FFB7B7B7"/>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2" numFmtId="0" xfId="0" applyBorder="1" applyFont="1"/>
    <xf borderId="3" fillId="0" fontId="1" numFmtId="0" xfId="0" applyAlignment="1" applyBorder="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7" fillId="0" fontId="1" numFmtId="0" xfId="0" applyAlignment="1" applyBorder="1" applyFont="1">
      <alignment readingOrder="0"/>
    </xf>
    <xf borderId="8" fillId="0" fontId="1" numFmtId="0" xfId="0" applyAlignment="1" applyBorder="1" applyFont="1">
      <alignment readingOrder="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shrinkToFit="0" textRotation="0" vertical="center" wrapText="1"/>
    </xf>
    <xf borderId="0" fillId="2" fontId="3" numFmtId="0" xfId="0" applyAlignment="1" applyFill="1" applyFont="1">
      <alignment horizontal="center" readingOrder="0" shrinkToFit="0" vertical="center" wrapText="1"/>
    </xf>
    <xf borderId="0" fillId="3" fontId="1" numFmtId="164" xfId="0" applyAlignment="1" applyFill="1" applyFont="1" applyNumberFormat="1">
      <alignment horizontal="center" readingOrder="0" shrinkToFit="0" vertical="center" wrapText="1"/>
    </xf>
    <xf borderId="0" fillId="3"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3" fontId="1" numFmtId="0" xfId="0" applyAlignment="1" applyFill="1" applyFont="1">
      <alignment readingOrder="0" shrinkToFit="0" vertical="center" wrapText="1"/>
    </xf>
    <xf borderId="0" fillId="3" fontId="4" numFmtId="0" xfId="0" applyAlignment="1" applyFill="1" applyFont="1">
      <alignment readingOrder="0" shrinkToFit="0" vertical="center" wrapText="1"/>
    </xf>
    <xf borderId="0" fillId="3" fontId="5" numFmtId="0" xfId="0" applyAlignment="1" applyFill="1" applyFont="1">
      <alignment horizontal="center" readingOrder="0" shrinkToFit="0" vertical="center" wrapText="1"/>
    </xf>
    <xf borderId="0" fillId="3" fontId="5" numFmtId="0" xfId="0" applyAlignment="1" applyFill="1" applyFont="1">
      <alignment horizontal="center" shrinkToFit="0" vertical="center" wrapText="1"/>
    </xf>
    <xf borderId="0" fillId="4" fontId="1" numFmtId="0" xfId="0" applyAlignment="1" applyFill="1" applyFont="1">
      <alignment horizontal="center" readingOrder="0" shrinkToFit="0" vertical="center" wrapText="1"/>
    </xf>
    <xf borderId="0" fillId="4" fontId="1" numFmtId="0" xfId="0" applyAlignment="1" applyFill="1" applyFont="1">
      <alignment readingOrder="0" shrinkToFit="0" vertical="center" wrapText="1"/>
    </xf>
    <xf borderId="0" fillId="5" fontId="1" numFmtId="0" xfId="0" applyAlignment="1" applyFill="1" applyFont="1">
      <alignment readingOrder="0" shrinkToFit="0" vertical="center" wrapText="1"/>
    </xf>
    <xf borderId="0" fillId="4" fontId="6" numFmtId="0" xfId="0" applyAlignment="1" applyFill="1" applyFont="1">
      <alignment readingOrder="0" shrinkToFit="0" vertical="center" wrapText="1"/>
    </xf>
    <xf borderId="0" fillId="6" fontId="1" numFmtId="0" xfId="0" applyAlignment="1" applyFill="1" applyFont="1">
      <alignment horizontal="center" readingOrder="0" shrinkToFit="0" vertical="center" wrapText="1"/>
    </xf>
    <xf borderId="0" fillId="6" fontId="1" numFmtId="0" xfId="0" applyAlignment="1" applyFill="1" applyFont="1">
      <alignmen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ill="1" applyFont="1">
      <alignment readingOrder="0" shrinkToFit="0" vertical="center" wrapText="1"/>
    </xf>
    <xf borderId="0" fillId="7" fontId="6" numFmtId="0" xfId="0" applyAlignment="1" applyFill="1" applyFont="1">
      <alignment horizontal="center" shrinkToFit="0" vertical="center" wrapText="1"/>
    </xf>
    <xf borderId="0" fillId="7" fontId="6" numFmtId="0" xfId="0" applyAlignment="1" applyFill="1" applyFont="1">
      <alignment horizontal="center" readingOrder="0" shrinkToFit="0" vertical="center" wrapText="1"/>
    </xf>
    <xf borderId="0" fillId="7" fontId="6" numFmtId="0" xfId="0" applyAlignment="1" applyFill="1" applyFont="1">
      <alignment readingOrder="0" shrinkToFit="0" vertical="center" wrapText="1"/>
    </xf>
    <xf borderId="0" fillId="7" fontId="5" numFmtId="0" xfId="0" applyAlignment="1" applyFill="1" applyFont="1">
      <alignment horizontal="center" readingOrder="0" shrinkToFit="0" vertical="center" wrapText="1"/>
    </xf>
    <xf borderId="0" fillId="7" fontId="7"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8" fontId="1" numFmtId="0" xfId="0" applyAlignment="1" applyFill="1" applyFont="1">
      <alignment readingOrder="0" shrinkToFit="0" vertical="center" wrapText="1"/>
    </xf>
    <xf borderId="0" fillId="8" fontId="5" numFmtId="0" xfId="0" applyAlignment="1" applyFill="1" applyFont="1">
      <alignment horizontal="center" readingOrder="0" shrinkToFit="0" vertical="center" wrapText="1"/>
    </xf>
    <xf borderId="0" fillId="9" fontId="1" numFmtId="0" xfId="0" applyAlignment="1" applyFill="1" applyFont="1">
      <alignment horizontal="center" readingOrder="0" shrinkToFit="0" vertical="center" wrapText="1"/>
    </xf>
    <xf borderId="0" fillId="9" fontId="1" numFmtId="0" xfId="0" applyAlignment="1" applyFill="1" applyFont="1">
      <alignment readingOrder="0" shrinkToFit="0" vertical="center" wrapText="1"/>
    </xf>
    <xf borderId="0" fillId="9" fontId="8" numFmtId="0" xfId="0" applyAlignment="1" applyFill="1" applyFont="1">
      <alignment readingOrder="0" shrinkToFit="0" vertical="center" wrapText="1"/>
    </xf>
    <xf borderId="0" fillId="9" fontId="5" numFmtId="0" xfId="0" applyAlignment="1" applyFill="1" applyFont="1">
      <alignment horizontal="center" readingOrder="0" shrinkToFit="0" vertical="center" wrapText="1"/>
    </xf>
    <xf borderId="0" fillId="10" fontId="1" numFmtId="0" xfId="0" applyAlignment="1" applyFill="1" applyFont="1">
      <alignment horizontal="center" readingOrder="0" shrinkToFit="0" vertical="center" wrapText="1"/>
    </xf>
    <xf borderId="0" fillId="10" fontId="1" numFmtId="0" xfId="0" applyAlignment="1" applyFill="1" applyFont="1">
      <alignment readingOrder="0" shrinkToFit="0" vertical="center" wrapText="1"/>
    </xf>
    <xf borderId="1" fillId="0" fontId="1" numFmtId="0" xfId="0" applyAlignment="1" applyBorder="1" applyFont="1">
      <alignment horizontal="center" readingOrder="0" vertical="center"/>
    </xf>
    <xf borderId="9" fillId="0" fontId="2" numFmtId="0" xfId="0" applyBorder="1" applyFont="1"/>
    <xf borderId="0" fillId="0" fontId="1" numFmtId="0" xfId="0" applyAlignment="1" applyFont="1">
      <alignment horizontal="center" readingOrder="0" vertical="center"/>
    </xf>
    <xf borderId="3" fillId="0" fontId="1" numFmtId="0" xfId="0" applyAlignment="1" applyBorder="1" applyFont="1">
      <alignment horizontal="center" readingOrder="0" vertical="center"/>
    </xf>
    <xf borderId="10" fillId="0" fontId="2" numFmtId="0" xfId="0" applyBorder="1" applyFont="1"/>
    <xf borderId="4" fillId="0" fontId="2" numFmtId="0" xfId="0" applyBorder="1" applyFont="1"/>
    <xf borderId="1" fillId="0" fontId="6" numFmtId="0" xfId="0" applyAlignment="1" applyBorder="1" applyFont="1">
      <alignment horizontal="center" readingOrder="0"/>
    </xf>
    <xf borderId="3" fillId="0" fontId="1" numFmtId="0" xfId="0" applyAlignment="1" applyBorder="1" applyFont="1">
      <alignment horizontal="center" vertical="center"/>
    </xf>
    <xf borderId="10" fillId="0" fontId="1" numFmtId="0" xfId="0" applyAlignment="1" applyBorder="1" applyFont="1">
      <alignment horizontal="center" readingOrder="0" vertical="center"/>
    </xf>
    <xf borderId="0" fillId="11" fontId="1" numFmtId="0" xfId="0" applyAlignment="1" applyFill="1" applyFont="1">
      <alignment horizontal="center" readingOrder="0" vertical="center"/>
    </xf>
    <xf borderId="4" fillId="0" fontId="1" numFmtId="0" xfId="0" applyAlignment="1" applyBorder="1" applyFont="1">
      <alignment horizontal="center" readingOrder="0" vertical="center"/>
    </xf>
    <xf borderId="10" fillId="0" fontId="1" numFmtId="0" xfId="0" applyAlignment="1" applyBorder="1" applyFont="1">
      <alignment horizontal="center" readingOrder="0" shrinkToFit="0" vertical="center" wrapText="0"/>
    </xf>
    <xf borderId="4" fillId="0" fontId="1" numFmtId="0" xfId="0" applyAlignment="1" applyBorder="1" applyFont="1">
      <alignment horizontal="center" readingOrder="0" shrinkToFit="0" vertical="center" wrapText="0"/>
    </xf>
    <xf borderId="3" fillId="0" fontId="6" numFmtId="0" xfId="0" applyAlignment="1" applyBorder="1" applyFont="1">
      <alignment horizontal="center"/>
    </xf>
    <xf borderId="10" fillId="0" fontId="6" numFmtId="0" xfId="0" applyAlignment="1" applyBorder="1" applyFont="1">
      <alignment horizontal="center"/>
    </xf>
    <xf borderId="4" fillId="0" fontId="6" numFmtId="0" xfId="0" applyAlignment="1" applyBorder="1" applyFont="1">
      <alignment horizontal="center"/>
    </xf>
    <xf borderId="5" fillId="0" fontId="1" numFmtId="0" xfId="0" applyAlignment="1" applyBorder="1" applyFont="1">
      <alignment horizontal="center" readingOrder="0" vertical="center"/>
    </xf>
    <xf borderId="6" fillId="11" fontId="1" numFmtId="0" xfId="0" applyAlignment="1" applyBorder="1" applyFill="1" applyFont="1">
      <alignment horizontal="center" readingOrder="0" vertical="center"/>
    </xf>
    <xf borderId="5"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6" fillId="0" fontId="1" numFmtId="0" xfId="0" applyAlignment="1" applyBorder="1" applyFont="1">
      <alignment horizontal="center" shrinkToFit="0" vertical="center" wrapText="0"/>
    </xf>
    <xf borderId="5" fillId="0" fontId="6" numFmtId="0" xfId="0" applyAlignment="1" applyBorder="1" applyFont="1">
      <alignment horizontal="center"/>
    </xf>
    <xf borderId="0" fillId="0" fontId="6" numFmtId="0" xfId="0" applyAlignment="1" applyFont="1">
      <alignment horizontal="center"/>
    </xf>
    <xf borderId="6" fillId="0" fontId="6" numFmtId="0" xfId="0" applyAlignment="1" applyBorder="1" applyFont="1">
      <alignment horizontal="center"/>
    </xf>
    <xf quotePrefix="1" borderId="0" fillId="0" fontId="1" numFmtId="0" xfId="0" applyAlignment="1" applyFont="1">
      <alignment horizontal="center" readingOrder="0" vertical="center"/>
    </xf>
    <xf borderId="6" fillId="0" fontId="1" numFmtId="0" xfId="0" applyAlignment="1" applyBorder="1" applyFont="1">
      <alignment horizontal="center" readingOrder="0" vertical="center"/>
    </xf>
    <xf borderId="6" fillId="0" fontId="1" numFmtId="0" xfId="0" applyAlignment="1" applyBorder="1" applyFont="1">
      <alignment horizontal="center" readingOrder="0" shrinkToFit="0" vertical="center" wrapText="0"/>
    </xf>
    <xf borderId="5" fillId="11" fontId="9" numFmtId="0" xfId="0" applyAlignment="1" applyBorder="1" applyFill="1" applyFont="1">
      <alignment horizontal="center" readingOrder="0" shrinkToFit="0" vertical="center" wrapText="0"/>
    </xf>
    <xf borderId="0" fillId="11" fontId="9" numFmtId="0" xfId="0" applyAlignment="1" applyFill="1" applyFont="1">
      <alignment horizontal="center" readingOrder="0" shrinkToFit="0" vertical="center" wrapText="0"/>
    </xf>
    <xf borderId="0" fillId="11" fontId="10" numFmtId="0" xfId="0" applyAlignment="1" applyFill="1" applyFont="1">
      <alignment horizontal="center" readingOrder="0" vertical="center"/>
    </xf>
    <xf borderId="0" fillId="0" fontId="1" numFmtId="0" xfId="0" applyAlignment="1" applyFont="1">
      <alignment horizontal="center" vertical="center"/>
    </xf>
    <xf borderId="0" fillId="0" fontId="6" numFmtId="0" xfId="0" applyAlignment="1" applyFont="1">
      <alignment horizontal="center" readingOrder="0" vertical="center"/>
    </xf>
    <xf borderId="6" fillId="0" fontId="1" numFmtId="0" xfId="0" applyAlignment="1" applyBorder="1" applyFont="1">
      <alignment horizontal="center" vertical="center"/>
    </xf>
    <xf borderId="5" fillId="11" fontId="6" numFmtId="0" xfId="0" applyAlignment="1" applyBorder="1" applyFill="1" applyFont="1">
      <alignment horizontal="center"/>
    </xf>
    <xf quotePrefix="1" borderId="0" fillId="0" fontId="6" numFmtId="0" xfId="0" applyAlignment="1" applyFont="1">
      <alignment horizontal="center"/>
    </xf>
    <xf borderId="5" fillId="0" fontId="1" numFmtId="0" xfId="0" applyAlignment="1" applyBorder="1" applyFont="1">
      <alignment horizontal="center" vertical="center"/>
    </xf>
    <xf borderId="5" fillId="12" fontId="9" numFmtId="0" xfId="0" applyAlignment="1" applyBorder="1" applyFill="1" applyFont="1">
      <alignment horizontal="center" readingOrder="0" shrinkToFit="0" vertical="center" wrapText="0"/>
    </xf>
    <xf borderId="0" fillId="12" fontId="9" numFmtId="0" xfId="0" applyAlignment="1" applyFill="1" applyFont="1">
      <alignment horizontal="center" readingOrder="0" shrinkToFit="0" vertical="center" wrapText="0"/>
    </xf>
    <xf borderId="0" fillId="12" fontId="1" numFmtId="0" xfId="0" applyAlignment="1" applyFill="1" applyFont="1">
      <alignment horizontal="center" readingOrder="0" vertical="center"/>
    </xf>
    <xf borderId="5" fillId="0" fontId="1" numFmtId="0" xfId="0" applyAlignment="1" applyBorder="1" applyFont="1">
      <alignment horizontal="center" shrinkToFit="0" vertical="center" wrapText="0"/>
    </xf>
    <xf borderId="5" fillId="11" fontId="1" numFmtId="0" xfId="0" applyAlignment="1" applyBorder="1" applyFill="1" applyFont="1">
      <alignment horizontal="center" readingOrder="0" vertical="center"/>
    </xf>
    <xf borderId="0" fillId="12" fontId="1" numFmtId="0" xfId="0" applyAlignment="1" applyFill="1" applyFont="1">
      <alignment horizontal="center" vertical="center"/>
    </xf>
    <xf borderId="7" fillId="0" fontId="1" numFmtId="0" xfId="0" applyAlignment="1" applyBorder="1" applyFont="1">
      <alignment horizontal="center" readingOrder="0" vertical="center"/>
    </xf>
    <xf borderId="11" fillId="0" fontId="1" numFmtId="0" xfId="0" applyAlignment="1" applyBorder="1" applyFont="1">
      <alignment horizontal="center" readingOrder="0" vertical="center"/>
    </xf>
    <xf borderId="11" fillId="11" fontId="1" numFmtId="0" xfId="0" applyAlignment="1" applyBorder="1" applyFill="1" applyFont="1">
      <alignment horizontal="center" readingOrder="0" vertical="center"/>
    </xf>
    <xf borderId="11" fillId="11" fontId="1" numFmtId="0" xfId="0" applyAlignment="1" applyBorder="1" applyFill="1" applyFont="1">
      <alignment horizontal="center" vertical="center"/>
    </xf>
    <xf borderId="8" fillId="11" fontId="1" numFmtId="0" xfId="0" applyAlignment="1" applyBorder="1" applyFill="1" applyFont="1">
      <alignment horizontal="center" readingOrder="0" vertical="center"/>
    </xf>
    <xf borderId="11" fillId="12" fontId="1" numFmtId="0" xfId="0" applyAlignment="1" applyBorder="1" applyFill="1" applyFont="1">
      <alignment horizontal="center" readingOrder="0" vertical="center"/>
    </xf>
    <xf borderId="7" fillId="0" fontId="6" numFmtId="0" xfId="0" applyAlignment="1" applyBorder="1" applyFont="1">
      <alignment horizontal="center"/>
    </xf>
    <xf borderId="11" fillId="0" fontId="6" numFmtId="0" xfId="0" applyAlignment="1" applyBorder="1" applyFont="1">
      <alignment horizontal="center"/>
    </xf>
    <xf borderId="11" fillId="12" fontId="6" numFmtId="0" xfId="0" applyAlignment="1" applyBorder="1" applyFill="1" applyFont="1">
      <alignment horizontal="center"/>
    </xf>
    <xf borderId="11" fillId="11" fontId="6" numFmtId="0" xfId="0" applyAlignment="1" applyBorder="1" applyFill="1" applyFont="1">
      <alignment horizontal="center"/>
    </xf>
    <xf borderId="8" fillId="11" fontId="6" numFmtId="0" xfId="0" applyAlignment="1" applyBorder="1" applyFill="1" applyFont="1">
      <alignment horizontal="center"/>
    </xf>
    <xf borderId="0" fillId="0" fontId="1" numFmtId="0" xfId="0" applyAlignment="1" applyFont="1">
      <alignment readingOrder="0"/>
    </xf>
    <xf borderId="3" fillId="12" fontId="1" numFmtId="0" xfId="0" applyAlignment="1" applyBorder="1" applyFill="1" applyFont="1">
      <alignment horizontal="center" shrinkToFit="0" vertical="center" wrapText="0"/>
    </xf>
    <xf borderId="10" fillId="12" fontId="1" numFmtId="0" xfId="0" applyAlignment="1" applyBorder="1" applyFill="1" applyFont="1">
      <alignment horizontal="center" readingOrder="0" shrinkToFit="0" vertical="center" wrapText="0"/>
    </xf>
    <xf borderId="4" fillId="12" fontId="1" numFmtId="0" xfId="0" applyAlignment="1" applyBorder="1" applyFill="1" applyFont="1">
      <alignment horizontal="center" readingOrder="0" shrinkToFit="0" vertical="center" wrapText="0"/>
    </xf>
    <xf borderId="3" fillId="12" fontId="1" numFmtId="0" xfId="0" applyAlignment="1" applyBorder="1" applyFill="1" applyFont="1">
      <alignment horizontal="center" readingOrder="0" shrinkToFit="0" vertical="center" wrapText="0"/>
    </xf>
    <xf borderId="5" fillId="12" fontId="1" numFmtId="0" xfId="0" applyAlignment="1" applyBorder="1" applyFill="1" applyFont="1">
      <alignment horizontal="center" readingOrder="0" shrinkToFit="0" vertical="center" wrapText="0"/>
    </xf>
    <xf borderId="0" fillId="12" fontId="1" numFmtId="0" xfId="0" applyAlignment="1" applyFill="1" applyFont="1">
      <alignment horizontal="center" readingOrder="0" shrinkToFit="0" vertical="center" wrapText="0"/>
    </xf>
    <xf borderId="6" fillId="12" fontId="1" numFmtId="0" xfId="0" applyAlignment="1" applyBorder="1" applyFill="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5" fillId="12" fontId="1" numFmtId="0" xfId="0" applyAlignment="1" applyBorder="1" applyFill="1" applyFont="1">
      <alignment horizontal="center" shrinkToFit="0" vertical="center" wrapText="0"/>
    </xf>
    <xf borderId="0" fillId="12" fontId="1" numFmtId="0" xfId="0" applyAlignment="1" applyFill="1" applyFont="1">
      <alignment horizontal="center" shrinkToFit="0" vertical="center" wrapText="0"/>
    </xf>
    <xf borderId="6" fillId="12" fontId="1" numFmtId="0" xfId="0" applyAlignment="1" applyBorder="1" applyFill="1" applyFont="1">
      <alignment horizontal="center" shrinkToFit="0" vertical="center" wrapText="0"/>
    </xf>
    <xf borderId="0" fillId="0" fontId="1" numFmtId="0" xfId="0" applyAlignment="1" applyFont="1">
      <alignment readingOrder="0" shrinkToFit="0" vertical="center" wrapText="1"/>
    </xf>
    <xf borderId="6" fillId="12" fontId="1" numFmtId="0" xfId="0" applyAlignment="1" applyBorder="1" applyFill="1" applyFont="1">
      <alignment horizontal="center" readingOrder="0" vertical="center"/>
    </xf>
    <xf borderId="7" fillId="12" fontId="1" numFmtId="0" xfId="0" applyAlignment="1" applyBorder="1" applyFill="1" applyFont="1">
      <alignment horizontal="center" readingOrder="0" shrinkToFit="0" vertical="center" wrapText="0"/>
    </xf>
    <xf borderId="11" fillId="12" fontId="1" numFmtId="0" xfId="0" applyAlignment="1" applyBorder="1" applyFill="1" applyFont="1">
      <alignment horizontal="center" readingOrder="0" shrinkToFit="0" vertical="center" wrapText="0"/>
    </xf>
    <xf borderId="8" fillId="12" fontId="1" numFmtId="0" xfId="0" applyAlignment="1" applyBorder="1" applyFill="1" applyFont="1">
      <alignment horizontal="center" readingOrder="0" shrinkToFit="0" vertical="center" wrapText="0"/>
    </xf>
    <xf borderId="8" fillId="12" fontId="1" numFmtId="0" xfId="0" applyAlignment="1" applyBorder="1" applyFill="1" applyFont="1">
      <alignment horizontal="center" readingOrder="0" vertical="center"/>
    </xf>
    <xf borderId="11" fillId="12" fontId="1" numFmtId="0" xfId="0" applyAlignment="1" applyBorder="1" applyFill="1" applyFont="1">
      <alignment horizontal="center" shrinkToFit="0" vertical="center" wrapText="0"/>
    </xf>
    <xf borderId="8" fillId="12" fontId="1" numFmtId="0" xfId="0" applyAlignment="1" applyBorder="1" applyFill="1" applyFont="1">
      <alignment horizontal="center" shrinkToFit="0" vertical="center" wrapText="0"/>
    </xf>
    <xf borderId="8" fillId="13" fontId="1" numFmtId="0" xfId="0" applyAlignment="1" applyBorder="1" applyFill="1" applyFont="1">
      <alignment horizontal="center" readingOrder="0" shrinkToFit="0" textRotation="0" vertical="center" wrapText="1"/>
    </xf>
    <xf borderId="11" fillId="13" fontId="1" numFmtId="0" xfId="0" applyAlignment="1" applyBorder="1" applyFill="1" applyFont="1">
      <alignment horizontal="center" readingOrder="0" shrinkToFit="0" textRotation="0" vertical="center" wrapText="1"/>
    </xf>
    <xf borderId="11" fillId="13" fontId="1" numFmtId="0" xfId="0" applyAlignment="1" applyBorder="1" applyFill="1" applyFont="1">
      <alignment horizontal="center" readingOrder="0" shrinkToFit="0" vertical="center" wrapText="1"/>
    </xf>
    <xf borderId="6" fillId="2" fontId="1" numFmtId="0" xfId="0" applyAlignment="1" applyBorder="1" applyFill="1" applyFont="1">
      <alignment readingOrder="0"/>
    </xf>
    <xf borderId="0" fillId="2" fontId="1" numFmtId="0" xfId="0" applyFill="1" applyFont="1"/>
    <xf borderId="0" fillId="2" fontId="1" numFmtId="0" xfId="0" applyAlignment="1" applyFill="1" applyFont="1">
      <alignment readingOrder="0"/>
    </xf>
    <xf borderId="0" fillId="0" fontId="1" numFmtId="0" xfId="0" applyFont="1"/>
    <xf borderId="11" fillId="0" fontId="1" numFmtId="0" xfId="0" applyAlignment="1" applyBorder="1" applyFont="1">
      <alignment readingOrder="0" shrinkToFit="0" wrapText="1"/>
    </xf>
    <xf borderId="7" fillId="0" fontId="1" numFmtId="0" xfId="0" applyAlignment="1" applyBorder="1" applyFont="1">
      <alignment readingOrder="0" shrinkToFit="0" wrapText="1"/>
    </xf>
    <xf borderId="5" fillId="0" fontId="1" numFmtId="0" xfId="0" applyAlignment="1" applyBorder="1" applyFont="1">
      <alignment shrinkToFit="0" wrapText="1"/>
    </xf>
    <xf borderId="5" fillId="0" fontId="1" numFmtId="0" xfId="0" applyAlignment="1" applyBorder="1" applyFont="1">
      <alignment readingOrder="0" shrinkToFit="0" wrapText="1"/>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s>
  <tableStyles count="5">
    <tableStyle count="2" pivot="0" name="Translations-style">
      <tableStyleElement dxfId="1" type="firstRowStripe"/>
      <tableStyleElement dxfId="2" type="secondRowStripe"/>
    </tableStyle>
    <tableStyle count="2" pivot="0" name="Translations-style 2">
      <tableStyleElement dxfId="1" type="firstRowStripe"/>
      <tableStyleElement dxfId="2" type="secondRowStripe"/>
    </tableStyle>
    <tableStyle count="2" pivot="0" name="Translations-style 3">
      <tableStyleElement dxfId="2" type="firstRowStripe"/>
      <tableStyleElement dxfId="1" type="secondRowStripe"/>
    </tableStyle>
    <tableStyle count="2" pivot="0" name="Translations-style 4">
      <tableStyleElement dxfId="1" type="firstRowStripe"/>
      <tableStyleElement dxfId="2" type="secondRowStripe"/>
    </tableStyle>
    <tableStyle count="2" pivot="0" name="Translations-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2:G39" displayName="Table_1" name="Table_1" id="1">
  <tableColumns count="1">
    <tableColumn name="Column1" id="1"/>
  </tableColumns>
  <tableStyleInfo name="Translations-style" showColumnStripes="0" showFirstColumn="1" showLastColumn="1" showRowStripes="1"/>
</table>
</file>

<file path=xl/tables/table2.xml><?xml version="1.0" encoding="utf-8"?>
<table xmlns="http://schemas.openxmlformats.org/spreadsheetml/2006/main" headerRowCount="0" ref="G66:G72" displayName="Table_2" name="Table_2" id="2">
  <tableColumns count="1">
    <tableColumn name="Column1" id="1"/>
  </tableColumns>
  <tableStyleInfo name="Translations-style 2" showColumnStripes="0" showFirstColumn="1" showLastColumn="1" showRowStripes="1"/>
</table>
</file>

<file path=xl/tables/table3.xml><?xml version="1.0" encoding="utf-8"?>
<table xmlns="http://schemas.openxmlformats.org/spreadsheetml/2006/main" headerRowCount="0" ref="G73:G79" displayName="Table_3" name="Table_3" id="3">
  <tableColumns count="1">
    <tableColumn name="Column1" id="1"/>
  </tableColumns>
  <tableStyleInfo name="Translations-style 3" showColumnStripes="0" showFirstColumn="1" showLastColumn="1" showRowStripes="1"/>
</table>
</file>

<file path=xl/tables/table4.xml><?xml version="1.0" encoding="utf-8"?>
<table xmlns="http://schemas.openxmlformats.org/spreadsheetml/2006/main" headerRowCount="0" ref="G82:G86" displayName="Table_4" name="Table_4" id="4">
  <tableColumns count="1">
    <tableColumn name="Column1" id="1"/>
  </tableColumns>
  <tableStyleInfo name="Translations-style 4" showColumnStripes="0" showFirstColumn="1" showLastColumn="1" showRowStripes="1"/>
</table>
</file>

<file path=xl/tables/table5.xml><?xml version="1.0" encoding="utf-8"?>
<table xmlns="http://schemas.openxmlformats.org/spreadsheetml/2006/main" headerRowCount="0" ref="G103:G129" displayName="Table_5" name="Table_5" id="5">
  <tableColumns count="1">
    <tableColumn name="Column1" id="1"/>
  </tableColumns>
  <tableStyleInfo name="Translations-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ulbapedia.bulbagarden.net/wiki/Mystery_Gift" TargetMode="External"/><Relationship Id="rId2" Type="http://schemas.openxmlformats.org/officeDocument/2006/relationships/hyperlink" Target="https://bulbapedia.bulbagarden.net/wiki/Mystery_Gift" TargetMode="External"/><Relationship Id="rId3"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85.5"/>
  </cols>
  <sheetData>
    <row r="1" ht="219.0" customHeight="1">
      <c r="A1" s="1" t="s">
        <v>0</v>
      </c>
      <c r="B1" s="2"/>
    </row>
    <row r="2">
      <c r="A2" s="3" t="s">
        <v>1</v>
      </c>
      <c r="B2" s="4" t="s">
        <v>2</v>
      </c>
    </row>
    <row r="3">
      <c r="A3" s="5" t="s">
        <v>3</v>
      </c>
      <c r="B3" s="6" t="s">
        <v>4</v>
      </c>
    </row>
    <row r="4">
      <c r="A4" s="5" t="s">
        <v>5</v>
      </c>
      <c r="B4" s="6" t="s">
        <v>6</v>
      </c>
    </row>
    <row r="5">
      <c r="A5" s="5" t="s">
        <v>7</v>
      </c>
      <c r="B5" s="6" t="s">
        <v>8</v>
      </c>
    </row>
    <row r="6">
      <c r="A6" s="5" t="s">
        <v>9</v>
      </c>
      <c r="B6" s="6" t="s">
        <v>10</v>
      </c>
    </row>
    <row r="7">
      <c r="A7" s="5" t="s">
        <v>11</v>
      </c>
      <c r="B7" s="6" t="s">
        <v>12</v>
      </c>
    </row>
    <row r="8">
      <c r="A8" s="5" t="s">
        <v>13</v>
      </c>
      <c r="B8" s="6" t="s">
        <v>14</v>
      </c>
    </row>
    <row r="9">
      <c r="A9" s="5" t="s">
        <v>15</v>
      </c>
      <c r="B9" s="6" t="s">
        <v>16</v>
      </c>
    </row>
    <row r="10">
      <c r="A10" s="7" t="s">
        <v>17</v>
      </c>
      <c r="B10" s="8" t="s">
        <v>18</v>
      </c>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75"/>
    <col customWidth="1" min="2" max="2" width="9.5"/>
    <col customWidth="1" min="3" max="3" width="13.25"/>
    <col customWidth="1" min="4" max="4" width="12.63"/>
    <col customWidth="1" min="5" max="5" width="18.13"/>
    <col customWidth="1" min="6" max="6" width="32.38"/>
    <col customWidth="1" min="7" max="7" width="93.88"/>
    <col customWidth="1" min="8" max="8" width="76.13"/>
    <col customWidth="1" min="9" max="10" width="93.88"/>
    <col customWidth="1" min="11" max="11" width="75.75"/>
    <col customWidth="1" min="12" max="12" width="93.88"/>
    <col customWidth="1" min="13" max="15" width="73.25"/>
    <col customWidth="1" min="16" max="16" width="62.25"/>
    <col customWidth="1" min="17" max="17" width="73.25"/>
  </cols>
  <sheetData>
    <row r="1" ht="56.25" customHeight="1">
      <c r="A1" s="9" t="s">
        <v>19</v>
      </c>
      <c r="B1" s="9" t="s">
        <v>20</v>
      </c>
      <c r="C1" s="9" t="s">
        <v>21</v>
      </c>
      <c r="D1" s="10" t="s">
        <v>22</v>
      </c>
      <c r="E1" s="9" t="s">
        <v>23</v>
      </c>
      <c r="F1" s="9" t="s">
        <v>24</v>
      </c>
      <c r="G1" s="9" t="s">
        <v>25</v>
      </c>
      <c r="H1" s="9" t="s">
        <v>26</v>
      </c>
      <c r="I1" s="11" t="s">
        <v>27</v>
      </c>
      <c r="J1" s="11" t="s">
        <v>28</v>
      </c>
      <c r="K1" s="11" t="s">
        <v>29</v>
      </c>
      <c r="L1" s="11" t="s">
        <v>30</v>
      </c>
      <c r="M1" s="11" t="s">
        <v>31</v>
      </c>
      <c r="N1" s="11" t="s">
        <v>32</v>
      </c>
      <c r="O1" s="11" t="s">
        <v>33</v>
      </c>
      <c r="P1" s="11" t="s">
        <v>34</v>
      </c>
      <c r="Q1" s="11" t="s">
        <v>35</v>
      </c>
    </row>
    <row r="2">
      <c r="A2" s="12" t="str">
        <f t="shared" ref="A2:A381" si="1">MATCH(B2,UNIQUE($B$2:$B$1018),0)-1 &amp; ", " &amp; COUNTIF($B$2:B2,B2)-1</f>
        <v>0, 0</v>
      </c>
      <c r="B2" s="13" t="s">
        <v>36</v>
      </c>
      <c r="C2" s="14" t="s">
        <v>37</v>
      </c>
      <c r="D2" s="13" t="s">
        <v>38</v>
      </c>
      <c r="E2" s="15"/>
      <c r="F2" s="15" t="str">
        <f t="shared" ref="F2:F381" si="2">H2</f>
        <v>Hey there! I’m PROF. FENNEL.{NEW}As you can see, I’m a scientist. In fact, the subject I’m researching is TRAINERS! My dream is to collect save files of various TRAINERS, but I haven’t had any breakthroughs yet…{NEW}So in the meantime, I’ve been working on a different project with one of my old friends! In my home region, there’s a location that can make a POKéMON’s dreams into reality. This means that any other POKéMON they meet in their dreams become real! That’s fantastic, but my goal is to do the same- just with a TRAINER’s dream instead! That’s why I need your help! I want to bring as many POKéMON out of your dreams as possible! There’s just over 250 POKéMON I want to catalogue in my DREAM POKéDEX- or DREAM DEX for short. But I’ll let you keep any POKéMON- they’re from your dreams after all! One last note, save data backups are recommended- just on the off chance that something goes wrong!{NEW}I think that’s everything… whenever you’re ready to start, just let me know!</v>
      </c>
      <c r="G2" s="15" t="s">
        <v>39</v>
      </c>
      <c r="H2" s="15" t="s">
        <v>40</v>
      </c>
      <c r="I2" s="15" t="s">
        <v>41</v>
      </c>
      <c r="J2" s="15"/>
      <c r="K2" s="15" t="s">
        <v>42</v>
      </c>
      <c r="L2" s="15" t="s">
        <v>43</v>
      </c>
      <c r="M2" s="15" t="s">
        <v>44</v>
      </c>
      <c r="N2" s="15" t="s">
        <v>45</v>
      </c>
      <c r="O2" s="15"/>
      <c r="P2" s="15"/>
      <c r="Q2" s="15" t="s">
        <v>46</v>
      </c>
    </row>
    <row r="3">
      <c r="A3" s="13" t="str">
        <f t="shared" si="1"/>
        <v>0, 1</v>
      </c>
      <c r="B3" s="13" t="s">
        <v>36</v>
      </c>
      <c r="C3" s="14" t="s">
        <v>47</v>
      </c>
      <c r="D3" s="13" t="s">
        <v>38</v>
      </c>
      <c r="E3" s="15"/>
      <c r="F3" s="15" t="str">
        <f t="shared" si="2"/>
        <v>Hi TRAINER!{NEW}{NEW}I’m thrilled you’ve decided to help with our research, but we need the best of the best! Come back after you become CHAMPION!</v>
      </c>
      <c r="G3" s="15" t="s">
        <v>48</v>
      </c>
      <c r="H3" s="15" t="s">
        <v>49</v>
      </c>
      <c r="I3" s="15" t="s">
        <v>50</v>
      </c>
      <c r="J3" s="15"/>
      <c r="K3" s="15" t="s">
        <v>51</v>
      </c>
      <c r="L3" s="15" t="s">
        <v>52</v>
      </c>
      <c r="M3" s="15" t="s">
        <v>53</v>
      </c>
      <c r="N3" s="15" t="s">
        <v>54</v>
      </c>
      <c r="O3" s="15"/>
      <c r="P3" s="15"/>
      <c r="Q3" s="15" t="s">
        <v>55</v>
      </c>
    </row>
    <row r="4">
      <c r="A4" s="13" t="str">
        <f t="shared" si="1"/>
        <v>0, 2</v>
      </c>
      <c r="B4" s="13" t="s">
        <v>36</v>
      </c>
      <c r="C4" s="14" t="s">
        <v>56</v>
      </c>
      <c r="D4" s="13" t="s">
        <v>38</v>
      </c>
      <c r="E4" s="16" t="s">
        <v>57</v>
      </c>
      <c r="F4" s="15" t="str">
        <f t="shared" si="2"/>
        <v>Sorry TRAINER, one more thing to take care of before we can begin- you need to enable MYSTERY GIFT! Head to the nearest POKé MART and fill out the questionnaire as follows: LINK TOGETHER WITH ALL. After that, you should be all set to go! See you soon!</v>
      </c>
      <c r="G4" s="15" t="s">
        <v>58</v>
      </c>
      <c r="H4" s="15" t="s">
        <v>59</v>
      </c>
      <c r="I4" s="15" t="s">
        <v>60</v>
      </c>
      <c r="J4" s="15"/>
      <c r="K4" s="15" t="s">
        <v>61</v>
      </c>
      <c r="L4" s="15" t="s">
        <v>62</v>
      </c>
      <c r="M4" s="15" t="s">
        <v>63</v>
      </c>
      <c r="N4" s="15"/>
      <c r="O4" s="15"/>
      <c r="P4" s="15"/>
      <c r="Q4" s="15" t="s">
        <v>64</v>
      </c>
    </row>
    <row r="5">
      <c r="A5" s="13" t="str">
        <f t="shared" si="1"/>
        <v>0, 3</v>
      </c>
      <c r="B5" s="13" t="s">
        <v>36</v>
      </c>
      <c r="C5" s="14" t="s">
        <v>65</v>
      </c>
      <c r="D5" s="13" t="s">
        <v>38</v>
      </c>
      <c r="E5" s="16" t="s">
        <v>66</v>
      </c>
      <c r="F5" s="15" t="str">
        <f t="shared" si="2"/>
        <v>Sorry TRAINER, one more thing to take care of before we can begin- you need to enable MYSTERY EVENT! Head to the PETALBURG POKéMON CENTER and tell the man next to the PC: MYSTERY EVENT IS EXCITING. After that, you should be all set to go! See you soon!</v>
      </c>
      <c r="G5" s="15" t="s">
        <v>67</v>
      </c>
      <c r="H5" s="15" t="s">
        <v>68</v>
      </c>
      <c r="I5" s="15" t="s">
        <v>69</v>
      </c>
      <c r="J5" s="15"/>
      <c r="K5" s="15" t="s">
        <v>70</v>
      </c>
      <c r="L5" s="15" t="s">
        <v>71</v>
      </c>
      <c r="M5" s="15" t="s">
        <v>72</v>
      </c>
      <c r="N5" s="15"/>
      <c r="O5" s="15"/>
      <c r="P5" s="15"/>
      <c r="Q5" s="15" t="s">
        <v>73</v>
      </c>
    </row>
    <row r="6">
      <c r="A6" s="17" t="str">
        <f t="shared" si="1"/>
        <v>0, 4</v>
      </c>
      <c r="B6" s="17" t="s">
        <v>36</v>
      </c>
      <c r="C6" s="18" t="s">
        <v>74</v>
      </c>
      <c r="D6" s="13" t="s">
        <v>38</v>
      </c>
      <c r="E6" s="15"/>
      <c r="F6" s="15" t="str">
        <f t="shared" si="2"/>
        <v>Let’s get started!</v>
      </c>
      <c r="G6" s="15" t="s">
        <v>75</v>
      </c>
      <c r="H6" s="15" t="s">
        <v>76</v>
      </c>
      <c r="I6" s="15" t="s">
        <v>77</v>
      </c>
      <c r="J6" s="15"/>
      <c r="K6" s="15" t="s">
        <v>78</v>
      </c>
      <c r="L6" s="15" t="s">
        <v>79</v>
      </c>
      <c r="M6" s="15" t="s">
        <v>80</v>
      </c>
      <c r="N6" s="15"/>
      <c r="O6" s="15"/>
      <c r="P6" s="15"/>
      <c r="Q6" s="15" t="s">
        <v>81</v>
      </c>
    </row>
    <row r="7">
      <c r="A7" s="13" t="str">
        <f t="shared" si="1"/>
        <v>0, 5</v>
      </c>
      <c r="B7" s="13" t="s">
        <v>36</v>
      </c>
      <c r="C7" s="14" t="s">
        <v>82</v>
      </c>
      <c r="D7" s="13" t="s">
        <v>38</v>
      </c>
      <c r="E7" s="15"/>
      <c r="F7" s="15" t="str">
        <f t="shared" si="2"/>
        <v>On a second Game Boy, please load the game you wish to transfer from. In this same game, make sure your current BOX is the one you want to transfer from. Then connect the systems together using a Game Boy Color Link Cable. Once you’re ready, talk to the Cable Club attendant and initiate the connection.</v>
      </c>
      <c r="G7" s="15" t="s">
        <v>83</v>
      </c>
      <c r="H7" s="15" t="s">
        <v>84</v>
      </c>
      <c r="I7" s="15" t="s">
        <v>85</v>
      </c>
      <c r="J7" s="15"/>
      <c r="K7" s="15" t="s">
        <v>86</v>
      </c>
      <c r="L7" s="15" t="s">
        <v>87</v>
      </c>
      <c r="M7" s="15" t="s">
        <v>88</v>
      </c>
      <c r="N7" s="15"/>
      <c r="O7" s="15"/>
      <c r="P7" s="15"/>
      <c r="Q7" s="15" t="s">
        <v>89</v>
      </c>
    </row>
    <row r="8">
      <c r="A8" s="13" t="str">
        <f t="shared" si="1"/>
        <v>0, 6</v>
      </c>
      <c r="B8" s="13" t="s">
        <v>36</v>
      </c>
      <c r="C8" s="14" t="s">
        <v>90</v>
      </c>
      <c r="D8" s="13" t="s">
        <v>38</v>
      </c>
      <c r="E8" s="15"/>
      <c r="F8" s="15" t="str">
        <f t="shared" si="2"/>
        <v>Amazing! Fantastic!{NEW}Everything went perfectly!</v>
      </c>
      <c r="G8" s="15" t="s">
        <v>91</v>
      </c>
      <c r="H8" s="15" t="s">
        <v>92</v>
      </c>
      <c r="I8" s="15" t="s">
        <v>93</v>
      </c>
      <c r="J8" s="15"/>
      <c r="K8" s="15" t="s">
        <v>94</v>
      </c>
      <c r="L8" s="15" t="s">
        <v>95</v>
      </c>
      <c r="M8" s="15" t="s">
        <v>96</v>
      </c>
      <c r="N8" s="15"/>
      <c r="O8" s="15"/>
      <c r="P8" s="15"/>
      <c r="Q8" s="15" t="s">
        <v>97</v>
      </c>
    </row>
    <row r="9">
      <c r="A9" s="13" t="str">
        <f t="shared" si="1"/>
        <v>0, 7</v>
      </c>
      <c r="B9" s="13" t="s">
        <v>36</v>
      </c>
      <c r="C9" s="14" t="s">
        <v>98</v>
      </c>
      <c r="D9" s="13" t="s">
        <v>38</v>
      </c>
      <c r="E9" s="15"/>
      <c r="F9" s="15" t="str">
        <f t="shared" si="2"/>
        <v>It looks like there’s at least one new POKéMON here that isn’t in the DREAM DEX! I’ll give them something extra sweet as a reward for you both.</v>
      </c>
      <c r="G9" s="15" t="s">
        <v>99</v>
      </c>
      <c r="H9" s="15" t="s">
        <v>100</v>
      </c>
      <c r="I9" s="15" t="s">
        <v>101</v>
      </c>
      <c r="J9" s="15"/>
      <c r="K9" s="15" t="s">
        <v>102</v>
      </c>
      <c r="L9" s="15" t="s">
        <v>103</v>
      </c>
      <c r="M9" s="15" t="s">
        <v>104</v>
      </c>
      <c r="N9" s="15"/>
      <c r="O9" s="15"/>
      <c r="P9" s="15"/>
      <c r="Q9" s="15" t="s">
        <v>105</v>
      </c>
    </row>
    <row r="10">
      <c r="A10" s="13" t="str">
        <f t="shared" si="1"/>
        <v>0, 8</v>
      </c>
      <c r="B10" s="13" t="s">
        <v>36</v>
      </c>
      <c r="C10" s="14" t="s">
        <v>106</v>
      </c>
      <c r="D10" s="13" t="s">
        <v>38</v>
      </c>
      <c r="E10" s="15"/>
      <c r="F10" s="15" t="str">
        <f t="shared" si="2"/>
        <v>It doesn’t look like there’s anything new for your DREAM DEX, but that’s okay! It’s important to confirm research results with multiple tests!</v>
      </c>
      <c r="G10" s="15" t="s">
        <v>107</v>
      </c>
      <c r="H10" s="15" t="s">
        <v>108</v>
      </c>
      <c r="I10" s="15" t="s">
        <v>109</v>
      </c>
      <c r="J10" s="15"/>
      <c r="K10" s="15" t="s">
        <v>110</v>
      </c>
      <c r="L10" s="15" t="s">
        <v>111</v>
      </c>
      <c r="M10" s="15" t="s">
        <v>112</v>
      </c>
      <c r="N10" s="15"/>
      <c r="O10" s="15"/>
      <c r="P10" s="15"/>
      <c r="Q10" s="15" t="s">
        <v>113</v>
      </c>
    </row>
    <row r="11">
      <c r="A11" s="13" t="str">
        <f t="shared" si="1"/>
        <v>0, 9</v>
      </c>
      <c r="B11" s="13" t="s">
        <v>36</v>
      </c>
      <c r="C11" s="14" t="s">
        <v>114</v>
      </c>
      <c r="D11" s="13" t="s">
        <v>38</v>
      </c>
      <c r="E11" s="15"/>
      <c r="F11" s="15" t="str">
        <f t="shared" si="2"/>
        <v>I’m going to send these POKéMON to one of my friends so that you can pick them up! They live just south of the POKéMON CENTER on SEVEN ISLAND!</v>
      </c>
      <c r="G11" s="15" t="s">
        <v>115</v>
      </c>
      <c r="H11" s="15" t="s">
        <v>116</v>
      </c>
      <c r="I11" s="15" t="s">
        <v>117</v>
      </c>
      <c r="J11" s="15"/>
      <c r="K11" s="15" t="s">
        <v>118</v>
      </c>
      <c r="L11" s="15" t="s">
        <v>119</v>
      </c>
      <c r="M11" s="15" t="s">
        <v>120</v>
      </c>
      <c r="N11" s="15"/>
      <c r="O11" s="15"/>
      <c r="P11" s="15"/>
      <c r="Q11" s="15" t="s">
        <v>121</v>
      </c>
    </row>
    <row r="12">
      <c r="A12" s="13" t="str">
        <f t="shared" si="1"/>
        <v>0, 10</v>
      </c>
      <c r="B12" s="13" t="s">
        <v>36</v>
      </c>
      <c r="C12" s="14" t="s">
        <v>122</v>
      </c>
      <c r="D12" s="13" t="s">
        <v>38</v>
      </c>
      <c r="E12" s="15"/>
      <c r="F12" s="15" t="str">
        <f t="shared" si="2"/>
        <v>I’m going to send these POKéMON to one of my friends so that you can pick them up! They live just southeast of the POKéMON CENTER in MOSSDEEP CITY!</v>
      </c>
      <c r="G12" s="15" t="s">
        <v>123</v>
      </c>
      <c r="H12" s="15" t="s">
        <v>124</v>
      </c>
      <c r="I12" s="15" t="s">
        <v>125</v>
      </c>
      <c r="J12" s="15"/>
      <c r="K12" s="15" t="s">
        <v>126</v>
      </c>
      <c r="L12" s="15" t="s">
        <v>127</v>
      </c>
      <c r="M12" s="15" t="s">
        <v>128</v>
      </c>
      <c r="N12" s="15"/>
      <c r="O12" s="15"/>
      <c r="P12" s="15"/>
      <c r="Q12" s="15" t="s">
        <v>129</v>
      </c>
    </row>
    <row r="13">
      <c r="A13" s="13" t="str">
        <f t="shared" si="1"/>
        <v>0, 11</v>
      </c>
      <c r="B13" s="13" t="s">
        <v>36</v>
      </c>
      <c r="C13" s="14" t="s">
        <v>130</v>
      </c>
      <c r="D13" s="13" t="s">
        <v>38</v>
      </c>
      <c r="E13" s="15"/>
      <c r="F13" s="15" t="str">
        <f t="shared" si="2"/>
        <v>I’m going to send these POKéMON to one of my friends so that you can pick them up! They live just southeast of the POKéMON CENTER in SOOTOPOLIS CITY!</v>
      </c>
      <c r="G13" s="15" t="s">
        <v>131</v>
      </c>
      <c r="H13" s="15" t="s">
        <v>132</v>
      </c>
      <c r="I13" s="15" t="s">
        <v>133</v>
      </c>
      <c r="J13" s="15"/>
      <c r="K13" s="15" t="s">
        <v>134</v>
      </c>
      <c r="L13" s="15" t="s">
        <v>135</v>
      </c>
      <c r="M13" s="15" t="s">
        <v>136</v>
      </c>
      <c r="N13" s="15"/>
      <c r="O13" s="15"/>
      <c r="P13" s="15"/>
      <c r="Q13" s="15" t="s">
        <v>137</v>
      </c>
    </row>
    <row r="14">
      <c r="A14" s="13" t="str">
        <f t="shared" si="1"/>
        <v>0, 12</v>
      </c>
      <c r="B14" s="13" t="s">
        <v>36</v>
      </c>
      <c r="C14" s="14" t="s">
        <v>138</v>
      </c>
      <c r="D14" s="13" t="s">
        <v>38</v>
      </c>
      <c r="E14" s="15"/>
      <c r="F14" s="15" t="str">
        <f t="shared" si="2"/>
        <v>Thank you so much for your help! Whenever you want to transfer more POKéMON, just let me know! See you around!</v>
      </c>
      <c r="G14" s="15" t="s">
        <v>139</v>
      </c>
      <c r="H14" s="15" t="s">
        <v>140</v>
      </c>
      <c r="I14" s="15" t="s">
        <v>141</v>
      </c>
      <c r="J14" s="15"/>
      <c r="K14" s="15" t="s">
        <v>142</v>
      </c>
      <c r="L14" s="15" t="s">
        <v>143</v>
      </c>
      <c r="M14" s="15" t="s">
        <v>144</v>
      </c>
      <c r="N14" s="15"/>
      <c r="O14" s="15"/>
      <c r="P14" s="15"/>
      <c r="Q14" s="15" t="s">
        <v>145</v>
      </c>
    </row>
    <row r="15">
      <c r="A15" s="13" t="str">
        <f t="shared" si="1"/>
        <v>0, 13</v>
      </c>
      <c r="B15" s="13" t="s">
        <v>36</v>
      </c>
      <c r="C15" s="14" t="s">
        <v>146</v>
      </c>
      <c r="D15" s="13" t="s">
        <v>38</v>
      </c>
      <c r="E15" s="15"/>
      <c r="F15" s="15" t="str">
        <f t="shared" si="2"/>
        <v>unused, will be removed</v>
      </c>
      <c r="G15" s="15" t="s">
        <v>147</v>
      </c>
      <c r="H15" s="15" t="s">
        <v>148</v>
      </c>
      <c r="I15" s="15" t="s">
        <v>149</v>
      </c>
      <c r="J15" s="15"/>
      <c r="K15" s="15"/>
      <c r="L15" s="15" t="s">
        <v>150</v>
      </c>
      <c r="M15" s="15" t="s">
        <v>150</v>
      </c>
      <c r="N15" s="15"/>
      <c r="O15" s="15"/>
      <c r="P15" s="15"/>
      <c r="Q15" s="15" t="s">
        <v>147</v>
      </c>
    </row>
    <row r="16">
      <c r="A16" s="13" t="str">
        <f t="shared" si="1"/>
        <v>0, 14</v>
      </c>
      <c r="B16" s="13" t="s">
        <v>36</v>
      </c>
      <c r="C16" s="14" t="s">
        <v>151</v>
      </c>
      <c r="D16" s="13" t="s">
        <v>38</v>
      </c>
      <c r="E16" s="15"/>
      <c r="F16" s="15" t="str">
        <f t="shared" si="2"/>
        <v>Hi TRAINER!{NEW}{NEW}It looks like you have a different event currently loaded. That’s no problem, but it will be overwritten if you continue. Turn off the system now if you want to experience your current event, but otherwise-</v>
      </c>
      <c r="G16" s="15" t="s">
        <v>152</v>
      </c>
      <c r="H16" s="15" t="s">
        <v>153</v>
      </c>
      <c r="I16" s="15" t="s">
        <v>154</v>
      </c>
      <c r="J16" s="15"/>
      <c r="K16" s="15" t="s">
        <v>155</v>
      </c>
      <c r="L16" s="15" t="s">
        <v>156</v>
      </c>
      <c r="M16" s="15" t="s">
        <v>157</v>
      </c>
      <c r="N16" s="15"/>
      <c r="O16" s="15"/>
      <c r="P16" s="15"/>
      <c r="Q16" s="15" t="s">
        <v>158</v>
      </c>
    </row>
    <row r="17">
      <c r="A17" s="13" t="str">
        <f t="shared" si="1"/>
        <v>0, 15</v>
      </c>
      <c r="B17" s="13" t="s">
        <v>36</v>
      </c>
      <c r="C17" s="14" t="s">
        <v>159</v>
      </c>
      <c r="D17" s="13" t="s">
        <v>38</v>
      </c>
      <c r="E17" s="15"/>
      <c r="F17" s="15" t="str">
        <f t="shared" si="2"/>
        <v>Hi TRAINER!{NEW}{NEW}It looks like you still have POKéMON to pick up…{NEW}I can’t send over new POKéMON until you pick those up.{NEW}Come back after you’ve received them!</v>
      </c>
      <c r="G17" s="15" t="s">
        <v>160</v>
      </c>
      <c r="H17" s="15" t="s">
        <v>161</v>
      </c>
      <c r="I17" s="15" t="s">
        <v>162</v>
      </c>
      <c r="J17" s="15"/>
      <c r="K17" s="15" t="s">
        <v>163</v>
      </c>
      <c r="L17" s="15" t="s">
        <v>164</v>
      </c>
      <c r="M17" s="15" t="s">
        <v>165</v>
      </c>
      <c r="N17" s="15"/>
      <c r="O17" s="15"/>
      <c r="P17" s="15"/>
      <c r="Q17" s="15" t="s">
        <v>166</v>
      </c>
    </row>
    <row r="18">
      <c r="A18" s="13" t="str">
        <f t="shared" si="1"/>
        <v>0, 16</v>
      </c>
      <c r="B18" s="13" t="s">
        <v>36</v>
      </c>
      <c r="C18" s="14" t="s">
        <v>167</v>
      </c>
      <c r="D18" s="13" t="s">
        <v>38</v>
      </c>
      <c r="E18" s="15"/>
      <c r="F18" s="15" t="str">
        <f t="shared" si="2"/>
        <v>Sorry TRAINER, it doesn’t look like you have any valid POKéMON in your current active BOX right now. You should double check the BOX and we can give it another shot!</v>
      </c>
      <c r="G18" s="15" t="s">
        <v>168</v>
      </c>
      <c r="H18" s="15" t="s">
        <v>169</v>
      </c>
      <c r="I18" s="15" t="s">
        <v>170</v>
      </c>
      <c r="J18" s="15"/>
      <c r="K18" s="15" t="s">
        <v>171</v>
      </c>
      <c r="L18" s="15" t="s">
        <v>172</v>
      </c>
      <c r="M18" s="15" t="s">
        <v>173</v>
      </c>
      <c r="N18" s="15"/>
      <c r="O18" s="15"/>
      <c r="P18" s="15"/>
      <c r="Q18" s="15" t="s">
        <v>174</v>
      </c>
    </row>
    <row r="19">
      <c r="A19" s="13" t="str">
        <f t="shared" si="1"/>
        <v>0, 17</v>
      </c>
      <c r="B19" s="13" t="s">
        <v>36</v>
      </c>
      <c r="C19" s="14" t="s">
        <v>175</v>
      </c>
      <c r="D19" s="13" t="s">
        <v>38</v>
      </c>
      <c r="E19" s="15"/>
      <c r="F19" s="15" t="str">
        <f t="shared" si="2"/>
        <v>Hi TRAINER!{NEW}{NEW}Before we begin, I need to ask you a few questions.</v>
      </c>
      <c r="G19" s="15" t="s">
        <v>176</v>
      </c>
      <c r="H19" s="15" t="s">
        <v>177</v>
      </c>
      <c r="I19" s="15" t="s">
        <v>178</v>
      </c>
      <c r="J19" s="15"/>
      <c r="K19" s="15" t="s">
        <v>179</v>
      </c>
      <c r="L19" s="15" t="s">
        <v>180</v>
      </c>
      <c r="M19" s="15" t="s">
        <v>181</v>
      </c>
      <c r="N19" s="15"/>
      <c r="O19" s="15"/>
      <c r="P19" s="15"/>
      <c r="Q19" s="15" t="s">
        <v>182</v>
      </c>
    </row>
    <row r="20">
      <c r="A20" s="13" t="str">
        <f t="shared" si="1"/>
        <v>0, 18</v>
      </c>
      <c r="B20" s="13" t="s">
        <v>36</v>
      </c>
      <c r="C20" s="14" t="s">
        <v>183</v>
      </c>
      <c r="D20" s="13" t="s">
        <v>38</v>
      </c>
      <c r="E20" s="15"/>
      <c r="F20" s="15" t="str">
        <f t="shared" si="2"/>
        <v>Perfect!{NEW}And which game version is it?</v>
      </c>
      <c r="G20" s="15" t="s">
        <v>184</v>
      </c>
      <c r="H20" s="15" t="s">
        <v>185</v>
      </c>
      <c r="I20" s="15" t="s">
        <v>186</v>
      </c>
      <c r="J20" s="15"/>
      <c r="K20" s="15" t="s">
        <v>187</v>
      </c>
      <c r="L20" s="15" t="s">
        <v>188</v>
      </c>
      <c r="M20" s="15" t="s">
        <v>189</v>
      </c>
      <c r="N20" s="15"/>
      <c r="O20" s="15"/>
      <c r="P20" s="15"/>
      <c r="Q20" s="15" t="s">
        <v>190</v>
      </c>
    </row>
    <row r="21">
      <c r="A21" s="13" t="str">
        <f t="shared" si="1"/>
        <v>0, 19</v>
      </c>
      <c r="B21" s="13" t="s">
        <v>36</v>
      </c>
      <c r="C21" s="14" t="s">
        <v>191</v>
      </c>
      <c r="D21" s="13" t="s">
        <v>38</v>
      </c>
      <c r="E21" s="15"/>
      <c r="F21" s="15" t="str">
        <f t="shared" si="2"/>
        <v>First, what language is the Game Boy game you’re transferring from?</v>
      </c>
      <c r="G21" s="15" t="s">
        <v>192</v>
      </c>
      <c r="H21" s="15" t="s">
        <v>193</v>
      </c>
      <c r="I21" s="15" t="s">
        <v>194</v>
      </c>
      <c r="J21" s="15"/>
      <c r="K21" s="15" t="s">
        <v>195</v>
      </c>
      <c r="L21" s="15" t="s">
        <v>196</v>
      </c>
      <c r="M21" s="15" t="s">
        <v>197</v>
      </c>
      <c r="N21" s="15"/>
      <c r="O21" s="15"/>
      <c r="P21" s="15"/>
      <c r="Q21" s="15" t="s">
        <v>198</v>
      </c>
    </row>
    <row r="22">
      <c r="A22" s="13" t="str">
        <f t="shared" si="1"/>
        <v>0, 20</v>
      </c>
      <c r="B22" s="13" t="s">
        <v>36</v>
      </c>
      <c r="C22" s="14" t="s">
        <v>199</v>
      </c>
      <c r="D22" s="13" t="s">
        <v>38</v>
      </c>
      <c r="E22" s="15"/>
      <c r="F22" s="15" t="str">
        <f t="shared" si="2"/>
        <v>I’m sorry, but that version in that language is not currently supported.</v>
      </c>
      <c r="G22" s="15" t="s">
        <v>200</v>
      </c>
      <c r="H22" s="15" t="s">
        <v>201</v>
      </c>
      <c r="I22" s="15" t="s">
        <v>202</v>
      </c>
      <c r="J22" s="15"/>
      <c r="K22" s="15"/>
      <c r="L22" s="15" t="s">
        <v>203</v>
      </c>
      <c r="M22" s="15" t="s">
        <v>204</v>
      </c>
      <c r="N22" s="15"/>
      <c r="O22" s="15"/>
      <c r="P22" s="15"/>
      <c r="Q22" s="15" t="s">
        <v>205</v>
      </c>
    </row>
    <row r="23">
      <c r="A23" s="13" t="str">
        <f t="shared" si="1"/>
        <v>0, 21</v>
      </c>
      <c r="B23" s="13" t="s">
        <v>36</v>
      </c>
      <c r="C23" s="14" t="s">
        <v>206</v>
      </c>
      <c r="D23" s="13" t="s">
        <v>38</v>
      </c>
      <c r="E23" s="15"/>
      <c r="F23" s="15" t="str">
        <f t="shared" si="2"/>
        <v>Alright! Let’s take a look at the POKéMON that will be transfered. Please remember, once a POKéMON is transfered, it CANNOT be returned to its game of origin. Select “CONFIRM” once you’re ready, or select “CANCEL” if you changed your mind.</v>
      </c>
      <c r="G23" s="15" t="s">
        <v>207</v>
      </c>
      <c r="H23" s="15" t="s">
        <v>208</v>
      </c>
      <c r="I23" s="15" t="s">
        <v>209</v>
      </c>
      <c r="J23" s="15"/>
      <c r="K23" s="15" t="s">
        <v>210</v>
      </c>
      <c r="L23" s="15" t="s">
        <v>211</v>
      </c>
      <c r="M23" s="15" t="s">
        <v>212</v>
      </c>
      <c r="N23" s="15"/>
      <c r="O23" s="15"/>
      <c r="P23" s="15"/>
      <c r="Q23" s="15" t="s">
        <v>213</v>
      </c>
    </row>
    <row r="24">
      <c r="A24" s="13" t="str">
        <f t="shared" si="1"/>
        <v>0, 22</v>
      </c>
      <c r="B24" s="13" t="s">
        <v>36</v>
      </c>
      <c r="C24" s="14" t="s">
        <v>214</v>
      </c>
      <c r="D24" s="13" t="s">
        <v>38</v>
      </c>
      <c r="E24" s="15"/>
      <c r="F24" s="15" t="str">
        <f t="shared" si="2"/>
        <v>It looks like you have a rare mythical POKéMON! Due to their rarity, it seems they’ve overloaded the machine. I can stablize them if you’d like, but it’ll change some things like met location, OT, TID, and Shininess. Otherwise I can leave them as is, but there’s no guarantee that they’ll be transferrable in the future. Do you want me to stablize them?{NEW}This will apply to all of the mythical POKéMON currently in your BOX.</v>
      </c>
      <c r="G24" s="15" t="s">
        <v>215</v>
      </c>
      <c r="H24" s="15" t="s">
        <v>216</v>
      </c>
      <c r="I24" s="15" t="s">
        <v>217</v>
      </c>
      <c r="J24" s="15"/>
      <c r="K24" s="15" t="s">
        <v>218</v>
      </c>
      <c r="L24" s="15" t="s">
        <v>219</v>
      </c>
      <c r="M24" s="15" t="s">
        <v>220</v>
      </c>
      <c r="N24" s="15"/>
      <c r="O24" s="15"/>
      <c r="P24" s="15"/>
      <c r="Q24" s="15" t="s">
        <v>221</v>
      </c>
    </row>
    <row r="25">
      <c r="A25" s="13" t="str">
        <f t="shared" si="1"/>
        <v>0, 23</v>
      </c>
      <c r="B25" s="13" t="s">
        <v>36</v>
      </c>
      <c r="C25" s="14" t="s">
        <v>222</v>
      </c>
      <c r="D25" s="13" t="s">
        <v>38</v>
      </c>
      <c r="E25" s="15"/>
      <c r="F25" s="15" t="str">
        <f t="shared" si="2"/>
        <v>No worries! Feel free to come back if you change your mind! See you around!</v>
      </c>
      <c r="G25" s="15" t="s">
        <v>223</v>
      </c>
      <c r="H25" s="15" t="s">
        <v>224</v>
      </c>
      <c r="I25" s="15" t="s">
        <v>225</v>
      </c>
      <c r="J25" s="15"/>
      <c r="K25" s="15" t="s">
        <v>226</v>
      </c>
      <c r="L25" s="15" t="s">
        <v>227</v>
      </c>
      <c r="M25" s="15" t="s">
        <v>227</v>
      </c>
      <c r="N25" s="15"/>
      <c r="O25" s="15"/>
      <c r="P25" s="15"/>
      <c r="Q25" s="15" t="s">
        <v>228</v>
      </c>
    </row>
    <row r="26">
      <c r="A26" s="13" t="str">
        <f t="shared" si="1"/>
        <v>0, 24</v>
      </c>
      <c r="B26" s="13" t="s">
        <v>36</v>
      </c>
      <c r="C26" s="14" t="s">
        <v>229</v>
      </c>
      <c r="D26" s="13" t="s">
        <v>38</v>
      </c>
      <c r="E26" s="15"/>
      <c r="F26" s="15" t="str">
        <f t="shared" si="2"/>
        <v>I see there is at least one POKéMON that cannot be transferred from your current BOX. POKéMON holding items or modified incorrectly through unintended means cannot be transferred. The other POKéMON will transfer just fine though!</v>
      </c>
      <c r="G26" s="15" t="s">
        <v>230</v>
      </c>
      <c r="H26" s="15" t="s">
        <v>231</v>
      </c>
      <c r="I26" s="15" t="s">
        <v>232</v>
      </c>
      <c r="J26" s="15"/>
      <c r="K26" s="15" t="s">
        <v>233</v>
      </c>
      <c r="L26" s="15" t="s">
        <v>234</v>
      </c>
      <c r="M26" s="15" t="s">
        <v>235</v>
      </c>
      <c r="N26" s="15"/>
      <c r="O26" s="15"/>
      <c r="P26" s="15"/>
      <c r="Q26" s="15" t="s">
        <v>236</v>
      </c>
    </row>
    <row r="27">
      <c r="A27" s="13" t="str">
        <f t="shared" si="1"/>
        <v>0, 25</v>
      </c>
      <c r="B27" s="13" t="s">
        <v>36</v>
      </c>
      <c r="C27" s="14" t="s">
        <v>237</v>
      </c>
      <c r="D27" s="13" t="s">
        <v>38</v>
      </c>
      <c r="E27" s="15"/>
      <c r="F27" s="15" t="str">
        <f t="shared" si="2"/>
        <v>No worries!{NEW}Feel free to come back any time!</v>
      </c>
      <c r="G27" s="15" t="s">
        <v>238</v>
      </c>
      <c r="H27" s="15" t="s">
        <v>239</v>
      </c>
      <c r="I27" s="15" t="s">
        <v>240</v>
      </c>
      <c r="J27" s="15"/>
      <c r="K27" s="15" t="s">
        <v>241</v>
      </c>
      <c r="L27" s="15" t="s">
        <v>242</v>
      </c>
      <c r="M27" s="15" t="s">
        <v>242</v>
      </c>
      <c r="N27" s="15"/>
      <c r="O27" s="15"/>
      <c r="P27" s="15"/>
      <c r="Q27" s="15" t="s">
        <v>243</v>
      </c>
    </row>
    <row r="28">
      <c r="A28" s="13" t="str">
        <f t="shared" si="1"/>
        <v>0, 26</v>
      </c>
      <c r="B28" s="13" t="s">
        <v>36</v>
      </c>
      <c r="C28" s="14" t="s">
        <v>244</v>
      </c>
      <c r="D28" s="13" t="s">
        <v>38</v>
      </c>
      <c r="E28" s="15"/>
      <c r="F28" s="15" t="str">
        <f t="shared" si="2"/>
        <v>…It seems like one of your POKéMON is messing with the machine! It looks to only be graphical though, so we can continue!</v>
      </c>
      <c r="G28" s="15" t="s">
        <v>245</v>
      </c>
      <c r="H28" s="15" t="s">
        <v>246</v>
      </c>
      <c r="I28" s="15" t="s">
        <v>247</v>
      </c>
      <c r="J28" s="15"/>
      <c r="K28" s="15" t="s">
        <v>248</v>
      </c>
      <c r="L28" s="15" t="s">
        <v>249</v>
      </c>
      <c r="M28" s="15" t="s">
        <v>250</v>
      </c>
      <c r="N28" s="15"/>
      <c r="O28" s="15"/>
      <c r="P28" s="15"/>
      <c r="Q28" s="15" t="s">
        <v>251</v>
      </c>
    </row>
    <row r="29">
      <c r="A29" s="13" t="str">
        <f t="shared" si="1"/>
        <v>0, 27</v>
      </c>
      <c r="B29" s="13" t="s">
        <v>36</v>
      </c>
      <c r="C29" s="14" t="s">
        <v>252</v>
      </c>
      <c r="D29" s="13" t="s">
        <v>38</v>
      </c>
      <c r="E29" s="15"/>
      <c r="F29" s="15" t="str">
        <f t="shared" si="2"/>
        <v>It looks like you went to the colosseum instead of the trading room!{NEW}Let’s try that again!</v>
      </c>
      <c r="G29" s="15" t="s">
        <v>253</v>
      </c>
      <c r="H29" s="15" t="s">
        <v>254</v>
      </c>
      <c r="I29" s="15" t="s">
        <v>255</v>
      </c>
      <c r="J29" s="15"/>
      <c r="K29" s="15" t="s">
        <v>256</v>
      </c>
      <c r="L29" s="15" t="s">
        <v>257</v>
      </c>
      <c r="M29" s="15" t="s">
        <v>258</v>
      </c>
      <c r="N29" s="15"/>
      <c r="O29" s="15"/>
      <c r="P29" s="15"/>
      <c r="Q29" s="15" t="s">
        <v>259</v>
      </c>
    </row>
    <row r="30">
      <c r="A30" s="13" t="str">
        <f t="shared" si="1"/>
        <v>0, 28</v>
      </c>
      <c r="B30" s="13" t="s">
        <v>36</v>
      </c>
      <c r="C30" s="14" t="s">
        <v>260</v>
      </c>
      <c r="D30" s="13" t="s">
        <v>38</v>
      </c>
      <c r="E30" s="15"/>
      <c r="F30" s="15" t="str">
        <f t="shared" si="2"/>
        <v>Communication with the other device was terminated.{NEW}Let’s try that again!</v>
      </c>
      <c r="G30" s="15" t="s">
        <v>261</v>
      </c>
      <c r="H30" s="15" t="s">
        <v>262</v>
      </c>
      <c r="I30" s="15" t="s">
        <v>263</v>
      </c>
      <c r="J30" s="15"/>
      <c r="K30" s="15" t="s">
        <v>264</v>
      </c>
      <c r="L30" s="15" t="s">
        <v>265</v>
      </c>
      <c r="M30" s="15" t="s">
        <v>266</v>
      </c>
      <c r="N30" s="15"/>
      <c r="O30" s="15"/>
      <c r="P30" s="15"/>
      <c r="Q30" s="15" t="s">
        <v>267</v>
      </c>
    </row>
    <row r="31">
      <c r="A31" s="13" t="str">
        <f t="shared" si="1"/>
        <v>0, 29</v>
      </c>
      <c r="B31" s="13" t="s">
        <v>36</v>
      </c>
      <c r="C31" s="14" t="s">
        <v>268</v>
      </c>
      <c r="D31" s="13" t="s">
        <v>38</v>
      </c>
      <c r="E31" s="15"/>
      <c r="F31" s="15" t="str">
        <f t="shared" si="2"/>
        <v>It looks like the Game Boy Color Link Cable was disconnected…{NEW}Let’s try that again!</v>
      </c>
      <c r="G31" s="15" t="s">
        <v>269</v>
      </c>
      <c r="H31" s="15" t="s">
        <v>270</v>
      </c>
      <c r="I31" s="15" t="s">
        <v>271</v>
      </c>
      <c r="J31" s="15"/>
      <c r="K31" s="15" t="s">
        <v>272</v>
      </c>
      <c r="L31" s="15" t="s">
        <v>273</v>
      </c>
      <c r="M31" s="15" t="s">
        <v>274</v>
      </c>
      <c r="N31" s="15"/>
      <c r="O31" s="15"/>
      <c r="P31" s="15"/>
      <c r="Q31" s="15" t="s">
        <v>275</v>
      </c>
    </row>
    <row r="32">
      <c r="A32" s="13" t="str">
        <f t="shared" si="1"/>
        <v>0, 30</v>
      </c>
      <c r="B32" s="13" t="s">
        <v>36</v>
      </c>
      <c r="C32" s="14" t="s">
        <v>276</v>
      </c>
      <c r="D32" s="13" t="s">
        <v>38</v>
      </c>
      <c r="E32" s="15"/>
      <c r="F32" s="15" t="str">
        <f t="shared" si="2"/>
        <v>It looks like the connection timed out…{NEW}Let’s try that again!</v>
      </c>
      <c r="G32" s="15" t="s">
        <v>277</v>
      </c>
      <c r="H32" s="15" t="s">
        <v>278</v>
      </c>
      <c r="I32" s="15" t="s">
        <v>279</v>
      </c>
      <c r="J32" s="15"/>
      <c r="K32" s="15" t="s">
        <v>280</v>
      </c>
      <c r="L32" s="15" t="s">
        <v>281</v>
      </c>
      <c r="M32" s="15" t="s">
        <v>282</v>
      </c>
      <c r="N32" s="15"/>
      <c r="O32" s="15"/>
      <c r="P32" s="15"/>
      <c r="Q32" s="15" t="s">
        <v>283</v>
      </c>
    </row>
    <row r="33">
      <c r="A33" s="13" t="str">
        <f t="shared" si="1"/>
        <v>0, 31</v>
      </c>
      <c r="B33" s="13" t="s">
        <v>36</v>
      </c>
      <c r="C33" s="14" t="s">
        <v>284</v>
      </c>
      <c r="D33" s="13" t="s">
        <v>38</v>
      </c>
      <c r="E33" s="15"/>
      <c r="F33" s="15" t="str">
        <f t="shared" si="2"/>
        <v>It seems like the connection timed out…{NEW}Let’s try that again!</v>
      </c>
      <c r="G33" s="15" t="s">
        <v>285</v>
      </c>
      <c r="H33" s="15" t="s">
        <v>286</v>
      </c>
      <c r="I33" s="15" t="s">
        <v>279</v>
      </c>
      <c r="J33" s="15"/>
      <c r="K33" s="15" t="s">
        <v>280</v>
      </c>
      <c r="L33" s="15" t="s">
        <v>287</v>
      </c>
      <c r="M33" s="15" t="s">
        <v>288</v>
      </c>
      <c r="N33" s="15"/>
      <c r="O33" s="15"/>
      <c r="P33" s="15"/>
      <c r="Q33" s="15" t="s">
        <v>283</v>
      </c>
    </row>
    <row r="34">
      <c r="A34" s="13" t="str">
        <f t="shared" si="1"/>
        <v>0, 32</v>
      </c>
      <c r="B34" s="13" t="s">
        <v>36</v>
      </c>
      <c r="C34" s="14" t="s">
        <v>289</v>
      </c>
      <c r="D34" s="13" t="s">
        <v>38</v>
      </c>
      <c r="E34" s="15"/>
      <c r="F34" s="15" t="str">
        <f t="shared" si="2"/>
        <v>What language is the Game Boy POKéMON game that you want to send an event to?</v>
      </c>
      <c r="G34" s="15" t="s">
        <v>290</v>
      </c>
      <c r="H34" s="15" t="s">
        <v>291</v>
      </c>
      <c r="I34" s="15" t="s">
        <v>292</v>
      </c>
      <c r="J34" s="15"/>
      <c r="K34" s="15" t="s">
        <v>293</v>
      </c>
      <c r="L34" s="15" t="s">
        <v>294</v>
      </c>
      <c r="M34" s="15" t="s">
        <v>294</v>
      </c>
      <c r="N34" s="15"/>
      <c r="O34" s="15"/>
      <c r="P34" s="15"/>
      <c r="Q34" s="15" t="s">
        <v>295</v>
      </c>
    </row>
    <row r="35">
      <c r="A35" s="13" t="str">
        <f t="shared" si="1"/>
        <v>0, 33</v>
      </c>
      <c r="B35" s="13" t="s">
        <v>36</v>
      </c>
      <c r="C35" s="14" t="s">
        <v>296</v>
      </c>
      <c r="D35" s="13" t="s">
        <v>38</v>
      </c>
      <c r="E35" s="15"/>
      <c r="F35" s="15" t="str">
        <f t="shared" si="2"/>
        <v>And which Game Boy POKéMON game do you want to send an event to?</v>
      </c>
      <c r="G35" s="15" t="s">
        <v>297</v>
      </c>
      <c r="H35" s="15" t="s">
        <v>298</v>
      </c>
      <c r="I35" s="15" t="s">
        <v>299</v>
      </c>
      <c r="J35" s="15"/>
      <c r="K35" s="15" t="s">
        <v>300</v>
      </c>
      <c r="L35" s="15" t="s">
        <v>301</v>
      </c>
      <c r="M35" s="15" t="s">
        <v>302</v>
      </c>
      <c r="N35" s="15"/>
      <c r="O35" s="15"/>
      <c r="P35" s="15"/>
      <c r="Q35" s="15" t="s">
        <v>303</v>
      </c>
    </row>
    <row r="36">
      <c r="A36" s="13" t="str">
        <f t="shared" si="1"/>
        <v>0, 34</v>
      </c>
      <c r="B36" s="13" t="s">
        <v>36</v>
      </c>
      <c r="C36" s="14" t="s">
        <v>304</v>
      </c>
      <c r="D36" s="13" t="s">
        <v>38</v>
      </c>
      <c r="E36" s="15"/>
      <c r="F36" s="15" t="str">
        <f t="shared" si="2"/>
        <v>Sorry TRAINER, it looks like you haven’t caught all 150 POKéMON from the KANTO region yet. Go out and catch them all and then we’ll be able to send over the event!</v>
      </c>
      <c r="G36" s="15" t="s">
        <v>305</v>
      </c>
      <c r="H36" s="15" t="s">
        <v>306</v>
      </c>
      <c r="I36" s="15" t="s">
        <v>307</v>
      </c>
      <c r="J36" s="15"/>
      <c r="K36" s="15" t="s">
        <v>308</v>
      </c>
      <c r="L36" s="15" t="s">
        <v>309</v>
      </c>
      <c r="M36" s="15" t="s">
        <v>310</v>
      </c>
      <c r="N36" s="15"/>
      <c r="O36" s="15"/>
      <c r="P36" s="15"/>
      <c r="Q36" s="15" t="s">
        <v>311</v>
      </c>
    </row>
    <row r="37">
      <c r="A37" s="13" t="str">
        <f t="shared" si="1"/>
        <v>0, 35</v>
      </c>
      <c r="B37" s="13" t="s">
        <v>36</v>
      </c>
      <c r="C37" s="14" t="s">
        <v>312</v>
      </c>
      <c r="D37" s="13" t="s">
        <v>38</v>
      </c>
      <c r="E37" s="15"/>
      <c r="F37" s="15" t="str">
        <f t="shared" si="2"/>
        <v>Sorry TRAINER, it looks like you haven’t caught all 99 new POKéMON from the JOHTO region yet. Go out and catch them all and then we’ll be able to send over the event!</v>
      </c>
      <c r="G37" s="15" t="s">
        <v>313</v>
      </c>
      <c r="H37" s="15" t="s">
        <v>314</v>
      </c>
      <c r="I37" s="15" t="s">
        <v>315</v>
      </c>
      <c r="J37" s="15"/>
      <c r="K37" s="15" t="s">
        <v>316</v>
      </c>
      <c r="L37" s="15" t="s">
        <v>317</v>
      </c>
      <c r="M37" s="15" t="s">
        <v>318</v>
      </c>
      <c r="N37" s="15"/>
      <c r="O37" s="15"/>
      <c r="P37" s="15"/>
      <c r="Q37" s="15" t="s">
        <v>319</v>
      </c>
    </row>
    <row r="38">
      <c r="A38" s="19" t="str">
        <f t="shared" si="1"/>
        <v>1, 0</v>
      </c>
      <c r="B38" s="19" t="s">
        <v>320</v>
      </c>
      <c r="C38" s="19" t="s">
        <v>321</v>
      </c>
      <c r="D38" s="20" t="s">
        <v>322</v>
      </c>
      <c r="E38" s="20" t="s">
        <v>323</v>
      </c>
      <c r="F38" s="20" t="str">
        <f t="shared" si="2"/>
        <v>When I was young, I traveled the world as a POKéMON TRAINER.</v>
      </c>
      <c r="G38" s="20" t="s">
        <v>324</v>
      </c>
      <c r="H38" s="20" t="s">
        <v>325</v>
      </c>
      <c r="I38" s="20" t="s">
        <v>326</v>
      </c>
      <c r="J38" s="20" t="s">
        <v>327</v>
      </c>
      <c r="K38" s="20" t="s">
        <v>328</v>
      </c>
      <c r="L38" s="20" t="s">
        <v>329</v>
      </c>
      <c r="M38" s="20" t="s">
        <v>330</v>
      </c>
      <c r="N38" s="21"/>
      <c r="O38" s="21"/>
      <c r="P38" s="21"/>
      <c r="Q38" s="20" t="s">
        <v>331</v>
      </c>
    </row>
    <row r="39">
      <c r="A39" s="19" t="str">
        <f t="shared" si="1"/>
        <v>1, 1</v>
      </c>
      <c r="B39" s="19" t="s">
        <v>320</v>
      </c>
      <c r="C39" s="19" t="s">
        <v>332</v>
      </c>
      <c r="D39" s="20" t="s">
        <v>322</v>
      </c>
      <c r="E39" s="20" t="s">
        <v>323</v>
      </c>
      <c r="F39" s="20" t="str">
        <f t="shared" si="2"/>
        <v>I may not look like much now,{NEW}but when I was younger…</v>
      </c>
      <c r="G39" s="20" t="s">
        <v>333</v>
      </c>
      <c r="H39" s="20" t="s">
        <v>334</v>
      </c>
      <c r="I39" s="20" t="s">
        <v>335</v>
      </c>
      <c r="J39" s="20" t="s">
        <v>336</v>
      </c>
      <c r="K39" s="20" t="s">
        <v>337</v>
      </c>
      <c r="L39" s="20" t="s">
        <v>338</v>
      </c>
      <c r="M39" s="20" t="s">
        <v>339</v>
      </c>
      <c r="N39" s="21"/>
      <c r="O39" s="21"/>
      <c r="P39" s="21"/>
      <c r="Q39" s="20" t="s">
        <v>340</v>
      </c>
    </row>
    <row r="40">
      <c r="A40" s="19" t="str">
        <f t="shared" si="1"/>
        <v>1, 2</v>
      </c>
      <c r="B40" s="19" t="s">
        <v>320</v>
      </c>
      <c r="C40" s="19" t="s">
        <v>341</v>
      </c>
      <c r="D40" s="20" t="s">
        <v>322</v>
      </c>
      <c r="E40" s="20"/>
      <c r="F40" s="20" t="str">
        <f t="shared" si="2"/>
        <v>Oh, of course, I have to unlock{NEW}the door!</v>
      </c>
      <c r="G40" s="20" t="s">
        <v>342</v>
      </c>
      <c r="H40" s="20" t="s">
        <v>343</v>
      </c>
      <c r="I40" s="20" t="s">
        <v>344</v>
      </c>
      <c r="J40" s="20" t="s">
        <v>345</v>
      </c>
      <c r="K40" s="20" t="s">
        <v>346</v>
      </c>
      <c r="L40" s="20" t="s">
        <v>347</v>
      </c>
      <c r="M40" s="20" t="s">
        <v>347</v>
      </c>
      <c r="N40" s="21"/>
      <c r="O40" s="21"/>
      <c r="P40" s="21"/>
      <c r="Q40" s="20" t="s">
        <v>348</v>
      </c>
    </row>
    <row r="41">
      <c r="A41" s="19" t="str">
        <f t="shared" si="1"/>
        <v>1, 3</v>
      </c>
      <c r="B41" s="19" t="s">
        <v>320</v>
      </c>
      <c r="C41" s="19" t="s">
        <v>349</v>
      </c>
      <c r="D41" s="20" t="s">
        <v>322</v>
      </c>
      <c r="E41" s="20"/>
      <c r="F41" s="20" t="str">
        <f t="shared" si="2"/>
        <v>{MLE}Oh, of course, I have to move{NEW}the boxes!</v>
      </c>
      <c r="G41" s="20" t="s">
        <v>350</v>
      </c>
      <c r="H41" s="20" t="s">
        <v>351</v>
      </c>
      <c r="I41" s="20" t="s">
        <v>352</v>
      </c>
      <c r="J41" s="20" t="s">
        <v>353</v>
      </c>
      <c r="K41" s="20" t="s">
        <v>354</v>
      </c>
      <c r="L41" s="20" t="s">
        <v>355</v>
      </c>
      <c r="M41" s="20" t="s">
        <v>355</v>
      </c>
      <c r="N41" s="21"/>
      <c r="O41" s="21"/>
      <c r="P41" s="21"/>
      <c r="Q41" s="20" t="s">
        <v>356</v>
      </c>
    </row>
    <row r="42">
      <c r="A42" s="19" t="str">
        <f t="shared" si="1"/>
        <v>1, 4</v>
      </c>
      <c r="B42" s="19" t="s">
        <v>320</v>
      </c>
      <c r="C42" s="19" t="s">
        <v>357</v>
      </c>
      <c r="D42" s="20" t="s">
        <v>322</v>
      </c>
      <c r="E42" s="20"/>
      <c r="F42" s="20" t="str">
        <f t="shared" si="2"/>
        <v>{MLE}Oh, of course, I have to move{NEW}the plants!</v>
      </c>
      <c r="G42" s="20" t="s">
        <v>358</v>
      </c>
      <c r="H42" s="20" t="s">
        <v>359</v>
      </c>
      <c r="I42" s="20" t="s">
        <v>360</v>
      </c>
      <c r="J42" s="20" t="s">
        <v>361</v>
      </c>
      <c r="K42" s="20" t="s">
        <v>362</v>
      </c>
      <c r="L42" s="20" t="s">
        <v>363</v>
      </c>
      <c r="M42" s="20" t="s">
        <v>363</v>
      </c>
      <c r="N42" s="21"/>
      <c r="O42" s="21"/>
      <c r="P42" s="21"/>
      <c r="Q42" s="20" t="s">
        <v>364</v>
      </c>
    </row>
    <row r="43">
      <c r="A43" s="19" t="str">
        <f t="shared" si="1"/>
        <v>1, 5</v>
      </c>
      <c r="B43" s="19" t="s">
        <v>320</v>
      </c>
      <c r="C43" s="19" t="s">
        <v>365</v>
      </c>
      <c r="D43" s="20" t="s">
        <v>322</v>
      </c>
      <c r="E43" s="20" t="s">
        <v>366</v>
      </c>
      <c r="F43" s="20" t="str">
        <f t="shared" si="2"/>
        <v>LOOKER: I am here in HOENN to find the leader {VLN}.{CLR}As well, I am helping my friend{NEW}PROF. FENNEL.{CLR}This is why you are here, no?{NEW}I shall tell her you are ready.{SCL}Come! Allons-y!</v>
      </c>
      <c r="G43" s="20" t="s">
        <v>367</v>
      </c>
      <c r="H43" s="20" t="s">
        <v>368</v>
      </c>
      <c r="I43" s="20" t="s">
        <v>369</v>
      </c>
      <c r="J43" s="20" t="s">
        <v>370</v>
      </c>
      <c r="K43" s="20" t="s">
        <v>371</v>
      </c>
      <c r="L43" s="20" t="s">
        <v>372</v>
      </c>
      <c r="M43" s="20" t="s">
        <v>373</v>
      </c>
      <c r="N43" s="21"/>
      <c r="O43" s="21"/>
      <c r="P43" s="21"/>
      <c r="Q43" s="20" t="s">
        <v>374</v>
      </c>
    </row>
    <row r="44">
      <c r="A44" s="19" t="str">
        <f t="shared" si="1"/>
        <v>1, 6</v>
      </c>
      <c r="B44" s="19" t="s">
        <v>320</v>
      </c>
      <c r="C44" s="19" t="s">
        <v>375</v>
      </c>
      <c r="D44" s="20" t="s">
        <v>322</v>
      </c>
      <c r="E44" s="20"/>
      <c r="F44" s="20" t="str">
        <f t="shared" si="2"/>
        <v>{MLE}LOOKER: I am here in KANTO to find the leader GIOVANNI.{CLR}As well, I am helping my friend{NEW}PROF. FENNEL.{CLR}This is why you are here, no?{NEW}I shall tell her you are ready.{SCL}Come! Allons-y!</v>
      </c>
      <c r="G44" s="20" t="s">
        <v>376</v>
      </c>
      <c r="H44" s="20" t="s">
        <v>377</v>
      </c>
      <c r="I44" s="20" t="s">
        <v>378</v>
      </c>
      <c r="J44" s="20" t="s">
        <v>379</v>
      </c>
      <c r="K44" s="20" t="s">
        <v>380</v>
      </c>
      <c r="L44" s="20" t="s">
        <v>381</v>
      </c>
      <c r="M44" s="20" t="s">
        <v>382</v>
      </c>
      <c r="N44" s="21"/>
      <c r="O44" s="21"/>
      <c r="P44" s="21"/>
      <c r="Q44" s="20" t="s">
        <v>383</v>
      </c>
    </row>
    <row r="45">
      <c r="A45" s="19" t="str">
        <f t="shared" si="1"/>
        <v>1, 7</v>
      </c>
      <c r="B45" s="19" t="s">
        <v>320</v>
      </c>
      <c r="C45" s="19" t="s">
        <v>384</v>
      </c>
      <c r="D45" s="20" t="s">
        <v>322</v>
      </c>
      <c r="E45" s="20" t="s">
        <v>385</v>
      </c>
      <c r="F45" s="20" t="str">
        <f t="shared" si="2"/>
        <v>{MLE}LOOKER: I am here in HOENN to find the leaders {VLN2} and {VLN}.{CLR}As well, I am helping my friend PROF. FENNEL.{CLR}This is why you are here, no?{NEW}I shall tell her you are ready.{SCL}Come! Allons-y!</v>
      </c>
      <c r="G45" s="20" t="s">
        <v>386</v>
      </c>
      <c r="H45" s="20" t="s">
        <v>387</v>
      </c>
      <c r="I45" s="20" t="s">
        <v>388</v>
      </c>
      <c r="J45" s="20" t="s">
        <v>389</v>
      </c>
      <c r="K45" s="20" t="s">
        <v>390</v>
      </c>
      <c r="L45" s="20" t="s">
        <v>391</v>
      </c>
      <c r="M45" s="20" t="s">
        <v>392</v>
      </c>
      <c r="N45" s="21"/>
      <c r="O45" s="21"/>
      <c r="P45" s="21"/>
      <c r="Q45" s="20" t="s">
        <v>393</v>
      </c>
    </row>
    <row r="46">
      <c r="A46" s="19" t="str">
        <f t="shared" si="1"/>
        <v>1, 8</v>
      </c>
      <c r="B46" s="19" t="s">
        <v>320</v>
      </c>
      <c r="C46" s="19" t="s">
        <v>394</v>
      </c>
      <c r="D46" s="20" t="s">
        <v>322</v>
      </c>
      <c r="E46" s="20"/>
      <c r="F46" s="20" t="str">
        <f t="shared" si="2"/>
        <v>{PLR}’s POKéMON were{NEW}sent to the PC!</v>
      </c>
      <c r="G46" s="20" t="s">
        <v>395</v>
      </c>
      <c r="H46" s="20" t="s">
        <v>396</v>
      </c>
      <c r="I46" s="20" t="s">
        <v>397</v>
      </c>
      <c r="J46" s="20" t="s">
        <v>398</v>
      </c>
      <c r="K46" s="20" t="s">
        <v>399</v>
      </c>
      <c r="L46" s="20" t="s">
        <v>400</v>
      </c>
      <c r="M46" s="20" t="s">
        <v>401</v>
      </c>
      <c r="N46" s="21"/>
      <c r="O46" s="21"/>
      <c r="P46" s="21"/>
      <c r="Q46" s="20" t="s">
        <v>402</v>
      </c>
    </row>
    <row r="47">
      <c r="A47" s="19" t="str">
        <f t="shared" si="1"/>
        <v>1, 9</v>
      </c>
      <c r="B47" s="19" t="s">
        <v>320</v>
      </c>
      <c r="C47" s="19" t="s">
        <v>403</v>
      </c>
      <c r="D47" s="20" t="s">
        <v>322</v>
      </c>
      <c r="E47" s="20"/>
      <c r="F47" s="20" t="str">
        <f t="shared" si="2"/>
        <v>{DEF}{PLR}’s POKéMON were{NEW}sent to the PC!</v>
      </c>
      <c r="G47" s="20" t="s">
        <v>404</v>
      </c>
      <c r="H47" s="20" t="s">
        <v>405</v>
      </c>
      <c r="I47" s="20" t="s">
        <v>406</v>
      </c>
      <c r="J47" s="20" t="s">
        <v>407</v>
      </c>
      <c r="K47" s="20" t="s">
        <v>408</v>
      </c>
      <c r="L47" s="20" t="s">
        <v>409</v>
      </c>
      <c r="M47" s="20" t="s">
        <v>410</v>
      </c>
      <c r="N47" s="21"/>
      <c r="O47" s="21"/>
      <c r="P47" s="21"/>
      <c r="Q47" s="20" t="s">
        <v>411</v>
      </c>
    </row>
    <row r="48">
      <c r="A48" s="19" t="str">
        <f t="shared" si="1"/>
        <v>1, 10</v>
      </c>
      <c r="B48" s="19" t="s">
        <v>320</v>
      </c>
      <c r="C48" s="19" t="s">
        <v>412</v>
      </c>
      <c r="D48" s="20" t="s">
        <v>322</v>
      </c>
      <c r="E48" s="20"/>
      <c r="F48" s="20" t="str">
        <f t="shared" si="2"/>
        <v>Ah! You must be {PLR}!{NEW}I was told you’d be coming.{CLR}Oh! I still wear my disguise! Pardon! Or, rather, let me introduce myself.</v>
      </c>
      <c r="G48" s="20" t="s">
        <v>413</v>
      </c>
      <c r="H48" s="20" t="s">
        <v>414</v>
      </c>
      <c r="I48" s="20" t="s">
        <v>415</v>
      </c>
      <c r="J48" s="20" t="s">
        <v>416</v>
      </c>
      <c r="K48" s="20" t="s">
        <v>417</v>
      </c>
      <c r="L48" s="20" t="s">
        <v>418</v>
      </c>
      <c r="M48" s="20" t="s">
        <v>419</v>
      </c>
      <c r="N48" s="21"/>
      <c r="O48" s="21"/>
      <c r="P48" s="21"/>
      <c r="Q48" s="20" t="s">
        <v>420</v>
      </c>
    </row>
    <row r="49">
      <c r="A49" s="19" t="str">
        <f t="shared" si="1"/>
        <v>1, 11</v>
      </c>
      <c r="B49" s="19" t="s">
        <v>320</v>
      </c>
      <c r="C49" s="19" t="s">
        <v>421</v>
      </c>
      <c r="D49" s="20" t="s">
        <v>322</v>
      </c>
      <c r="E49" s="20"/>
      <c r="F49" s="20" t="str">
        <f t="shared" si="2"/>
        <v>Ah, {PLR}! Welcome back! Good to see you again!{CLR}Oh! I still wear my disguise! Pardon!</v>
      </c>
      <c r="G49" s="20" t="s">
        <v>422</v>
      </c>
      <c r="H49" s="20" t="s">
        <v>423</v>
      </c>
      <c r="I49" s="20" t="s">
        <v>424</v>
      </c>
      <c r="J49" s="20" t="s">
        <v>425</v>
      </c>
      <c r="K49" s="20" t="s">
        <v>426</v>
      </c>
      <c r="L49" s="20" t="s">
        <v>427</v>
      </c>
      <c r="M49" s="20" t="s">
        <v>428</v>
      </c>
      <c r="N49" s="21"/>
      <c r="O49" s="21"/>
      <c r="P49" s="21"/>
      <c r="Q49" s="20" t="s">
        <v>429</v>
      </c>
    </row>
    <row r="50">
      <c r="A50" s="19" t="str">
        <f t="shared" si="1"/>
        <v>1, 12</v>
      </c>
      <c r="B50" s="19" t="s">
        <v>320</v>
      </c>
      <c r="C50" s="19" t="s">
        <v>430</v>
      </c>
      <c r="D50" s="20" t="s">
        <v>322</v>
      </c>
      <c r="E50" s="20"/>
      <c r="F50" s="20" t="str">
        <f t="shared" si="2"/>
        <v>I am a globe-trotting elite of{NEW}the International Police.{CLR}My name…{CLR}Ah, no, I shall inform you of my code name only.{CLR}My code name, it is LOOKER!</v>
      </c>
      <c r="G50" s="20" t="s">
        <v>431</v>
      </c>
      <c r="H50" s="20" t="s">
        <v>432</v>
      </c>
      <c r="I50" s="20" t="s">
        <v>433</v>
      </c>
      <c r="J50" s="20" t="s">
        <v>434</v>
      </c>
      <c r="K50" s="20" t="s">
        <v>435</v>
      </c>
      <c r="L50" s="20" t="s">
        <v>436</v>
      </c>
      <c r="M50" s="20" t="s">
        <v>437</v>
      </c>
      <c r="N50" s="21"/>
      <c r="O50" s="21"/>
      <c r="P50" s="21"/>
      <c r="Q50" s="20" t="s">
        <v>438</v>
      </c>
    </row>
    <row r="51">
      <c r="A51" s="19" t="str">
        <f t="shared" si="1"/>
        <v>1, 13</v>
      </c>
      <c r="B51" s="19" t="s">
        <v>320</v>
      </c>
      <c r="C51" s="19" t="s">
        <v>439</v>
      </c>
      <c r="D51" s="20" t="s">
        <v>322</v>
      </c>
      <c r="E51" s="20"/>
      <c r="F51" s="20" t="str">
        <f t="shared" si="2"/>
        <v>{MLE}I am a globe-trotting elite of{NEW}the International Police.{CLR}My name…{CLR}Ah, no, I shall inform you of my code name only.{CLR}My code name, it is LOOKER!</v>
      </c>
      <c r="G51" s="20" t="s">
        <v>440</v>
      </c>
      <c r="H51" s="20" t="s">
        <v>441</v>
      </c>
      <c r="I51" s="20" t="s">
        <v>442</v>
      </c>
      <c r="J51" s="22" t="s">
        <v>443</v>
      </c>
      <c r="K51" s="20" t="s">
        <v>444</v>
      </c>
      <c r="L51" s="20" t="s">
        <v>445</v>
      </c>
      <c r="M51" s="20" t="s">
        <v>446</v>
      </c>
      <c r="N51" s="21"/>
      <c r="O51" s="21"/>
      <c r="P51" s="21"/>
      <c r="Q51" s="20" t="s">
        <v>447</v>
      </c>
    </row>
    <row r="52">
      <c r="A52" s="19" t="str">
        <f t="shared" si="1"/>
        <v>1, 14</v>
      </c>
      <c r="B52" s="19" t="s">
        <v>320</v>
      </c>
      <c r="C52" s="19" t="s">
        <v>448</v>
      </c>
      <c r="D52" s="20" t="s">
        <v>322</v>
      </c>
      <c r="E52" s="20"/>
      <c r="F52" s="20" t="str">
        <f t="shared" si="2"/>
        <v>It is I, globe-trotting elite of{NEW}the International Police.{CLR}My code name, it is LOOKER!</v>
      </c>
      <c r="G52" s="20" t="s">
        <v>449</v>
      </c>
      <c r="H52" s="20" t="s">
        <v>450</v>
      </c>
      <c r="I52" s="20" t="s">
        <v>451</v>
      </c>
      <c r="J52" s="20" t="s">
        <v>452</v>
      </c>
      <c r="K52" s="20" t="s">
        <v>453</v>
      </c>
      <c r="L52" s="20" t="s">
        <v>454</v>
      </c>
      <c r="M52" s="20" t="s">
        <v>455</v>
      </c>
      <c r="N52" s="21"/>
      <c r="O52" s="21"/>
      <c r="P52" s="21"/>
      <c r="Q52" s="20" t="s">
        <v>456</v>
      </c>
    </row>
    <row r="53">
      <c r="A53" s="19" t="str">
        <f t="shared" si="1"/>
        <v>1, 15</v>
      </c>
      <c r="B53" s="19" t="s">
        <v>320</v>
      </c>
      <c r="C53" s="19" t="s">
        <v>457</v>
      </c>
      <c r="D53" s="20" t="s">
        <v>322</v>
      </c>
      <c r="E53" s="20"/>
      <c r="F53" s="20" t="str">
        <f t="shared" si="2"/>
        <v>{MLE}It is I, globe-trotting elite of{NEW}the International Police.{CLR}My code name, it is LOOKER!</v>
      </c>
      <c r="G53" s="20" t="s">
        <v>458</v>
      </c>
      <c r="H53" s="20" t="s">
        <v>459</v>
      </c>
      <c r="I53" s="20" t="s">
        <v>460</v>
      </c>
      <c r="J53" s="20" t="s">
        <v>461</v>
      </c>
      <c r="K53" s="20" t="s">
        <v>462</v>
      </c>
      <c r="L53" s="20" t="s">
        <v>463</v>
      </c>
      <c r="M53" s="20" t="s">
        <v>464</v>
      </c>
      <c r="N53" s="21"/>
      <c r="O53" s="21"/>
      <c r="P53" s="21"/>
      <c r="Q53" s="20" t="s">
        <v>465</v>
      </c>
    </row>
    <row r="54">
      <c r="A54" s="19" t="str">
        <f t="shared" si="1"/>
        <v>1, 16</v>
      </c>
      <c r="B54" s="19" t="s">
        <v>320</v>
      </c>
      <c r="C54" s="19" t="s">
        <v>466</v>
      </c>
      <c r="D54" s="20" t="s">
        <v>322</v>
      </c>
      <c r="E54" s="20"/>
      <c r="F54" s="20" t="str">
        <f t="shared" si="2"/>
        <v>FENNEL: Ah, LOOKER!{NEW}I take it {PLR} has arrived?{CLR}LOOKER: Indeed! They’re ready to receive their POKéMON!{CLR}FENNEL: Excellent! I’ll send them over momentarily… stand by!</v>
      </c>
      <c r="G54" s="20" t="s">
        <v>467</v>
      </c>
      <c r="H54" s="20" t="s">
        <v>468</v>
      </c>
      <c r="I54" s="20" t="s">
        <v>469</v>
      </c>
      <c r="J54" s="20" t="s">
        <v>470</v>
      </c>
      <c r="K54" s="20" t="s">
        <v>471</v>
      </c>
      <c r="L54" s="20" t="s">
        <v>472</v>
      </c>
      <c r="M54" s="20" t="s">
        <v>473</v>
      </c>
      <c r="N54" s="21"/>
      <c r="O54" s="21"/>
      <c r="P54" s="21"/>
      <c r="Q54" s="20" t="s">
        <v>474</v>
      </c>
    </row>
    <row r="55">
      <c r="A55" s="19" t="str">
        <f t="shared" si="1"/>
        <v>1, 17</v>
      </c>
      <c r="B55" s="19" t="s">
        <v>320</v>
      </c>
      <c r="C55" s="19" t="s">
        <v>475</v>
      </c>
      <c r="D55" s="20" t="s">
        <v>322</v>
      </c>
      <c r="E55" s="20"/>
      <c r="F55" s="20" t="str">
        <f t="shared" si="2"/>
        <v>{FPC}FENNEL: Ah, LOOKER!{NEW}I take it {PLR} has arrived?{CLR}{MLE}LOOKER: Indeed! They’re ready to receive their POKéMON!{CLR}{FPC}FENNEL: Excellent! I’ll send them over momentarily… stand by!</v>
      </c>
      <c r="G55" s="20" t="s">
        <v>476</v>
      </c>
      <c r="H55" s="20" t="s">
        <v>477</v>
      </c>
      <c r="I55" s="20" t="s">
        <v>478</v>
      </c>
      <c r="J55" s="20" t="s">
        <v>479</v>
      </c>
      <c r="K55" s="20" t="s">
        <v>480</v>
      </c>
      <c r="L55" s="20" t="s">
        <v>481</v>
      </c>
      <c r="M55" s="20" t="s">
        <v>482</v>
      </c>
      <c r="N55" s="21"/>
      <c r="O55" s="21"/>
      <c r="P55" s="21"/>
      <c r="Q55" s="20" t="s">
        <v>483</v>
      </c>
    </row>
    <row r="56">
      <c r="A56" s="19" t="str">
        <f t="shared" si="1"/>
        <v>1, 18</v>
      </c>
      <c r="B56" s="19" t="s">
        <v>320</v>
      </c>
      <c r="C56" s="19" t="s">
        <v>484</v>
      </c>
      <c r="D56" s="20" t="s">
        <v>322</v>
      </c>
      <c r="E56" s="20"/>
      <c r="F56" s="20" t="str">
        <f t="shared" si="2"/>
        <v>FENNEL: It looks like everything was sent to your PC successfully!{CLR}Thank you both for your help!</v>
      </c>
      <c r="G56" s="20" t="s">
        <v>485</v>
      </c>
      <c r="H56" s="20" t="s">
        <v>486</v>
      </c>
      <c r="I56" s="20" t="s">
        <v>487</v>
      </c>
      <c r="J56" s="20" t="s">
        <v>488</v>
      </c>
      <c r="K56" s="20" t="s">
        <v>489</v>
      </c>
      <c r="L56" s="20" t="s">
        <v>490</v>
      </c>
      <c r="M56" s="20" t="s">
        <v>491</v>
      </c>
      <c r="N56" s="21"/>
      <c r="O56" s="21"/>
      <c r="P56" s="21"/>
      <c r="Q56" s="20" t="s">
        <v>492</v>
      </c>
    </row>
    <row r="57">
      <c r="A57" s="19" t="str">
        <f t="shared" si="1"/>
        <v>1, 19</v>
      </c>
      <c r="B57" s="19" t="s">
        <v>320</v>
      </c>
      <c r="C57" s="19" t="s">
        <v>493</v>
      </c>
      <c r="D57" s="20" t="s">
        <v>322</v>
      </c>
      <c r="E57" s="20"/>
      <c r="F57" s="20" t="str">
        <f t="shared" si="2"/>
        <v>{FPC}FENNEL: It looks like everything was sent to your PC successfully!{CLR}Thank you both for your help!</v>
      </c>
      <c r="G57" s="20" t="s">
        <v>494</v>
      </c>
      <c r="H57" s="20" t="s">
        <v>495</v>
      </c>
      <c r="I57" s="20" t="s">
        <v>496</v>
      </c>
      <c r="J57" s="20" t="s">
        <v>497</v>
      </c>
      <c r="K57" s="20" t="s">
        <v>498</v>
      </c>
      <c r="L57" s="20" t="s">
        <v>499</v>
      </c>
      <c r="M57" s="20" t="s">
        <v>500</v>
      </c>
      <c r="N57" s="21"/>
      <c r="O57" s="21"/>
      <c r="P57" s="21"/>
      <c r="Q57" s="20" t="s">
        <v>501</v>
      </c>
    </row>
    <row r="58">
      <c r="A58" s="19" t="str">
        <f t="shared" si="1"/>
        <v>1, 20</v>
      </c>
      <c r="B58" s="19" t="s">
        <v>320</v>
      </c>
      <c r="C58" s="19" t="s">
        <v>502</v>
      </c>
      <c r="D58" s="20" t="s">
        <v>322</v>
      </c>
      <c r="E58" s="20"/>
      <c r="F58" s="20" t="str">
        <f t="shared" si="2"/>
        <v>Thanks for stopping by, {PLR}!{CLR}If you’ll excuse me, I must return to my disguise.{SCL}Until our paths cross again!</v>
      </c>
      <c r="G58" s="20" t="s">
        <v>503</v>
      </c>
      <c r="H58" s="20" t="s">
        <v>504</v>
      </c>
      <c r="I58" s="20" t="s">
        <v>505</v>
      </c>
      <c r="J58" s="20" t="s">
        <v>506</v>
      </c>
      <c r="K58" s="20" t="s">
        <v>507</v>
      </c>
      <c r="L58" s="20" t="s">
        <v>508</v>
      </c>
      <c r="M58" s="20" t="s">
        <v>509</v>
      </c>
      <c r="N58" s="21"/>
      <c r="O58" s="21"/>
      <c r="P58" s="21"/>
      <c r="Q58" s="20" t="s">
        <v>510</v>
      </c>
    </row>
    <row r="59">
      <c r="A59" s="19" t="str">
        <f t="shared" si="1"/>
        <v>1, 21</v>
      </c>
      <c r="B59" s="19" t="s">
        <v>320</v>
      </c>
      <c r="C59" s="19" t="s">
        <v>511</v>
      </c>
      <c r="D59" s="20" t="s">
        <v>322</v>
      </c>
      <c r="E59" s="20"/>
      <c r="F59" s="20" t="str">
        <f t="shared" si="2"/>
        <v>{MLE}Thanks for stopping by, {PLR}!{CLR}If you’ll excuse me, I must return to my disguise.{SCL}Until our paths cross again!</v>
      </c>
      <c r="G59" s="20" t="s">
        <v>512</v>
      </c>
      <c r="H59" s="20" t="s">
        <v>513</v>
      </c>
      <c r="I59" s="20" t="s">
        <v>514</v>
      </c>
      <c r="J59" s="20" t="s">
        <v>515</v>
      </c>
      <c r="K59" s="20" t="s">
        <v>516</v>
      </c>
      <c r="L59" s="20" t="s">
        <v>517</v>
      </c>
      <c r="M59" s="20" t="s">
        <v>518</v>
      </c>
      <c r="N59" s="21"/>
      <c r="O59" s="21"/>
      <c r="P59" s="21"/>
      <c r="Q59" s="20" t="s">
        <v>519</v>
      </c>
    </row>
    <row r="60">
      <c r="A60" s="19" t="str">
        <f t="shared" si="1"/>
        <v>1, 22</v>
      </c>
      <c r="B60" s="19" t="s">
        <v>320</v>
      </c>
      <c r="C60" s="19" t="s">
        <v>520</v>
      </c>
      <c r="D60" s="20" t="s">
        <v>322</v>
      </c>
      <c r="E60" s="20"/>
      <c r="F60" s="20" t="str">
        <f t="shared" si="2"/>
        <v>FENNEL: It seems like the PC is full!{CLR}Go make some room, and I can send over the rest of your POKéMON.</v>
      </c>
      <c r="G60" s="20" t="s">
        <v>521</v>
      </c>
      <c r="H60" s="20" t="s">
        <v>522</v>
      </c>
      <c r="I60" s="20" t="s">
        <v>523</v>
      </c>
      <c r="J60" s="20" t="s">
        <v>524</v>
      </c>
      <c r="K60" s="20" t="s">
        <v>525</v>
      </c>
      <c r="L60" s="20" t="s">
        <v>526</v>
      </c>
      <c r="M60" s="20" t="s">
        <v>527</v>
      </c>
      <c r="N60" s="21"/>
      <c r="O60" s="21"/>
      <c r="P60" s="21"/>
      <c r="Q60" s="20" t="s">
        <v>528</v>
      </c>
    </row>
    <row r="61">
      <c r="A61" s="19" t="str">
        <f t="shared" si="1"/>
        <v>1, 23</v>
      </c>
      <c r="B61" s="19" t="s">
        <v>320</v>
      </c>
      <c r="C61" s="19" t="s">
        <v>529</v>
      </c>
      <c r="D61" s="20" t="s">
        <v>322</v>
      </c>
      <c r="E61" s="20"/>
      <c r="F61" s="20" t="str">
        <f t="shared" si="2"/>
        <v>{FPC}FENNEL: It seems like the PC is full!{CLR}Go make some room, and I can send over the rest of your POKéMON.</v>
      </c>
      <c r="G61" s="20" t="s">
        <v>530</v>
      </c>
      <c r="H61" s="20" t="s">
        <v>531</v>
      </c>
      <c r="I61" s="20" t="s">
        <v>532</v>
      </c>
      <c r="J61" s="20" t="s">
        <v>533</v>
      </c>
      <c r="K61" s="20" t="s">
        <v>534</v>
      </c>
      <c r="L61" s="20" t="s">
        <v>535</v>
      </c>
      <c r="M61" s="20" t="s">
        <v>536</v>
      </c>
      <c r="N61" s="21"/>
      <c r="O61" s="21"/>
      <c r="P61" s="21"/>
      <c r="Q61" s="20" t="s">
        <v>537</v>
      </c>
    </row>
    <row r="62">
      <c r="A62" s="19" t="str">
        <f t="shared" si="1"/>
        <v>1, 24</v>
      </c>
      <c r="B62" s="19" t="s">
        <v>320</v>
      </c>
      <c r="C62" s="19" t="s">
        <v>538</v>
      </c>
      <c r="D62" s="20" t="s">
        <v>322</v>
      </c>
      <c r="E62" s="20"/>
      <c r="F62" s="20" t="str">
        <f t="shared" si="2"/>
        <v>LOOKER: Speak to me again after you’ve made room, {PLR}!{CLR}In the meantime, I will return to my disguise.</v>
      </c>
      <c r="G62" s="20" t="s">
        <v>539</v>
      </c>
      <c r="H62" s="20" t="s">
        <v>540</v>
      </c>
      <c r="I62" s="20" t="s">
        <v>541</v>
      </c>
      <c r="J62" s="20" t="s">
        <v>542</v>
      </c>
      <c r="K62" s="20" t="s">
        <v>543</v>
      </c>
      <c r="L62" s="20" t="s">
        <v>544</v>
      </c>
      <c r="M62" s="20" t="s">
        <v>545</v>
      </c>
      <c r="N62" s="21"/>
      <c r="O62" s="21"/>
      <c r="P62" s="21"/>
      <c r="Q62" s="20" t="s">
        <v>546</v>
      </c>
    </row>
    <row r="63">
      <c r="A63" s="19" t="str">
        <f t="shared" si="1"/>
        <v>1, 25</v>
      </c>
      <c r="B63" s="19" t="s">
        <v>320</v>
      </c>
      <c r="C63" s="19" t="s">
        <v>547</v>
      </c>
      <c r="D63" s="20" t="s">
        <v>322</v>
      </c>
      <c r="E63" s="20"/>
      <c r="F63" s="20" t="str">
        <f t="shared" si="2"/>
        <v>{MLE}LOOKER: Speak to me again after you’ve made room, {PLR}!{CLR}In the meantime, I will return to my disguise.</v>
      </c>
      <c r="G63" s="20" t="s">
        <v>548</v>
      </c>
      <c r="H63" s="20" t="s">
        <v>549</v>
      </c>
      <c r="I63" s="20" t="s">
        <v>550</v>
      </c>
      <c r="J63" s="20" t="s">
        <v>551</v>
      </c>
      <c r="K63" s="20" t="s">
        <v>552</v>
      </c>
      <c r="L63" s="20" t="s">
        <v>553</v>
      </c>
      <c r="M63" s="20" t="s">
        <v>554</v>
      </c>
      <c r="N63" s="21"/>
      <c r="O63" s="21"/>
      <c r="P63" s="21"/>
      <c r="Q63" s="20" t="s">
        <v>555</v>
      </c>
    </row>
    <row r="64">
      <c r="A64" s="23" t="str">
        <f t="shared" si="1"/>
        <v>2, 0</v>
      </c>
      <c r="B64" s="23" t="s">
        <v>556</v>
      </c>
      <c r="C64" s="23" t="s">
        <v>557</v>
      </c>
      <c r="D64" s="24" t="s">
        <v>558</v>
      </c>
      <c r="E64" s="24"/>
      <c r="F64" s="24" t="str">
        <f t="shared" si="2"/>
        <v>SENDING DATA</v>
      </c>
      <c r="G64" s="24" t="s">
        <v>559</v>
      </c>
      <c r="H64" s="24" t="s">
        <v>560</v>
      </c>
      <c r="I64" s="24" t="s">
        <v>561</v>
      </c>
      <c r="J64" s="24" t="s">
        <v>562</v>
      </c>
      <c r="K64" s="24" t="s">
        <v>563</v>
      </c>
      <c r="L64" s="24" t="s">
        <v>564</v>
      </c>
      <c r="M64" s="24" t="s">
        <v>564</v>
      </c>
      <c r="N64" s="24" t="s">
        <v>565</v>
      </c>
      <c r="O64" s="24"/>
      <c r="P64" s="24"/>
      <c r="Q64" s="24" t="s">
        <v>566</v>
      </c>
    </row>
    <row r="65">
      <c r="A65" s="23" t="str">
        <f t="shared" si="1"/>
        <v>2, 1</v>
      </c>
      <c r="B65" s="23" t="s">
        <v>556</v>
      </c>
      <c r="C65" s="23" t="s">
        <v>567</v>
      </c>
      <c r="D65" s="24" t="s">
        <v>558</v>
      </c>
      <c r="E65" s="24"/>
      <c r="F65" s="24" t="str">
        <f t="shared" si="2"/>
        <v>FENNEL</v>
      </c>
      <c r="G65" s="24" t="s">
        <v>568</v>
      </c>
      <c r="H65" s="24" t="s">
        <v>569</v>
      </c>
      <c r="I65" s="24" t="s">
        <v>570</v>
      </c>
      <c r="J65" s="24" t="s">
        <v>571</v>
      </c>
      <c r="K65" s="24" t="s">
        <v>572</v>
      </c>
      <c r="L65" s="24" t="s">
        <v>573</v>
      </c>
      <c r="M65" s="24" t="s">
        <v>569</v>
      </c>
      <c r="N65" s="24" t="s">
        <v>574</v>
      </c>
      <c r="O65" s="24" t="s">
        <v>575</v>
      </c>
      <c r="P65" s="24" t="s">
        <v>575</v>
      </c>
      <c r="Q65" s="24" t="s">
        <v>569</v>
      </c>
    </row>
    <row r="66">
      <c r="A66" s="25" t="str">
        <f t="shared" si="1"/>
        <v>3, 0</v>
      </c>
      <c r="B66" s="25" t="s">
        <v>576</v>
      </c>
      <c r="C66" s="25" t="s">
        <v>577</v>
      </c>
      <c r="D66" s="26" t="s">
        <v>578</v>
      </c>
      <c r="E66" s="26"/>
      <c r="F66" s="26" t="str">
        <f t="shared" si="2"/>
        <v>ENGLISH</v>
      </c>
      <c r="G66" s="26" t="s">
        <v>579</v>
      </c>
      <c r="H66" s="26" t="s">
        <v>580</v>
      </c>
      <c r="I66" s="26" t="s">
        <v>581</v>
      </c>
      <c r="J66" s="26" t="s">
        <v>582</v>
      </c>
      <c r="K66" s="26" t="s">
        <v>583</v>
      </c>
      <c r="L66" s="26" t="s">
        <v>584</v>
      </c>
      <c r="M66" s="26" t="s">
        <v>584</v>
      </c>
      <c r="N66" s="26" t="s">
        <v>585</v>
      </c>
      <c r="O66" s="26" t="s">
        <v>586</v>
      </c>
      <c r="P66" s="26" t="s">
        <v>587</v>
      </c>
      <c r="Q66" s="26" t="s">
        <v>588</v>
      </c>
    </row>
    <row r="67">
      <c r="A67" s="25" t="str">
        <f t="shared" si="1"/>
        <v>3, 1</v>
      </c>
      <c r="B67" s="25" t="s">
        <v>576</v>
      </c>
      <c r="C67" s="25" t="s">
        <v>589</v>
      </c>
      <c r="D67" s="26" t="s">
        <v>578</v>
      </c>
      <c r="E67" s="26"/>
      <c r="F67" s="26" t="str">
        <f t="shared" si="2"/>
        <v>JAPANESE</v>
      </c>
      <c r="G67" s="26" t="s">
        <v>590</v>
      </c>
      <c r="H67" s="26" t="s">
        <v>591</v>
      </c>
      <c r="I67" s="26" t="s">
        <v>592</v>
      </c>
      <c r="J67" s="26" t="s">
        <v>593</v>
      </c>
      <c r="K67" s="26" t="s">
        <v>594</v>
      </c>
      <c r="L67" s="26" t="s">
        <v>595</v>
      </c>
      <c r="M67" s="26" t="s">
        <v>595</v>
      </c>
      <c r="N67" s="26" t="s">
        <v>596</v>
      </c>
      <c r="O67" s="26" t="s">
        <v>597</v>
      </c>
      <c r="P67" s="26" t="s">
        <v>598</v>
      </c>
      <c r="Q67" s="26" t="s">
        <v>599</v>
      </c>
    </row>
    <row r="68">
      <c r="A68" s="25" t="str">
        <f t="shared" si="1"/>
        <v>3, 2</v>
      </c>
      <c r="B68" s="25" t="s">
        <v>576</v>
      </c>
      <c r="C68" s="25" t="s">
        <v>600</v>
      </c>
      <c r="D68" s="26" t="s">
        <v>578</v>
      </c>
      <c r="E68" s="26"/>
      <c r="F68" s="26" t="str">
        <f t="shared" si="2"/>
        <v>SPANISH</v>
      </c>
      <c r="G68" s="26" t="s">
        <v>601</v>
      </c>
      <c r="H68" s="26" t="s">
        <v>602</v>
      </c>
      <c r="I68" s="26" t="s">
        <v>603</v>
      </c>
      <c r="J68" s="26" t="s">
        <v>604</v>
      </c>
      <c r="K68" s="26" t="s">
        <v>605</v>
      </c>
      <c r="L68" s="26" t="s">
        <v>606</v>
      </c>
      <c r="M68" s="26" t="s">
        <v>606</v>
      </c>
      <c r="N68" s="26" t="s">
        <v>607</v>
      </c>
      <c r="O68" s="26" t="s">
        <v>608</v>
      </c>
      <c r="P68" s="26" t="s">
        <v>609</v>
      </c>
      <c r="Q68" s="26" t="s">
        <v>610</v>
      </c>
    </row>
    <row r="69">
      <c r="A69" s="25" t="str">
        <f t="shared" si="1"/>
        <v>3, 3</v>
      </c>
      <c r="B69" s="25" t="s">
        <v>576</v>
      </c>
      <c r="C69" s="25" t="s">
        <v>611</v>
      </c>
      <c r="D69" s="26" t="s">
        <v>578</v>
      </c>
      <c r="E69" s="26"/>
      <c r="F69" s="26" t="str">
        <f t="shared" si="2"/>
        <v>FRENCH</v>
      </c>
      <c r="G69" s="26" t="s">
        <v>612</v>
      </c>
      <c r="H69" s="26" t="s">
        <v>613</v>
      </c>
      <c r="I69" s="26" t="s">
        <v>614</v>
      </c>
      <c r="J69" s="26" t="s">
        <v>615</v>
      </c>
      <c r="K69" s="26" t="s">
        <v>616</v>
      </c>
      <c r="L69" s="26" t="s">
        <v>617</v>
      </c>
      <c r="M69" s="26" t="s">
        <v>617</v>
      </c>
      <c r="N69" s="26" t="s">
        <v>618</v>
      </c>
      <c r="O69" s="26" t="s">
        <v>619</v>
      </c>
      <c r="P69" s="26" t="s">
        <v>620</v>
      </c>
      <c r="Q69" s="26" t="s">
        <v>621</v>
      </c>
    </row>
    <row r="70">
      <c r="A70" s="27" t="str">
        <f t="shared" si="1"/>
        <v>3, 4</v>
      </c>
      <c r="B70" s="27" t="s">
        <v>576</v>
      </c>
      <c r="C70" s="28" t="s">
        <v>622</v>
      </c>
      <c r="D70" s="26" t="s">
        <v>578</v>
      </c>
      <c r="E70" s="26"/>
      <c r="F70" s="29" t="str">
        <f t="shared" si="2"/>
        <v>GERMAN</v>
      </c>
      <c r="G70" s="26" t="s">
        <v>623</v>
      </c>
      <c r="H70" s="29" t="s">
        <v>624</v>
      </c>
      <c r="I70" s="29" t="s">
        <v>625</v>
      </c>
      <c r="J70" s="29" t="s">
        <v>626</v>
      </c>
      <c r="K70" s="29" t="s">
        <v>627</v>
      </c>
      <c r="L70" s="29" t="s">
        <v>628</v>
      </c>
      <c r="M70" s="29" t="s">
        <v>628</v>
      </c>
      <c r="N70" s="29" t="s">
        <v>629</v>
      </c>
      <c r="O70" s="29" t="s">
        <v>630</v>
      </c>
      <c r="P70" s="29" t="s">
        <v>631</v>
      </c>
      <c r="Q70" s="29" t="s">
        <v>632</v>
      </c>
    </row>
    <row r="71">
      <c r="A71" s="27" t="str">
        <f t="shared" si="1"/>
        <v>3, 5</v>
      </c>
      <c r="B71" s="27" t="s">
        <v>576</v>
      </c>
      <c r="C71" s="28" t="s">
        <v>633</v>
      </c>
      <c r="D71" s="26" t="s">
        <v>578</v>
      </c>
      <c r="E71" s="26"/>
      <c r="F71" s="29" t="str">
        <f t="shared" si="2"/>
        <v>ITALIAN</v>
      </c>
      <c r="G71" s="26" t="s">
        <v>634</v>
      </c>
      <c r="H71" s="29" t="s">
        <v>635</v>
      </c>
      <c r="I71" s="29" t="s">
        <v>636</v>
      </c>
      <c r="J71" s="29" t="s">
        <v>637</v>
      </c>
      <c r="K71" s="29" t="s">
        <v>638</v>
      </c>
      <c r="L71" s="29" t="s">
        <v>638</v>
      </c>
      <c r="M71" s="29" t="s">
        <v>638</v>
      </c>
      <c r="N71" s="29" t="s">
        <v>639</v>
      </c>
      <c r="O71" s="29" t="s">
        <v>640</v>
      </c>
      <c r="P71" s="29" t="s">
        <v>641</v>
      </c>
      <c r="Q71" s="29" t="s">
        <v>638</v>
      </c>
    </row>
    <row r="72">
      <c r="A72" s="27" t="str">
        <f t="shared" si="1"/>
        <v>3, 6</v>
      </c>
      <c r="B72" s="27" t="s">
        <v>576</v>
      </c>
      <c r="C72" s="28" t="s">
        <v>642</v>
      </c>
      <c r="D72" s="26" t="s">
        <v>578</v>
      </c>
      <c r="E72" s="26"/>
      <c r="F72" s="29" t="str">
        <f t="shared" si="2"/>
        <v>KOREAN</v>
      </c>
      <c r="G72" s="26" t="s">
        <v>643</v>
      </c>
      <c r="H72" s="29" t="s">
        <v>644</v>
      </c>
      <c r="I72" s="29" t="s">
        <v>645</v>
      </c>
      <c r="J72" s="29" t="s">
        <v>646</v>
      </c>
      <c r="K72" s="29" t="s">
        <v>647</v>
      </c>
      <c r="L72" s="29" t="s">
        <v>647</v>
      </c>
      <c r="M72" s="29" t="s">
        <v>647</v>
      </c>
      <c r="N72" s="29" t="s">
        <v>648</v>
      </c>
      <c r="O72" s="29" t="s">
        <v>649</v>
      </c>
      <c r="P72" s="29" t="s">
        <v>650</v>
      </c>
      <c r="Q72" s="29" t="s">
        <v>647</v>
      </c>
    </row>
    <row r="73">
      <c r="A73" s="25" t="str">
        <f t="shared" si="1"/>
        <v>3, 7</v>
      </c>
      <c r="B73" s="25" t="s">
        <v>576</v>
      </c>
      <c r="C73" s="25" t="s">
        <v>651</v>
      </c>
      <c r="D73" s="26" t="s">
        <v>578</v>
      </c>
      <c r="E73" s="26"/>
      <c r="F73" s="26" t="str">
        <f t="shared" si="2"/>
        <v>GREEN</v>
      </c>
      <c r="G73" s="26" t="s">
        <v>652</v>
      </c>
      <c r="H73" s="26" t="s">
        <v>653</v>
      </c>
      <c r="I73" s="26" t="s">
        <v>654</v>
      </c>
      <c r="J73" s="26" t="s">
        <v>655</v>
      </c>
      <c r="K73" s="26" t="s">
        <v>656</v>
      </c>
      <c r="L73" s="26" t="s">
        <v>656</v>
      </c>
      <c r="M73" s="26" t="s">
        <v>656</v>
      </c>
      <c r="N73" s="26" t="s">
        <v>657</v>
      </c>
      <c r="O73" s="26" t="s">
        <v>658</v>
      </c>
      <c r="P73" s="26" t="s">
        <v>659</v>
      </c>
      <c r="Q73" s="26" t="s">
        <v>653</v>
      </c>
    </row>
    <row r="74">
      <c r="A74" s="25" t="str">
        <f t="shared" si="1"/>
        <v>3, 8</v>
      </c>
      <c r="B74" s="25" t="s">
        <v>576</v>
      </c>
      <c r="C74" s="25" t="s">
        <v>660</v>
      </c>
      <c r="D74" s="26" t="s">
        <v>578</v>
      </c>
      <c r="E74" s="26"/>
      <c r="F74" s="26" t="str">
        <f t="shared" si="2"/>
        <v>RED</v>
      </c>
      <c r="G74" s="26" t="s">
        <v>661</v>
      </c>
      <c r="H74" s="26" t="s">
        <v>662</v>
      </c>
      <c r="I74" s="26" t="s">
        <v>663</v>
      </c>
      <c r="J74" s="26" t="s">
        <v>664</v>
      </c>
      <c r="K74" s="26" t="s">
        <v>665</v>
      </c>
      <c r="L74" s="26" t="s">
        <v>666</v>
      </c>
      <c r="M74" s="26" t="s">
        <v>666</v>
      </c>
      <c r="N74" s="26" t="s">
        <v>667</v>
      </c>
      <c r="O74" s="26" t="s">
        <v>668</v>
      </c>
      <c r="P74" s="26" t="s">
        <v>669</v>
      </c>
      <c r="Q74" s="26" t="s">
        <v>662</v>
      </c>
    </row>
    <row r="75">
      <c r="A75" s="25" t="str">
        <f t="shared" si="1"/>
        <v>3, 9</v>
      </c>
      <c r="B75" s="25" t="s">
        <v>576</v>
      </c>
      <c r="C75" s="25" t="s">
        <v>670</v>
      </c>
      <c r="D75" s="26" t="s">
        <v>578</v>
      </c>
      <c r="E75" s="26"/>
      <c r="F75" s="26" t="str">
        <f t="shared" si="2"/>
        <v>BLUE</v>
      </c>
      <c r="G75" s="26" t="s">
        <v>671</v>
      </c>
      <c r="H75" s="26" t="s">
        <v>672</v>
      </c>
      <c r="I75" s="26" t="s">
        <v>673</v>
      </c>
      <c r="J75" s="26" t="s">
        <v>674</v>
      </c>
      <c r="K75" s="26" t="s">
        <v>675</v>
      </c>
      <c r="L75" s="26" t="s">
        <v>676</v>
      </c>
      <c r="M75" s="26" t="s">
        <v>676</v>
      </c>
      <c r="N75" s="26" t="s">
        <v>677</v>
      </c>
      <c r="O75" s="26" t="s">
        <v>678</v>
      </c>
      <c r="P75" s="26" t="s">
        <v>679</v>
      </c>
      <c r="Q75" s="26" t="s">
        <v>672</v>
      </c>
    </row>
    <row r="76">
      <c r="A76" s="25" t="str">
        <f t="shared" si="1"/>
        <v>3, 10</v>
      </c>
      <c r="B76" s="25" t="s">
        <v>576</v>
      </c>
      <c r="C76" s="25" t="s">
        <v>680</v>
      </c>
      <c r="D76" s="26" t="s">
        <v>578</v>
      </c>
      <c r="E76" s="26"/>
      <c r="F76" s="26" t="str">
        <f t="shared" si="2"/>
        <v>YELLOW</v>
      </c>
      <c r="G76" s="26" t="s">
        <v>681</v>
      </c>
      <c r="H76" s="26" t="s">
        <v>682</v>
      </c>
      <c r="I76" s="26" t="s">
        <v>683</v>
      </c>
      <c r="J76" s="26" t="s">
        <v>684</v>
      </c>
      <c r="K76" s="26" t="s">
        <v>685</v>
      </c>
      <c r="L76" s="26" t="s">
        <v>686</v>
      </c>
      <c r="M76" s="26" t="s">
        <v>686</v>
      </c>
      <c r="N76" s="26" t="s">
        <v>687</v>
      </c>
      <c r="O76" s="26" t="s">
        <v>688</v>
      </c>
      <c r="P76" s="26" t="s">
        <v>688</v>
      </c>
      <c r="Q76" s="26" t="s">
        <v>682</v>
      </c>
    </row>
    <row r="77">
      <c r="A77" s="25" t="str">
        <f t="shared" si="1"/>
        <v>3, 11</v>
      </c>
      <c r="B77" s="25" t="s">
        <v>576</v>
      </c>
      <c r="C77" s="25" t="s">
        <v>689</v>
      </c>
      <c r="D77" s="26" t="s">
        <v>578</v>
      </c>
      <c r="E77" s="26"/>
      <c r="F77" s="26" t="str">
        <f t="shared" si="2"/>
        <v>GOLD</v>
      </c>
      <c r="G77" s="26" t="s">
        <v>690</v>
      </c>
      <c r="H77" s="26" t="s">
        <v>691</v>
      </c>
      <c r="I77" s="26" t="s">
        <v>692</v>
      </c>
      <c r="J77" s="26" t="s">
        <v>693</v>
      </c>
      <c r="K77" s="26" t="s">
        <v>694</v>
      </c>
      <c r="L77" s="26" t="s">
        <v>694</v>
      </c>
      <c r="M77" s="26" t="s">
        <v>694</v>
      </c>
      <c r="N77" s="26" t="s">
        <v>695</v>
      </c>
      <c r="O77" s="26" t="s">
        <v>696</v>
      </c>
      <c r="P77" s="26" t="s">
        <v>696</v>
      </c>
      <c r="Q77" s="26" t="s">
        <v>691</v>
      </c>
    </row>
    <row r="78">
      <c r="A78" s="25" t="str">
        <f t="shared" si="1"/>
        <v>3, 12</v>
      </c>
      <c r="B78" s="25" t="s">
        <v>576</v>
      </c>
      <c r="C78" s="25" t="s">
        <v>697</v>
      </c>
      <c r="D78" s="26" t="s">
        <v>578</v>
      </c>
      <c r="E78" s="26"/>
      <c r="F78" s="26" t="str">
        <f t="shared" si="2"/>
        <v>SILVER</v>
      </c>
      <c r="G78" s="26" t="s">
        <v>698</v>
      </c>
      <c r="H78" s="26" t="s">
        <v>699</v>
      </c>
      <c r="I78" s="26" t="s">
        <v>700</v>
      </c>
      <c r="J78" s="26" t="s">
        <v>701</v>
      </c>
      <c r="K78" s="26" t="s">
        <v>702</v>
      </c>
      <c r="L78" s="26" t="s">
        <v>703</v>
      </c>
      <c r="M78" s="26" t="s">
        <v>703</v>
      </c>
      <c r="N78" s="26" t="s">
        <v>704</v>
      </c>
      <c r="O78" s="26" t="s">
        <v>705</v>
      </c>
      <c r="P78" s="26" t="s">
        <v>706</v>
      </c>
      <c r="Q78" s="26" t="s">
        <v>699</v>
      </c>
    </row>
    <row r="79">
      <c r="A79" s="25" t="str">
        <f t="shared" si="1"/>
        <v>3, 13</v>
      </c>
      <c r="B79" s="25" t="s">
        <v>576</v>
      </c>
      <c r="C79" s="25" t="s">
        <v>707</v>
      </c>
      <c r="D79" s="26" t="s">
        <v>578</v>
      </c>
      <c r="E79" s="26"/>
      <c r="F79" s="26" t="str">
        <f t="shared" si="2"/>
        <v>CRYSTAL</v>
      </c>
      <c r="G79" s="26" t="s">
        <v>708</v>
      </c>
      <c r="H79" s="26" t="s">
        <v>709</v>
      </c>
      <c r="I79" s="26" t="s">
        <v>710</v>
      </c>
      <c r="J79" s="26" t="s">
        <v>711</v>
      </c>
      <c r="K79" s="26" t="s">
        <v>712</v>
      </c>
      <c r="L79" s="26" t="s">
        <v>710</v>
      </c>
      <c r="M79" s="26" t="s">
        <v>710</v>
      </c>
      <c r="N79" s="26" t="s">
        <v>713</v>
      </c>
      <c r="O79" s="26" t="s">
        <v>714</v>
      </c>
      <c r="P79" s="26" t="s">
        <v>714</v>
      </c>
      <c r="Q79" s="26" t="s">
        <v>709</v>
      </c>
    </row>
    <row r="80">
      <c r="A80" s="25" t="str">
        <f t="shared" si="1"/>
        <v>3, 14</v>
      </c>
      <c r="B80" s="25" t="s">
        <v>576</v>
      </c>
      <c r="C80" s="25" t="s">
        <v>715</v>
      </c>
      <c r="D80" s="26" t="s">
        <v>578</v>
      </c>
      <c r="E80" s="26"/>
      <c r="F80" s="26" t="str">
        <f t="shared" si="2"/>
        <v>Cancel</v>
      </c>
      <c r="G80" s="26" t="s">
        <v>716</v>
      </c>
      <c r="H80" s="26" t="s">
        <v>717</v>
      </c>
      <c r="I80" s="26" t="s">
        <v>718</v>
      </c>
      <c r="J80" s="26"/>
      <c r="K80" s="26" t="s">
        <v>719</v>
      </c>
      <c r="L80" s="26" t="s">
        <v>720</v>
      </c>
      <c r="M80" s="26" t="s">
        <v>720</v>
      </c>
      <c r="N80" s="26" t="s">
        <v>721</v>
      </c>
      <c r="O80" s="26"/>
      <c r="P80" s="26"/>
      <c r="Q80" s="26" t="s">
        <v>720</v>
      </c>
    </row>
    <row r="81">
      <c r="A81" s="25" t="str">
        <f t="shared" si="1"/>
        <v>3, 15</v>
      </c>
      <c r="B81" s="25" t="s">
        <v>576</v>
      </c>
      <c r="C81" s="25" t="s">
        <v>722</v>
      </c>
      <c r="D81" s="26" t="s">
        <v>578</v>
      </c>
      <c r="E81" s="26"/>
      <c r="F81" s="26" t="str">
        <f t="shared" si="2"/>
        <v>{CTR}PUSH THE START BUTTON!{nCTR}</v>
      </c>
      <c r="G81" s="26" t="s">
        <v>723</v>
      </c>
      <c r="H81" s="26" t="s">
        <v>724</v>
      </c>
      <c r="I81" s="26" t="s">
        <v>725</v>
      </c>
      <c r="J81" s="26" t="s">
        <v>726</v>
      </c>
      <c r="K81" s="26" t="s">
        <v>727</v>
      </c>
      <c r="L81" s="26" t="s">
        <v>728</v>
      </c>
      <c r="M81" s="26" t="s">
        <v>729</v>
      </c>
      <c r="N81" s="26" t="s">
        <v>730</v>
      </c>
      <c r="O81" s="26"/>
      <c r="P81" s="26"/>
      <c r="Q81" s="26" t="s">
        <v>731</v>
      </c>
    </row>
    <row r="82">
      <c r="A82" s="25" t="str">
        <f t="shared" si="1"/>
        <v>3, 16</v>
      </c>
      <c r="B82" s="25" t="s">
        <v>576</v>
      </c>
      <c r="C82" s="25" t="s">
        <v>732</v>
      </c>
      <c r="D82" s="26" t="s">
        <v>578</v>
      </c>
      <c r="E82" s="26"/>
      <c r="F82" s="26" t="str">
        <f t="shared" si="2"/>
        <v>TRANSFER POKéMON</v>
      </c>
      <c r="G82" s="26" t="s">
        <v>733</v>
      </c>
      <c r="H82" s="26" t="s">
        <v>734</v>
      </c>
      <c r="I82" s="26" t="s">
        <v>735</v>
      </c>
      <c r="J82" s="26"/>
      <c r="K82" s="26" t="s">
        <v>736</v>
      </c>
      <c r="L82" s="26" t="s">
        <v>737</v>
      </c>
      <c r="M82" s="26" t="s">
        <v>737</v>
      </c>
      <c r="N82" s="26" t="s">
        <v>738</v>
      </c>
      <c r="O82" s="26"/>
      <c r="P82" s="26"/>
      <c r="Q82" s="26" t="s">
        <v>737</v>
      </c>
    </row>
    <row r="83">
      <c r="A83" s="25" t="str">
        <f t="shared" si="1"/>
        <v>3, 17</v>
      </c>
      <c r="B83" s="25" t="s">
        <v>576</v>
      </c>
      <c r="C83" s="25" t="s">
        <v>739</v>
      </c>
      <c r="D83" s="26" t="s">
        <v>578</v>
      </c>
      <c r="E83" s="26"/>
      <c r="F83" s="26" t="str">
        <f t="shared" si="2"/>
        <v>DREAM DEX</v>
      </c>
      <c r="G83" s="26" t="s">
        <v>740</v>
      </c>
      <c r="H83" s="26" t="s">
        <v>741</v>
      </c>
      <c r="I83" s="26" t="s">
        <v>742</v>
      </c>
      <c r="J83" s="26"/>
      <c r="K83" s="26" t="s">
        <v>741</v>
      </c>
      <c r="L83" s="26" t="s">
        <v>741</v>
      </c>
      <c r="M83" s="26" t="s">
        <v>741</v>
      </c>
      <c r="N83" s="26" t="s">
        <v>743</v>
      </c>
      <c r="O83" s="26"/>
      <c r="P83" s="26"/>
      <c r="Q83" s="26" t="s">
        <v>741</v>
      </c>
    </row>
    <row r="84">
      <c r="A84" s="25" t="str">
        <f t="shared" si="1"/>
        <v>3, 18</v>
      </c>
      <c r="B84" s="25" t="s">
        <v>576</v>
      </c>
      <c r="C84" s="25" t="s">
        <v>744</v>
      </c>
      <c r="D84" s="26" t="s">
        <v>578</v>
      </c>
      <c r="E84" s="26"/>
      <c r="F84" s="26" t="str">
        <f t="shared" si="2"/>
        <v>CREDITS</v>
      </c>
      <c r="G84" s="26" t="s">
        <v>745</v>
      </c>
      <c r="H84" s="26" t="s">
        <v>746</v>
      </c>
      <c r="I84" s="26" t="s">
        <v>747</v>
      </c>
      <c r="J84" s="26"/>
      <c r="K84" s="26" t="s">
        <v>748</v>
      </c>
      <c r="L84" s="26" t="s">
        <v>749</v>
      </c>
      <c r="M84" s="26" t="s">
        <v>749</v>
      </c>
      <c r="N84" s="26" t="s">
        <v>750</v>
      </c>
      <c r="O84" s="26"/>
      <c r="P84" s="26"/>
      <c r="Q84" s="26" t="s">
        <v>749</v>
      </c>
    </row>
    <row r="85">
      <c r="A85" s="25" t="str">
        <f t="shared" si="1"/>
        <v>3, 19</v>
      </c>
      <c r="B85" s="25" t="s">
        <v>576</v>
      </c>
      <c r="C85" s="25" t="s">
        <v>751</v>
      </c>
      <c r="D85" s="26" t="s">
        <v>578</v>
      </c>
      <c r="E85" s="26"/>
      <c r="F85" s="26" t="str">
        <f t="shared" si="2"/>
        <v>TUTORIAL &amp; REQUIREMENTS</v>
      </c>
      <c r="G85" s="26" t="s">
        <v>752</v>
      </c>
      <c r="H85" s="26" t="s">
        <v>753</v>
      </c>
      <c r="I85" s="26" t="s">
        <v>754</v>
      </c>
      <c r="J85" s="26"/>
      <c r="K85" s="26" t="s">
        <v>755</v>
      </c>
      <c r="L85" s="26" t="s">
        <v>756</v>
      </c>
      <c r="M85" s="26" t="s">
        <v>756</v>
      </c>
      <c r="N85" s="26" t="s">
        <v>757</v>
      </c>
      <c r="O85" s="26"/>
      <c r="P85" s="26"/>
      <c r="Q85" s="26"/>
    </row>
    <row r="86">
      <c r="A86" s="25" t="str">
        <f t="shared" si="1"/>
        <v>3, 20</v>
      </c>
      <c r="B86" s="25" t="s">
        <v>576</v>
      </c>
      <c r="C86" s="25" t="s">
        <v>758</v>
      </c>
      <c r="D86" s="26" t="s">
        <v>578</v>
      </c>
      <c r="E86" s="26"/>
      <c r="F86" s="26" t="str">
        <f t="shared" si="2"/>
        <v>Debug Text Viewer</v>
      </c>
      <c r="G86" s="26" t="s">
        <v>759</v>
      </c>
      <c r="H86" s="26" t="s">
        <v>760</v>
      </c>
      <c r="I86" s="26" t="s">
        <v>761</v>
      </c>
      <c r="J86" s="26"/>
      <c r="K86" s="26" t="s">
        <v>762</v>
      </c>
      <c r="L86" s="26" t="s">
        <v>763</v>
      </c>
      <c r="M86" s="26" t="s">
        <v>763</v>
      </c>
      <c r="N86" s="26"/>
      <c r="O86" s="26"/>
      <c r="P86" s="26"/>
      <c r="Q86" s="26" t="s">
        <v>764</v>
      </c>
    </row>
    <row r="87">
      <c r="A87" s="25" t="str">
        <f t="shared" si="1"/>
        <v>3, 21</v>
      </c>
      <c r="B87" s="25" t="s">
        <v>576</v>
      </c>
      <c r="C87" s="25" t="s">
        <v>765</v>
      </c>
      <c r="D87" s="26" t="s">
        <v>766</v>
      </c>
      <c r="E87" s="26" t="s">
        <v>767</v>
      </c>
      <c r="F87" s="26" t="str">
        <f t="shared" si="2"/>
        <v>Hello! Thank you for using Poké Transporter GB!{NEW}{NEW}Just as a word of caution- Poké Transporter GB WILL modify both the Game Boy and Game Boy Advance save files.{NEW}{NEW}Please note that while Poké Transporter GB is no longer in beta, save file backups are still recommended before using. With that all being said, please enjoy!{NEW}{NEW}-The Gears of Progress</v>
      </c>
      <c r="G87" s="26" t="s">
        <v>768</v>
      </c>
      <c r="H87" s="26" t="s">
        <v>769</v>
      </c>
      <c r="I87" s="26" t="s">
        <v>770</v>
      </c>
      <c r="J87" s="26"/>
      <c r="K87" s="26" t="s">
        <v>771</v>
      </c>
      <c r="L87" s="26" t="s">
        <v>772</v>
      </c>
      <c r="M87" s="26" t="s">
        <v>773</v>
      </c>
      <c r="N87" s="26"/>
      <c r="O87" s="26"/>
      <c r="P87" s="26"/>
      <c r="Q87" s="26" t="s">
        <v>774</v>
      </c>
    </row>
    <row r="88">
      <c r="A88" s="25" t="str">
        <f t="shared" si="1"/>
        <v>3, 22</v>
      </c>
      <c r="B88" s="25" t="s">
        <v>576</v>
      </c>
      <c r="C88" s="25" t="s">
        <v>775</v>
      </c>
      <c r="D88" s="26" t="s">
        <v>766</v>
      </c>
      <c r="E88" s="26"/>
      <c r="F88" s="26" t="str">
        <f t="shared" si="2"/>
        <v>Poké Transporter GB was made out of love and appreciation for the POKéMON franchise with no profit in mind.{NEW}It will ALWAYS be free and never sold as a physical cartridge.{NEW}Please support the original developers.{NEW}All POKéMON names, sprites, and music are owned by Nintendo, Creatures, and GAME FREAK.</v>
      </c>
      <c r="G88" s="26" t="s">
        <v>776</v>
      </c>
      <c r="H88" s="26" t="s">
        <v>777</v>
      </c>
      <c r="I88" s="26" t="s">
        <v>778</v>
      </c>
      <c r="J88" s="26"/>
      <c r="K88" s="26" t="s">
        <v>779</v>
      </c>
      <c r="L88" s="26" t="s">
        <v>780</v>
      </c>
      <c r="M88" s="26" t="s">
        <v>781</v>
      </c>
      <c r="N88" s="26"/>
      <c r="O88" s="26"/>
      <c r="P88" s="26"/>
      <c r="Q88" s="26" t="s">
        <v>782</v>
      </c>
    </row>
    <row r="89">
      <c r="A89" s="25" t="str">
        <f t="shared" si="1"/>
        <v>3, 23</v>
      </c>
      <c r="B89" s="25" t="s">
        <v>576</v>
      </c>
      <c r="C89" s="25" t="s">
        <v>783</v>
      </c>
      <c r="D89" s="26" t="s">
        <v>784</v>
      </c>
      <c r="E89" s="26"/>
      <c r="F89" s="26" t="str">
        <f t="shared" si="2"/>
        <v>Failed to load the save file.{NEW}Please insert an official POKéMON Game Boy Advance Game Pak, and then press A.{NEW}{NEW}Alternatively, you can press SELECT to send this program to another Game Boy Advance.</v>
      </c>
      <c r="G89" s="26" t="s">
        <v>785</v>
      </c>
      <c r="H89" s="26" t="s">
        <v>786</v>
      </c>
      <c r="I89" s="26" t="s">
        <v>787</v>
      </c>
      <c r="J89" s="26"/>
      <c r="K89" s="26" t="s">
        <v>788</v>
      </c>
      <c r="L89" s="26" t="s">
        <v>789</v>
      </c>
      <c r="M89" s="26" t="s">
        <v>790</v>
      </c>
      <c r="N89" s="26"/>
      <c r="O89" s="26"/>
      <c r="P89" s="26"/>
      <c r="Q89" s="26" t="s">
        <v>791</v>
      </c>
    </row>
    <row r="90">
      <c r="A90" s="25" t="str">
        <f t="shared" si="1"/>
        <v>3, 24</v>
      </c>
      <c r="B90" s="25" t="s">
        <v>576</v>
      </c>
      <c r="C90" s="25" t="s">
        <v>792</v>
      </c>
      <c r="D90" s="26" t="s">
        <v>793</v>
      </c>
      <c r="E90" s="26"/>
      <c r="F90" s="26" t="str">
        <f t="shared" si="2"/>
        <v>The POKéMON game was removed.{NEW}Please turn off the system and restart the program.</v>
      </c>
      <c r="G90" s="26" t="s">
        <v>794</v>
      </c>
      <c r="H90" s="26" t="s">
        <v>795</v>
      </c>
      <c r="I90" s="26" t="s">
        <v>796</v>
      </c>
      <c r="J90" s="26"/>
      <c r="K90" s="26" t="s">
        <v>797</v>
      </c>
      <c r="L90" s="26" t="s">
        <v>798</v>
      </c>
      <c r="M90" s="26" t="s">
        <v>799</v>
      </c>
      <c r="N90" s="26"/>
      <c r="O90" s="26"/>
      <c r="P90" s="26"/>
      <c r="Q90" s="26" t="s">
        <v>800</v>
      </c>
    </row>
    <row r="91">
      <c r="A91" s="25" t="str">
        <f t="shared" si="1"/>
        <v>3, 25</v>
      </c>
      <c r="B91" s="25" t="s">
        <v>576</v>
      </c>
      <c r="C91" s="25" t="s">
        <v>801</v>
      </c>
      <c r="D91" s="26" t="s">
        <v>784</v>
      </c>
      <c r="E91" s="26"/>
      <c r="F91" s="26" t="str">
        <f t="shared" si="2"/>
        <v>Please connect this system to another Game Boy Advance in Multiboot mode with a Game Boy Advance Link Cable.{NEW}{NEW}Then, press the A button to begin sending Poké Transporter GB to the second Game Boy Advance.</v>
      </c>
      <c r="G91" s="26" t="s">
        <v>802</v>
      </c>
      <c r="H91" s="26" t="s">
        <v>803</v>
      </c>
      <c r="I91" s="26" t="s">
        <v>804</v>
      </c>
      <c r="J91" s="26"/>
      <c r="K91" s="26" t="s">
        <v>805</v>
      </c>
      <c r="L91" s="26" t="s">
        <v>806</v>
      </c>
      <c r="M91" s="26" t="s">
        <v>807</v>
      </c>
      <c r="N91" s="26"/>
      <c r="O91" s="26"/>
      <c r="P91" s="26"/>
      <c r="Q91" s="26" t="s">
        <v>808</v>
      </c>
    </row>
    <row r="92">
      <c r="A92" s="25" t="str">
        <f t="shared" si="1"/>
        <v>3, 26</v>
      </c>
      <c r="B92" s="25" t="s">
        <v>576</v>
      </c>
      <c r="C92" s="25" t="s">
        <v>809</v>
      </c>
      <c r="D92" s="26" t="s">
        <v>784</v>
      </c>
      <c r="E92" s="26"/>
      <c r="F92" s="26" t="str">
        <f t="shared" si="2"/>
        <v>Sending Poké Transporter GB to the second Game Boy Advance system.{NEW}Please wait.{NEW}{NEW}Hold B to cancel.</v>
      </c>
      <c r="G92" s="26" t="s">
        <v>810</v>
      </c>
      <c r="H92" s="26" t="s">
        <v>811</v>
      </c>
      <c r="I92" s="26" t="s">
        <v>812</v>
      </c>
      <c r="J92" s="26"/>
      <c r="K92" s="26" t="s">
        <v>813</v>
      </c>
      <c r="L92" s="26" t="s">
        <v>814</v>
      </c>
      <c r="M92" s="26" t="s">
        <v>815</v>
      </c>
      <c r="N92" s="26"/>
      <c r="O92" s="26"/>
      <c r="P92" s="26"/>
      <c r="Q92" s="26" t="s">
        <v>816</v>
      </c>
    </row>
    <row r="93">
      <c r="A93" s="25" t="str">
        <f t="shared" si="1"/>
        <v>3, 27</v>
      </c>
      <c r="B93" s="25" t="s">
        <v>576</v>
      </c>
      <c r="C93" s="25" t="s">
        <v>817</v>
      </c>
      <c r="D93" s="26" t="s">
        <v>784</v>
      </c>
      <c r="E93" s="26"/>
      <c r="F93" s="26" t="str">
        <f t="shared" si="2"/>
        <v>Poké Transporter GB was sent successfully!{NEW}You may now power off this{NEW}Game Boy Advance system.</v>
      </c>
      <c r="G93" s="26" t="s">
        <v>818</v>
      </c>
      <c r="H93" s="26" t="s">
        <v>819</v>
      </c>
      <c r="I93" s="26" t="s">
        <v>820</v>
      </c>
      <c r="J93" s="26"/>
      <c r="K93" s="26" t="s">
        <v>821</v>
      </c>
      <c r="L93" s="26" t="s">
        <v>822</v>
      </c>
      <c r="M93" s="26" t="s">
        <v>823</v>
      </c>
      <c r="N93" s="26"/>
      <c r="O93" s="26"/>
      <c r="P93" s="26"/>
      <c r="Q93" s="26" t="s">
        <v>824</v>
      </c>
    </row>
    <row r="94">
      <c r="A94" s="25" t="str">
        <f t="shared" si="1"/>
        <v>3, 28</v>
      </c>
      <c r="B94" s="25" t="s">
        <v>576</v>
      </c>
      <c r="C94" s="25" t="s">
        <v>825</v>
      </c>
      <c r="D94" s="26" t="s">
        <v>784</v>
      </c>
      <c r="E94" s="26"/>
      <c r="F94" s="26" t="str">
        <f t="shared" si="2"/>
        <v>An error occurred while sending{NEW}Poké Transporter GB.{NEW}{NEW}Press the A button to return to the instructions screen and try again.</v>
      </c>
      <c r="G94" s="26" t="s">
        <v>826</v>
      </c>
      <c r="H94" s="26" t="s">
        <v>827</v>
      </c>
      <c r="I94" s="26" t="s">
        <v>828</v>
      </c>
      <c r="J94" s="26"/>
      <c r="K94" s="26" t="s">
        <v>829</v>
      </c>
      <c r="L94" s="26" t="s">
        <v>830</v>
      </c>
      <c r="M94" s="26" t="s">
        <v>831</v>
      </c>
      <c r="N94" s="26"/>
      <c r="O94" s="26"/>
      <c r="P94" s="26"/>
      <c r="Q94" s="26" t="s">
        <v>832</v>
      </c>
    </row>
    <row r="95">
      <c r="A95" s="25" t="str">
        <f t="shared" si="1"/>
        <v>3, 29</v>
      </c>
      <c r="B95" s="25" t="s">
        <v>576</v>
      </c>
      <c r="C95" s="25" t="s">
        <v>833</v>
      </c>
      <c r="D95" s="26" t="s">
        <v>578</v>
      </c>
      <c r="E95" s="26" t="s">
        <v>834</v>
      </c>
      <c r="F95" s="26" t="str">
        <f t="shared" si="2"/>
        <v>KANTO:</v>
      </c>
      <c r="G95" s="26" t="s">
        <v>835</v>
      </c>
      <c r="H95" s="26" t="s">
        <v>836</v>
      </c>
      <c r="I95" s="26" t="s">
        <v>836</v>
      </c>
      <c r="J95" s="26" t="s">
        <v>836</v>
      </c>
      <c r="K95" s="26" t="s">
        <v>836</v>
      </c>
      <c r="L95" s="26" t="s">
        <v>836</v>
      </c>
      <c r="M95" s="26" t="s">
        <v>836</v>
      </c>
      <c r="N95" s="26" t="s">
        <v>837</v>
      </c>
      <c r="O95" s="26" t="s">
        <v>838</v>
      </c>
      <c r="P95" s="26" t="s">
        <v>839</v>
      </c>
      <c r="Q95" s="26" t="s">
        <v>836</v>
      </c>
    </row>
    <row r="96">
      <c r="A96" s="25" t="str">
        <f t="shared" si="1"/>
        <v>3, 30</v>
      </c>
      <c r="B96" s="25" t="s">
        <v>576</v>
      </c>
      <c r="C96" s="25" t="s">
        <v>840</v>
      </c>
      <c r="D96" s="26" t="s">
        <v>578</v>
      </c>
      <c r="E96" s="26" t="s">
        <v>841</v>
      </c>
      <c r="F96" s="26" t="str">
        <f t="shared" si="2"/>
        <v>JOHTO:</v>
      </c>
      <c r="G96" s="26" t="s">
        <v>842</v>
      </c>
      <c r="H96" s="26" t="s">
        <v>843</v>
      </c>
      <c r="I96" s="26" t="s">
        <v>843</v>
      </c>
      <c r="J96" s="26" t="s">
        <v>843</v>
      </c>
      <c r="K96" s="26" t="s">
        <v>843</v>
      </c>
      <c r="L96" s="26" t="s">
        <v>843</v>
      </c>
      <c r="M96" s="26" t="s">
        <v>843</v>
      </c>
      <c r="N96" s="26" t="s">
        <v>844</v>
      </c>
      <c r="O96" s="26" t="s">
        <v>845</v>
      </c>
      <c r="P96" s="26" t="s">
        <v>845</v>
      </c>
      <c r="Q96" s="26" t="s">
        <v>843</v>
      </c>
    </row>
    <row r="97">
      <c r="A97" s="30" t="str">
        <f t="shared" si="1"/>
        <v>3, 31</v>
      </c>
      <c r="B97" s="30" t="s">
        <v>576</v>
      </c>
      <c r="C97" s="30" t="s">
        <v>846</v>
      </c>
      <c r="D97" s="26" t="s">
        <v>847</v>
      </c>
      <c r="E97" s="26"/>
      <c r="F97" s="26" t="str">
        <f t="shared" si="2"/>
        <v>{CTR}Game Boy found!{NEW}Waiting for trade…{nCTR}</v>
      </c>
      <c r="G97" s="26" t="s">
        <v>848</v>
      </c>
      <c r="H97" s="26" t="s">
        <v>849</v>
      </c>
      <c r="I97" s="26" t="s">
        <v>850</v>
      </c>
      <c r="J97" s="26"/>
      <c r="K97" s="26" t="s">
        <v>851</v>
      </c>
      <c r="L97" s="26" t="s">
        <v>852</v>
      </c>
      <c r="M97" s="26" t="s">
        <v>852</v>
      </c>
      <c r="N97" s="26"/>
      <c r="O97" s="26"/>
      <c r="P97" s="26"/>
      <c r="Q97" s="26" t="s">
        <v>853</v>
      </c>
    </row>
    <row r="98">
      <c r="A98" s="25" t="str">
        <f t="shared" si="1"/>
        <v>3, 32</v>
      </c>
      <c r="B98" s="25" t="s">
        <v>576</v>
      </c>
      <c r="C98" s="25" t="s">
        <v>854</v>
      </c>
      <c r="D98" s="26" t="s">
        <v>847</v>
      </c>
      <c r="E98" s="26" t="s">
        <v>855</v>
      </c>
      <c r="F98" s="26" t="str">
        <f t="shared" si="2"/>
        <v>{CTR}Link was successful!{NEW}Waiting for battle…{nCTR}</v>
      </c>
      <c r="G98" s="26" t="s">
        <v>856</v>
      </c>
      <c r="H98" s="26" t="s">
        <v>857</v>
      </c>
      <c r="I98" s="26" t="s">
        <v>858</v>
      </c>
      <c r="J98" s="26"/>
      <c r="K98" s="26" t="s">
        <v>859</v>
      </c>
      <c r="L98" s="26" t="s">
        <v>860</v>
      </c>
      <c r="M98" s="26" t="s">
        <v>861</v>
      </c>
      <c r="N98" s="26"/>
      <c r="O98" s="26"/>
      <c r="P98" s="26"/>
      <c r="Q98" s="26" t="s">
        <v>862</v>
      </c>
    </row>
    <row r="99">
      <c r="A99" s="25" t="str">
        <f t="shared" si="1"/>
        <v>3, 33</v>
      </c>
      <c r="B99" s="25" t="s">
        <v>576</v>
      </c>
      <c r="C99" s="25" t="s">
        <v>863</v>
      </c>
      <c r="D99" s="26" t="s">
        <v>847</v>
      </c>
      <c r="E99" s="26"/>
      <c r="F99" s="26" t="str">
        <f t="shared" si="2"/>
        <v>{CTR}Connecting to{NEW}Game Boy…{nCTR}</v>
      </c>
      <c r="G99" s="26" t="s">
        <v>864</v>
      </c>
      <c r="H99" s="26" t="s">
        <v>865</v>
      </c>
      <c r="I99" s="26" t="s">
        <v>866</v>
      </c>
      <c r="J99" s="26"/>
      <c r="K99" s="26" t="s">
        <v>867</v>
      </c>
      <c r="L99" s="26" t="s">
        <v>868</v>
      </c>
      <c r="M99" s="26" t="s">
        <v>869</v>
      </c>
      <c r="N99" s="26"/>
      <c r="O99" s="26"/>
      <c r="P99" s="26"/>
      <c r="Q99" s="26" t="s">
        <v>870</v>
      </c>
    </row>
    <row r="100">
      <c r="A100" s="25" t="str">
        <f t="shared" si="1"/>
        <v>3, 34</v>
      </c>
      <c r="B100" s="25" t="s">
        <v>576</v>
      </c>
      <c r="C100" s="25" t="s">
        <v>871</v>
      </c>
      <c r="D100" s="26" t="s">
        <v>847</v>
      </c>
      <c r="E100" s="26"/>
      <c r="F100" s="26" t="str">
        <f t="shared" si="2"/>
        <v>{CTR}Transferring data…{NEW}Please wait!{nCTR}</v>
      </c>
      <c r="G100" s="26" t="s">
        <v>872</v>
      </c>
      <c r="H100" s="26" t="s">
        <v>873</v>
      </c>
      <c r="I100" s="26" t="s">
        <v>874</v>
      </c>
      <c r="J100" s="26"/>
      <c r="K100" s="26" t="s">
        <v>875</v>
      </c>
      <c r="L100" s="26" t="s">
        <v>876</v>
      </c>
      <c r="M100" s="26" t="s">
        <v>877</v>
      </c>
      <c r="N100" s="26"/>
      <c r="O100" s="26"/>
      <c r="P100" s="26"/>
      <c r="Q100" s="26" t="s">
        <v>878</v>
      </c>
    </row>
    <row r="101">
      <c r="A101" s="25" t="str">
        <f t="shared" si="1"/>
        <v>3, 35</v>
      </c>
      <c r="B101" s="25" t="s">
        <v>576</v>
      </c>
      <c r="C101" s="25" t="s">
        <v>879</v>
      </c>
      <c r="D101" s="26" t="s">
        <v>578</v>
      </c>
      <c r="E101" s="26" t="s">
        <v>880</v>
      </c>
      <c r="F101" s="26" t="str">
        <f t="shared" si="2"/>
        <v>{LVL}: </v>
      </c>
      <c r="G101" s="26" t="s">
        <v>881</v>
      </c>
      <c r="H101" s="26" t="s">
        <v>882</v>
      </c>
      <c r="I101" s="26" t="s">
        <v>883</v>
      </c>
      <c r="J101" s="26" t="s">
        <v>882</v>
      </c>
      <c r="K101" s="26" t="s">
        <v>882</v>
      </c>
      <c r="L101" s="26" t="s">
        <v>882</v>
      </c>
      <c r="M101" s="26" t="s">
        <v>882</v>
      </c>
      <c r="N101" s="26" t="s">
        <v>884</v>
      </c>
      <c r="O101" s="26"/>
      <c r="P101" s="26"/>
      <c r="Q101" s="26" t="s">
        <v>884</v>
      </c>
    </row>
    <row r="102">
      <c r="A102" s="31" t="str">
        <f t="shared" si="1"/>
        <v>3, 36</v>
      </c>
      <c r="B102" s="31" t="s">
        <v>576</v>
      </c>
      <c r="C102" s="31" t="s">
        <v>885</v>
      </c>
      <c r="D102" s="26" t="s">
        <v>784</v>
      </c>
      <c r="E102" s="26" t="s">
        <v>886</v>
      </c>
      <c r="F102" s="26" t="str">
        <f t="shared" si="2"/>
        <v>Warning! You currently have a Japanese Pokémon game loaded. This game is fully functionally compatible with this build of PTGB. However, there may be some graphical issues when viewing text. This can be avoided by using the Japanese build until a fix is pushed soon. Thanks!</v>
      </c>
      <c r="G102" s="26" t="s">
        <v>887</v>
      </c>
      <c r="H102" s="26" t="s">
        <v>888</v>
      </c>
      <c r="I102" s="26" t="s">
        <v>889</v>
      </c>
      <c r="J102" s="26"/>
      <c r="K102" s="26" t="s">
        <v>890</v>
      </c>
      <c r="L102" s="26"/>
      <c r="M102" s="26" t="s">
        <v>891</v>
      </c>
      <c r="N102" s="26"/>
      <c r="O102" s="26"/>
      <c r="P102" s="26"/>
      <c r="Q102" s="26"/>
    </row>
    <row r="103">
      <c r="A103" s="32" t="str">
        <f t="shared" si="1"/>
        <v>4, 0</v>
      </c>
      <c r="B103" s="32" t="s">
        <v>746</v>
      </c>
      <c r="C103" s="32" t="s">
        <v>892</v>
      </c>
      <c r="D103" s="33" t="s">
        <v>784</v>
      </c>
      <c r="E103" s="33"/>
      <c r="F103" s="33" t="str">
        <f t="shared" si="2"/>
        <v>{CTR}Created by The Gears of Progress{NEW}{NEW}Developed by the Striaton Lab Team{nCTR}</v>
      </c>
      <c r="G103" s="33" t="s">
        <v>893</v>
      </c>
      <c r="H103" s="33" t="s">
        <v>894</v>
      </c>
      <c r="I103" s="33" t="s">
        <v>895</v>
      </c>
      <c r="J103" s="33"/>
      <c r="K103" s="33" t="s">
        <v>896</v>
      </c>
      <c r="L103" s="33" t="s">
        <v>897</v>
      </c>
      <c r="M103" s="33" t="s">
        <v>898</v>
      </c>
      <c r="N103" s="33" t="s">
        <v>899</v>
      </c>
      <c r="O103" s="33"/>
      <c r="P103" s="33"/>
      <c r="Q103" s="33" t="s">
        <v>900</v>
      </c>
    </row>
    <row r="104">
      <c r="A104" s="32" t="str">
        <f t="shared" si="1"/>
        <v>4, 1</v>
      </c>
      <c r="B104" s="32" t="s">
        <v>746</v>
      </c>
      <c r="C104" s="32" t="s">
        <v>901</v>
      </c>
      <c r="D104" s="33" t="s">
        <v>784</v>
      </c>
      <c r="E104" s="33"/>
      <c r="F104" s="33" t="str">
        <f t="shared" si="2"/>
        <v>{CTR}- Striaton Lab Team -{NEW}{NEW}Developers:{NEW}-The Gears of Progress{nCTR}{SPA}[26]-TimoVM{SPA}[54]-RisingPhil{NEW}{SPA}[26]-EasyAsPi314{SPA}[24]-aestellic{NEW}{SPA}[26]-Essometer{SPA}[35]-vpraion{CTR}- antoineok{nCTR}</v>
      </c>
      <c r="G104" s="33" t="s">
        <v>902</v>
      </c>
      <c r="H104" s="33" t="s">
        <v>903</v>
      </c>
      <c r="I104" s="33" t="s">
        <v>904</v>
      </c>
      <c r="J104" s="33"/>
      <c r="K104" s="33" t="s">
        <v>905</v>
      </c>
      <c r="L104" s="33" t="s">
        <v>906</v>
      </c>
      <c r="M104" s="33" t="s">
        <v>907</v>
      </c>
      <c r="N104" s="33" t="s">
        <v>908</v>
      </c>
      <c r="O104" s="33"/>
      <c r="P104" s="33"/>
      <c r="Q104" s="33" t="s">
        <v>909</v>
      </c>
    </row>
    <row r="105">
      <c r="A105" s="32" t="str">
        <f t="shared" si="1"/>
        <v>4, 2</v>
      </c>
      <c r="B105" s="32" t="s">
        <v>746</v>
      </c>
      <c r="C105" s="32" t="s">
        <v>910</v>
      </c>
      <c r="D105" s="33" t="s">
        <v>784</v>
      </c>
      <c r="E105" s="33"/>
      <c r="F105" s="33" t="str">
        <f t="shared" si="2"/>
        <v>{CTR}- Striaton Lab Team -{NEW}{NEW}Artists:{NEW}-LJBirdman{NEW}{NEW}Musicians: {NEW}-AquaticAlloy{NEW}-Minra Starlight{nCTR}</v>
      </c>
      <c r="G105" s="33" t="s">
        <v>911</v>
      </c>
      <c r="H105" s="33" t="s">
        <v>912</v>
      </c>
      <c r="I105" s="33" t="s">
        <v>913</v>
      </c>
      <c r="J105" s="33"/>
      <c r="K105" s="33" t="s">
        <v>914</v>
      </c>
      <c r="L105" s="33" t="s">
        <v>915</v>
      </c>
      <c r="M105" s="33" t="s">
        <v>916</v>
      </c>
      <c r="N105" s="33" t="s">
        <v>917</v>
      </c>
      <c r="O105" s="33"/>
      <c r="P105" s="33"/>
      <c r="Q105" s="33" t="s">
        <v>918</v>
      </c>
    </row>
    <row r="106">
      <c r="A106" s="32" t="str">
        <f t="shared" si="1"/>
        <v>4, 3</v>
      </c>
      <c r="B106" s="32" t="s">
        <v>746</v>
      </c>
      <c r="C106" s="32" t="s">
        <v>919</v>
      </c>
      <c r="D106" s="33" t="s">
        <v>784</v>
      </c>
      <c r="E106" s="33"/>
      <c r="F106" s="33" t="str">
        <f t="shared" si="2"/>
        <v>{CTR}- Striaton Lab Team -{NEW}{NEW}Translators:{nCTR}{SPA}[35]Japanese: Petrosjd{NEW}{SPA}[48]French: Lugiadrien{NEW}{SPA}[48]German: Ayumea{NEW}{SPA}[25]Spanish-ES: Yuraite{NEW}{CTR}CONTINUED▶{nCTR}</v>
      </c>
      <c r="G106" s="33" t="s">
        <v>920</v>
      </c>
      <c r="H106" s="33" t="s">
        <v>921</v>
      </c>
      <c r="I106" s="33" t="s">
        <v>922</v>
      </c>
      <c r="J106" s="33"/>
      <c r="K106" s="33" t="s">
        <v>923</v>
      </c>
      <c r="L106" s="33" t="s">
        <v>924</v>
      </c>
      <c r="M106" s="33" t="s">
        <v>925</v>
      </c>
      <c r="N106" s="33"/>
      <c r="O106" s="33"/>
      <c r="P106" s="33"/>
      <c r="Q106" s="33" t="s">
        <v>926</v>
      </c>
    </row>
    <row r="107">
      <c r="A107" s="32" t="str">
        <f t="shared" si="1"/>
        <v>4, 4</v>
      </c>
      <c r="B107" s="32" t="s">
        <v>746</v>
      </c>
      <c r="C107" s="32" t="s">
        <v>927</v>
      </c>
      <c r="D107" s="33" t="s">
        <v>784</v>
      </c>
      <c r="E107" s="33"/>
      <c r="F107" s="33" t="str">
        <f t="shared" si="2"/>
        <v>{CTR}- Striaton Lab Team -{NEW}{NEW}Translators:{nCTR}{SPA}[45]Italian: D. ‘Lagger’ Garlini{NEW}{SPA}[92]A. Chieffi{NEW}{SPA}[25]Spanish-LA: Christóbal{NEW}{SPA}[6]Portuguese-BR: Hyd</v>
      </c>
      <c r="G107" s="33" t="s">
        <v>928</v>
      </c>
      <c r="H107" s="33" t="s">
        <v>929</v>
      </c>
      <c r="I107" s="33" t="s">
        <v>930</v>
      </c>
      <c r="J107" s="33"/>
      <c r="K107" s="33" t="s">
        <v>931</v>
      </c>
      <c r="L107" s="33" t="s">
        <v>932</v>
      </c>
      <c r="M107" s="33" t="s">
        <v>933</v>
      </c>
      <c r="N107" s="33"/>
      <c r="O107" s="33"/>
      <c r="P107" s="33"/>
      <c r="Q107" s="33" t="s">
        <v>934</v>
      </c>
    </row>
    <row r="108">
      <c r="A108" s="32" t="str">
        <f t="shared" si="1"/>
        <v>4, 5</v>
      </c>
      <c r="B108" s="32" t="s">
        <v>746</v>
      </c>
      <c r="C108" s="32" t="s">
        <v>935</v>
      </c>
      <c r="D108" s="33" t="s">
        <v>784</v>
      </c>
      <c r="E108" s="33"/>
      <c r="F108" s="33" t="str">
        <f t="shared" si="2"/>
        <v>{CTR}Development assistance:{NEW}-im a blisy{NEW}-rileyk64{NEW}-Shao{nCTR}</v>
      </c>
      <c r="G108" s="33" t="s">
        <v>936</v>
      </c>
      <c r="H108" s="33" t="s">
        <v>937</v>
      </c>
      <c r="I108" s="33" t="s">
        <v>938</v>
      </c>
      <c r="J108" s="33"/>
      <c r="K108" s="33" t="s">
        <v>939</v>
      </c>
      <c r="L108" s="33" t="s">
        <v>940</v>
      </c>
      <c r="M108" s="33" t="s">
        <v>941</v>
      </c>
      <c r="N108" s="33"/>
      <c r="O108" s="33"/>
      <c r="P108" s="33"/>
      <c r="Q108" s="33" t="s">
        <v>942</v>
      </c>
    </row>
    <row r="109">
      <c r="A109" s="32" t="str">
        <f t="shared" si="1"/>
        <v>4, 6</v>
      </c>
      <c r="B109" s="32" t="s">
        <v>746</v>
      </c>
      <c r="C109" s="32" t="s">
        <v>943</v>
      </c>
      <c r="D109" s="33" t="s">
        <v>784</v>
      </c>
      <c r="E109" s="33"/>
      <c r="F109" s="33" t="str">
        <f t="shared" si="2"/>
        <v>{CTR}Built using:{NEW}-DevkitPro{NEW}-LibTonc{NEW}{nCTR}</v>
      </c>
      <c r="G109" s="33" t="s">
        <v>944</v>
      </c>
      <c r="H109" s="33" t="s">
        <v>945</v>
      </c>
      <c r="I109" s="33" t="s">
        <v>946</v>
      </c>
      <c r="J109" s="33"/>
      <c r="K109" s="33" t="s">
        <v>947</v>
      </c>
      <c r="L109" s="33" t="s">
        <v>948</v>
      </c>
      <c r="M109" s="33" t="s">
        <v>949</v>
      </c>
      <c r="N109" s="33"/>
      <c r="O109" s="33"/>
      <c r="P109" s="33"/>
      <c r="Q109" s="33" t="s">
        <v>950</v>
      </c>
    </row>
    <row r="110">
      <c r="A110" s="32" t="str">
        <f t="shared" si="1"/>
        <v>4, 7</v>
      </c>
      <c r="B110" s="32" t="s">
        <v>746</v>
      </c>
      <c r="C110" s="32" t="s">
        <v>951</v>
      </c>
      <c r="D110" s="33" t="s">
        <v>784</v>
      </c>
      <c r="E110" s="33"/>
      <c r="F110" s="33" t="str">
        <f t="shared" si="2"/>
        <v>{CTR}Inspired by the works of:{NEW}-Goppier{NEW}-Lorenzooone{NEW}-im a blisy{NEW}-RETIRE{nCTR}</v>
      </c>
      <c r="G110" s="33" t="s">
        <v>952</v>
      </c>
      <c r="H110" s="33" t="s">
        <v>953</v>
      </c>
      <c r="I110" s="33" t="s">
        <v>954</v>
      </c>
      <c r="J110" s="33"/>
      <c r="K110" s="33" t="s">
        <v>955</v>
      </c>
      <c r="L110" s="33" t="s">
        <v>956</v>
      </c>
      <c r="M110" s="33" t="s">
        <v>956</v>
      </c>
      <c r="N110" s="33"/>
      <c r="O110" s="33"/>
      <c r="P110" s="33"/>
      <c r="Q110" s="33" t="s">
        <v>957</v>
      </c>
    </row>
    <row r="111">
      <c r="A111" s="32" t="str">
        <f t="shared" si="1"/>
        <v>4, 8</v>
      </c>
      <c r="B111" s="32" t="s">
        <v>746</v>
      </c>
      <c r="C111" s="32" t="s">
        <v>958</v>
      </c>
      <c r="D111" s="33" t="s">
        <v>784</v>
      </c>
      <c r="E111" s="33"/>
      <c r="F111" s="33" t="str">
        <f t="shared" si="2"/>
        <v>{CTR}Programs used:{NEW}-HexManiacAdvance{NEW}-PKHeX{NEW}-WC3Tool{NEW}-Usenti{NEW}-SappyMidToAGB{nCTR}</v>
      </c>
      <c r="G111" s="33" t="s">
        <v>959</v>
      </c>
      <c r="H111" s="33" t="s">
        <v>960</v>
      </c>
      <c r="I111" s="33" t="s">
        <v>961</v>
      </c>
      <c r="J111" s="33"/>
      <c r="K111" s="33" t="s">
        <v>962</v>
      </c>
      <c r="L111" s="33" t="s">
        <v>963</v>
      </c>
      <c r="M111" s="33" t="s">
        <v>964</v>
      </c>
      <c r="N111" s="33"/>
      <c r="O111" s="33"/>
      <c r="P111" s="33"/>
      <c r="Q111" s="33" t="s">
        <v>965</v>
      </c>
    </row>
    <row r="112">
      <c r="A112" s="32" t="str">
        <f t="shared" si="1"/>
        <v>4, 9</v>
      </c>
      <c r="B112" s="32" t="s">
        <v>746</v>
      </c>
      <c r="C112" s="32" t="s">
        <v>966</v>
      </c>
      <c r="D112" s="33" t="s">
        <v>784</v>
      </c>
      <c r="E112" s="33"/>
      <c r="F112" s="33" t="str">
        <f t="shared" si="2"/>
        <v>{CTR}Open Source Code and Libraries:{NEW}-libtonc-examples{NEW}-PokemonGen3toGenX{NEW}-gba-link-connection{NEW}-awesome-gbadev{NEW}-arduino-poke-gen2{nCTR}</v>
      </c>
      <c r="G112" s="33" t="s">
        <v>967</v>
      </c>
      <c r="H112" s="33" t="s">
        <v>968</v>
      </c>
      <c r="I112" s="33" t="s">
        <v>969</v>
      </c>
      <c r="J112" s="33"/>
      <c r="K112" s="33" t="s">
        <v>970</v>
      </c>
      <c r="L112" s="33" t="s">
        <v>971</v>
      </c>
      <c r="M112" s="33" t="s">
        <v>972</v>
      </c>
      <c r="N112" s="33"/>
      <c r="O112" s="33"/>
      <c r="P112" s="33"/>
      <c r="Q112" s="33" t="s">
        <v>973</v>
      </c>
    </row>
    <row r="113">
      <c r="A113" s="32" t="str">
        <f t="shared" si="1"/>
        <v>4, 10</v>
      </c>
      <c r="B113" s="32" t="s">
        <v>746</v>
      </c>
      <c r="C113" s="32" t="s">
        <v>974</v>
      </c>
      <c r="D113" s="33" t="s">
        <v>784</v>
      </c>
      <c r="E113" s="33"/>
      <c r="F113" s="33" t="str">
        <f t="shared" si="2"/>
        <v>{CTR}Research resources:{NEW}-arm-docs{NEW}-PokemonGen3toGenX{NEW}{NEW}Full links can be found on this program’s GitHub{nCTR}</v>
      </c>
      <c r="G113" s="33" t="s">
        <v>975</v>
      </c>
      <c r="H113" s="33" t="s">
        <v>976</v>
      </c>
      <c r="I113" s="33" t="s">
        <v>977</v>
      </c>
      <c r="J113" s="33"/>
      <c r="K113" s="33" t="s">
        <v>978</v>
      </c>
      <c r="L113" s="33" t="s">
        <v>979</v>
      </c>
      <c r="M113" s="33" t="s">
        <v>980</v>
      </c>
      <c r="N113" s="33"/>
      <c r="O113" s="33"/>
      <c r="P113" s="33"/>
      <c r="Q113" s="33" t="s">
        <v>981</v>
      </c>
    </row>
    <row r="114">
      <c r="A114" s="34" t="str">
        <f t="shared" si="1"/>
        <v>4, 11</v>
      </c>
      <c r="B114" s="34" t="s">
        <v>746</v>
      </c>
      <c r="C114" s="34" t="s">
        <v>982</v>
      </c>
      <c r="D114" s="33" t="s">
        <v>784</v>
      </c>
      <c r="E114" s="33"/>
      <c r="F114" s="33" t="str">
        <f t="shared" si="2"/>
        <v>{CTR}ROM data obtained from decompilations created by the PRET team and Narishma-gb, as well as research on the Hatena Blog of vs prof oak, aka “Oseken”{nCTR}</v>
      </c>
      <c r="G114" s="33" t="s">
        <v>983</v>
      </c>
      <c r="H114" s="33" t="s">
        <v>984</v>
      </c>
      <c r="I114" s="33" t="s">
        <v>985</v>
      </c>
      <c r="J114" s="33"/>
      <c r="K114" s="33" t="s">
        <v>986</v>
      </c>
      <c r="L114" s="33" t="s">
        <v>987</v>
      </c>
      <c r="M114" s="33" t="s">
        <v>988</v>
      </c>
      <c r="N114" s="33"/>
      <c r="O114" s="33"/>
      <c r="P114" s="33"/>
      <c r="Q114" s="33" t="s">
        <v>989</v>
      </c>
    </row>
    <row r="115">
      <c r="A115" s="32" t="str">
        <f t="shared" si="1"/>
        <v>4, 12</v>
      </c>
      <c r="B115" s="32" t="s">
        <v>746</v>
      </c>
      <c r="C115" s="32" t="s">
        <v>990</v>
      </c>
      <c r="D115" s="33" t="s">
        <v>784</v>
      </c>
      <c r="E115" s="33"/>
      <c r="F115" s="33" t="str">
        <f t="shared" si="2"/>
        <v>{CTR}POKéMON data obtained from:{NEW}-Bulbapedia{NEW}-Serebii{NEW}-PokeAPI.com{nCTR}</v>
      </c>
      <c r="G115" s="33" t="s">
        <v>991</v>
      </c>
      <c r="H115" s="33" t="s">
        <v>992</v>
      </c>
      <c r="I115" s="33" t="s">
        <v>993</v>
      </c>
      <c r="J115" s="33"/>
      <c r="K115" s="33" t="s">
        <v>994</v>
      </c>
      <c r="L115" s="33" t="s">
        <v>995</v>
      </c>
      <c r="M115" s="33" t="s">
        <v>995</v>
      </c>
      <c r="N115" s="33"/>
      <c r="O115" s="33"/>
      <c r="P115" s="33"/>
      <c r="Q115" s="33" t="s">
        <v>996</v>
      </c>
    </row>
    <row r="116">
      <c r="A116" s="32" t="str">
        <f t="shared" si="1"/>
        <v>4, 13</v>
      </c>
      <c r="B116" s="32" t="s">
        <v>746</v>
      </c>
      <c r="C116" s="32" t="s">
        <v>997</v>
      </c>
      <c r="D116" s="33" t="s">
        <v>784</v>
      </c>
      <c r="E116" s="33"/>
      <c r="F116" s="33" t="str">
        <f t="shared" si="2"/>
        <v>{CTR}Discord community assistance:{NEW}-Hex Maniac Advance{NEW} Development{NEW}-gbadev{NEW}-pret{nCTR}</v>
      </c>
      <c r="G116" s="33" t="s">
        <v>998</v>
      </c>
      <c r="H116" s="33" t="s">
        <v>999</v>
      </c>
      <c r="I116" s="33" t="s">
        <v>1000</v>
      </c>
      <c r="J116" s="33"/>
      <c r="K116" s="33" t="s">
        <v>1001</v>
      </c>
      <c r="L116" s="33" t="s">
        <v>1002</v>
      </c>
      <c r="M116" s="33" t="s">
        <v>1003</v>
      </c>
      <c r="N116" s="33"/>
      <c r="O116" s="33"/>
      <c r="P116" s="33"/>
      <c r="Q116" s="33" t="s">
        <v>1004</v>
      </c>
    </row>
    <row r="117">
      <c r="A117" s="32" t="str">
        <f t="shared" si="1"/>
        <v>4, 14</v>
      </c>
      <c r="B117" s="32" t="s">
        <v>746</v>
      </c>
      <c r="C117" s="32" t="s">
        <v>1005</v>
      </c>
      <c r="D117" s="33" t="s">
        <v>784</v>
      </c>
      <c r="E117" s="33"/>
      <c r="F117" s="33" t="str">
        <f t="shared" si="2"/>
        <v>{CTR}Writing assistance:{NEW}-Mad{nCTR}</v>
      </c>
      <c r="G117" s="33" t="s">
        <v>1006</v>
      </c>
      <c r="H117" s="33" t="s">
        <v>1007</v>
      </c>
      <c r="I117" s="33" t="s">
        <v>1008</v>
      </c>
      <c r="J117" s="33"/>
      <c r="K117" s="33" t="s">
        <v>1009</v>
      </c>
      <c r="L117" s="33" t="s">
        <v>1010</v>
      </c>
      <c r="M117" s="33" t="s">
        <v>1010</v>
      </c>
      <c r="N117" s="33"/>
      <c r="O117" s="33"/>
      <c r="P117" s="33"/>
      <c r="Q117" s="33" t="s">
        <v>1011</v>
      </c>
    </row>
    <row r="118">
      <c r="A118" s="32" t="str">
        <f t="shared" si="1"/>
        <v>4, 15</v>
      </c>
      <c r="B118" s="32" t="s">
        <v>746</v>
      </c>
      <c r="C118" s="32" t="s">
        <v>1012</v>
      </c>
      <c r="D118" s="33" t="s">
        <v>784</v>
      </c>
      <c r="E118" s="33"/>
      <c r="F118" s="33" t="str">
        <f t="shared" si="2"/>
        <v>{CTR}An immense thanks to Lorenzooone for their assistance in reading &amp; writing save data. Without them, this project would not have been possible.{nCTR}</v>
      </c>
      <c r="G118" s="33" t="s">
        <v>1013</v>
      </c>
      <c r="H118" s="33" t="s">
        <v>1014</v>
      </c>
      <c r="I118" s="33" t="s">
        <v>1015</v>
      </c>
      <c r="J118" s="33"/>
      <c r="K118" s="33" t="s">
        <v>1016</v>
      </c>
      <c r="L118" s="33" t="s">
        <v>1017</v>
      </c>
      <c r="M118" s="33" t="s">
        <v>1018</v>
      </c>
      <c r="N118" s="33"/>
      <c r="O118" s="33"/>
      <c r="P118" s="33"/>
      <c r="Q118" s="33" t="s">
        <v>1019</v>
      </c>
    </row>
    <row r="119">
      <c r="A119" s="32" t="str">
        <f t="shared" si="1"/>
        <v>4, 16</v>
      </c>
      <c r="B119" s="32" t="s">
        <v>746</v>
      </c>
      <c r="C119" s="32" t="s">
        <v>1020</v>
      </c>
      <c r="D119" s="33" t="s">
        <v>784</v>
      </c>
      <c r="E119" s="33"/>
      <c r="F119" s="33" t="str">
        <f t="shared" si="2"/>
        <v>{CTR}Special thanks to roku, Sleepy, Eza, sarahtonin, Basabi, Mad, and everyone who has listened to me talk about this for multiple years!{nCTR}</v>
      </c>
      <c r="G119" s="33" t="s">
        <v>1021</v>
      </c>
      <c r="H119" s="33" t="s">
        <v>1022</v>
      </c>
      <c r="I119" s="33" t="s">
        <v>1023</v>
      </c>
      <c r="J119" s="33"/>
      <c r="K119" s="33" t="s">
        <v>1024</v>
      </c>
      <c r="L119" s="33" t="s">
        <v>1025</v>
      </c>
      <c r="M119" s="33" t="s">
        <v>1026</v>
      </c>
      <c r="N119" s="33"/>
      <c r="O119" s="33"/>
      <c r="P119" s="33"/>
      <c r="Q119" s="33" t="s">
        <v>1027</v>
      </c>
    </row>
    <row r="120">
      <c r="A120" s="32" t="str">
        <f t="shared" si="1"/>
        <v>4, 17</v>
      </c>
      <c r="B120" s="32" t="s">
        <v>746</v>
      </c>
      <c r="C120" s="32" t="s">
        <v>1028</v>
      </c>
      <c r="D120" s="33" t="s">
        <v>784</v>
      </c>
      <c r="E120" s="33"/>
      <c r="F120" s="33" t="str">
        <f t="shared" si="2"/>
        <v>{CTR}All POKéMON names, sprites, and names of related resources are copyright Nintendo, Creatures, and GAME FREAK.{nCTR}</v>
      </c>
      <c r="G120" s="33" t="s">
        <v>1029</v>
      </c>
      <c r="H120" s="33" t="s">
        <v>1030</v>
      </c>
      <c r="I120" s="33" t="s">
        <v>1031</v>
      </c>
      <c r="J120" s="33"/>
      <c r="K120" s="33" t="s">
        <v>1032</v>
      </c>
      <c r="L120" s="33" t="s">
        <v>1033</v>
      </c>
      <c r="M120" s="33" t="s">
        <v>1034</v>
      </c>
      <c r="N120" s="33"/>
      <c r="O120" s="33"/>
      <c r="P120" s="33"/>
      <c r="Q120" s="33" t="s">
        <v>1035</v>
      </c>
    </row>
    <row r="121">
      <c r="A121" s="32" t="str">
        <f t="shared" si="1"/>
        <v>4, 18</v>
      </c>
      <c r="B121" s="32" t="s">
        <v>746</v>
      </c>
      <c r="C121" s="32" t="s">
        <v>1036</v>
      </c>
      <c r="D121" s="33" t="s">
        <v>784</v>
      </c>
      <c r="E121" s="33"/>
      <c r="F121" s="33" t="str">
        <f t="shared" si="2"/>
        <v>{CTR}This project is not endorsed or supported by GAME FREAK/Nintendo.{NEW}{NEW}Please support the original developers.{nCTR}</v>
      </c>
      <c r="G121" s="33" t="s">
        <v>1037</v>
      </c>
      <c r="H121" s="33" t="s">
        <v>1038</v>
      </c>
      <c r="I121" s="33" t="s">
        <v>1039</v>
      </c>
      <c r="J121" s="33"/>
      <c r="K121" s="33" t="s">
        <v>1040</v>
      </c>
      <c r="L121" s="33" t="s">
        <v>1041</v>
      </c>
      <c r="M121" s="33" t="s">
        <v>1042</v>
      </c>
      <c r="N121" s="33"/>
      <c r="O121" s="33"/>
      <c r="P121" s="33"/>
      <c r="Q121" s="33" t="s">
        <v>1043</v>
      </c>
    </row>
    <row r="122">
      <c r="A122" s="35" t="str">
        <f t="shared" si="1"/>
        <v>5, 0</v>
      </c>
      <c r="B122" s="35" t="s">
        <v>1044</v>
      </c>
      <c r="C122" s="35" t="s">
        <v>1045</v>
      </c>
      <c r="D122" s="36" t="s">
        <v>784</v>
      </c>
      <c r="E122" s="37"/>
      <c r="F122" s="36" t="str">
        <f t="shared" si="2"/>
        <v>{CTR}- REQUIRED EQUIPMENT -{nCTR}・This Game Boy Advance{NEW}・Another Game Boy Advance or{NEW}{SPA}[3]a Game Boy Color{NEW}・Game Boy Color Link Cable{NEW}・Game Boy Advance Link Cable{NEW}{SPA}[3](optional, for Multiboot only){NEW}{SPA}[201]➡</v>
      </c>
      <c r="G122" s="36" t="s">
        <v>1046</v>
      </c>
      <c r="H122" s="36" t="s">
        <v>1047</v>
      </c>
      <c r="I122" s="36" t="s">
        <v>1048</v>
      </c>
      <c r="J122" s="36"/>
      <c r="K122" s="36" t="s">
        <v>1049</v>
      </c>
      <c r="L122" s="36" t="s">
        <v>1050</v>
      </c>
      <c r="M122" s="36" t="s">
        <v>1050</v>
      </c>
      <c r="N122" s="36"/>
      <c r="O122" s="36"/>
      <c r="P122" s="36"/>
      <c r="Q122" s="36"/>
    </row>
    <row r="123">
      <c r="A123" s="35" t="str">
        <f t="shared" si="1"/>
        <v>5, 1</v>
      </c>
      <c r="B123" s="35" t="s">
        <v>1044</v>
      </c>
      <c r="C123" s="35" t="s">
        <v>1051</v>
      </c>
      <c r="D123" s="36" t="s">
        <v>784</v>
      </c>
      <c r="E123" s="37"/>
      <c r="F123" s="36" t="str">
        <f t="shared" si="2"/>
        <v>{CTR}- PREPARE YOUR GAMES -{nCTR}{NEW}Game Boy Advance game requirements:{NEW}・Have entered the HALL OF FAME{NEW}・MYSTERY GIFT enabled{NEW}・Make sure your PC has enough space to receive the transferred POKéMON{NEW}⬅{SPA}[194]➡</v>
      </c>
      <c r="G123" s="36" t="s">
        <v>1052</v>
      </c>
      <c r="H123" s="36" t="s">
        <v>1053</v>
      </c>
      <c r="I123" s="36" t="s">
        <v>1054</v>
      </c>
      <c r="J123" s="36"/>
      <c r="K123" s="36" t="s">
        <v>1055</v>
      </c>
      <c r="L123" s="36" t="s">
        <v>1056</v>
      </c>
      <c r="M123" s="36" t="s">
        <v>1057</v>
      </c>
      <c r="N123" s="36"/>
      <c r="O123" s="36"/>
      <c r="P123" s="36"/>
      <c r="Q123" s="36"/>
    </row>
    <row r="124">
      <c r="A124" s="35" t="str">
        <f t="shared" si="1"/>
        <v>5, 2</v>
      </c>
      <c r="B124" s="35" t="s">
        <v>1044</v>
      </c>
      <c r="C124" s="35" t="s">
        <v>1058</v>
      </c>
      <c r="D124" s="36" t="s">
        <v>784</v>
      </c>
      <c r="E124" s="37"/>
      <c r="F124" s="36" t="str">
        <f t="shared" si="2"/>
        <v>{CTR}- PREPARE YOUR GAMES -{NEW}How to activate the MYSTERY GIFT{NEW}in RUBY &amp; SAPPHIRE{nCTR}{NEW}In PETALBURG POKéMON CENTER,{NEW}tell the man next to the PC:{NEW}{CTR}MYSTERY EVENT IS EXCITING{nCTR}⬅{SPA}[194]➡</v>
      </c>
      <c r="G124" s="36" t="s">
        <v>1059</v>
      </c>
      <c r="H124" s="36" t="s">
        <v>1060</v>
      </c>
      <c r="I124" s="36" t="s">
        <v>1061</v>
      </c>
      <c r="J124" s="36"/>
      <c r="K124" s="36" t="s">
        <v>1062</v>
      </c>
      <c r="L124" s="36" t="s">
        <v>1063</v>
      </c>
      <c r="M124" s="36" t="s">
        <v>1064</v>
      </c>
      <c r="N124" s="36"/>
      <c r="O124" s="36"/>
      <c r="P124" s="36"/>
      <c r="Q124" s="36"/>
    </row>
    <row r="125">
      <c r="A125" s="35" t="str">
        <f t="shared" si="1"/>
        <v>5, 3</v>
      </c>
      <c r="B125" s="35" t="s">
        <v>1044</v>
      </c>
      <c r="C125" s="35" t="s">
        <v>1065</v>
      </c>
      <c r="D125" s="36" t="s">
        <v>784</v>
      </c>
      <c r="E125" s="37"/>
      <c r="F125" s="36" t="str">
        <f t="shared" si="2"/>
        <v>{CTR}- PREPARE YOUR GAMES -{NEW}How to activate the MYSTERY GIFT{NEW}in FIRE RED, LEAF GREEN &amp; EMERALD{nCTR}{NEW}In a POKéMON MART, fill out the questionnaire as follows:{NEW}{CTR}LINK TOGETHER WITH ALL{nCTR}⬅{SPA}[194]➡</v>
      </c>
      <c r="G125" s="36" t="s">
        <v>1066</v>
      </c>
      <c r="H125" s="36" t="s">
        <v>1067</v>
      </c>
      <c r="I125" s="36" t="s">
        <v>1068</v>
      </c>
      <c r="J125" s="36"/>
      <c r="K125" s="36" t="s">
        <v>1069</v>
      </c>
      <c r="L125" s="36" t="s">
        <v>1070</v>
      </c>
      <c r="M125" s="36" t="s">
        <v>1070</v>
      </c>
      <c r="N125" s="36"/>
      <c r="O125" s="36"/>
      <c r="P125" s="36"/>
      <c r="Q125" s="36"/>
    </row>
    <row r="126">
      <c r="A126" s="35" t="str">
        <f t="shared" si="1"/>
        <v>5, 4</v>
      </c>
      <c r="B126" s="35" t="s">
        <v>1044</v>
      </c>
      <c r="C126" s="35" t="s">
        <v>1071</v>
      </c>
      <c r="D126" s="36" t="s">
        <v>784</v>
      </c>
      <c r="E126" s="37"/>
      <c r="F126" s="36" t="str">
        <f t="shared" si="2"/>
        <v>{CTR}- PREPARE YOUR GAMES -{nCTR}{NEW}Game Boy game requirements:{NEW}・Make sure the current active BOX in your PC is the one you want to transfer POKéMON from{NEW}{NEW}⬅{SPA}[194]➡</v>
      </c>
      <c r="G126" s="36" t="s">
        <v>1072</v>
      </c>
      <c r="H126" s="36" t="s">
        <v>1073</v>
      </c>
      <c r="I126" s="36" t="s">
        <v>1074</v>
      </c>
      <c r="J126" s="36"/>
      <c r="K126" s="36" t="s">
        <v>1075</v>
      </c>
      <c r="L126" s="36" t="s">
        <v>1076</v>
      </c>
      <c r="M126" s="36" t="s">
        <v>1076</v>
      </c>
      <c r="N126" s="36"/>
      <c r="O126" s="36"/>
      <c r="P126" s="36"/>
      <c r="Q126" s="36"/>
    </row>
    <row r="127">
      <c r="A127" s="35" t="str">
        <f t="shared" si="1"/>
        <v>5, 5</v>
      </c>
      <c r="B127" s="35" t="s">
        <v>1044</v>
      </c>
      <c r="C127" s="35" t="s">
        <v>1077</v>
      </c>
      <c r="D127" s="36" t="s">
        <v>784</v>
      </c>
      <c r="E127" s="37"/>
      <c r="F127" s="36" t="str">
        <f t="shared" si="2"/>
        <v>{CTR}- RECOMMENDATIONS -{nCTR}{NEW}Poké Transporter GB is still a work in progress. As such and if possible, we recommend you to make backups of your saves.{NEW}{NEW}⬅{SPA}[194]➡</v>
      </c>
      <c r="G127" s="36" t="s">
        <v>1078</v>
      </c>
      <c r="H127" s="36" t="s">
        <v>1079</v>
      </c>
      <c r="I127" s="36" t="s">
        <v>1080</v>
      </c>
      <c r="J127" s="36"/>
      <c r="K127" s="36" t="s">
        <v>1081</v>
      </c>
      <c r="L127" s="36" t="s">
        <v>1082</v>
      </c>
      <c r="M127" s="36" t="s">
        <v>1083</v>
      </c>
      <c r="N127" s="36"/>
      <c r="O127" s="36"/>
      <c r="P127" s="36"/>
      <c r="Q127" s="36"/>
    </row>
    <row r="128">
      <c r="A128" s="38" t="str">
        <f t="shared" si="1"/>
        <v>5, 6</v>
      </c>
      <c r="B128" s="38" t="s">
        <v>1044</v>
      </c>
      <c r="C128" s="38" t="s">
        <v>1084</v>
      </c>
      <c r="D128" s="36" t="s">
        <v>784</v>
      </c>
      <c r="E128" s="37"/>
      <c r="F128" s="36" t="str">
        <f t="shared" si="2"/>
        <v>{CTR}- NOT YET SUPPORTED -{nCTR}{NEW}{NEW}・Korean GOLD and SILVER versions{NEW}{NEW}{NEW}{NEW}⬅{SPA}[194]➡</v>
      </c>
      <c r="G128" s="36" t="s">
        <v>1085</v>
      </c>
      <c r="H128" s="36" t="s">
        <v>1086</v>
      </c>
      <c r="I128" s="36" t="s">
        <v>1087</v>
      </c>
      <c r="J128" s="36"/>
      <c r="K128" s="36" t="s">
        <v>1088</v>
      </c>
      <c r="L128" s="36" t="s">
        <v>1089</v>
      </c>
      <c r="M128" s="36" t="s">
        <v>1090</v>
      </c>
      <c r="N128" s="36"/>
      <c r="O128" s="36"/>
      <c r="P128" s="36"/>
      <c r="Q128" s="36"/>
    </row>
    <row r="129">
      <c r="A129" s="38" t="str">
        <f t="shared" si="1"/>
        <v>5, 7</v>
      </c>
      <c r="B129" s="38" t="s">
        <v>1044</v>
      </c>
      <c r="C129" s="38" t="s">
        <v>1091</v>
      </c>
      <c r="D129" s="36" t="s">
        <v>784</v>
      </c>
      <c r="E129" s="37"/>
      <c r="F129" s="36" t="str">
        <f t="shared" si="2"/>
        <v>{CTR}- KNOWN ERRORS -{nCTR}・Viewing Japanese nicknames with a non-Japanese build of PTGB (or vice-versa) can cause incorrect characters to appear. This is purely visual and transferred POKéMON will have the correct names.{NEW}⬅</v>
      </c>
      <c r="G129" s="36" t="s">
        <v>1092</v>
      </c>
      <c r="H129" s="36" t="s">
        <v>1093</v>
      </c>
      <c r="I129" s="36" t="s">
        <v>1094</v>
      </c>
      <c r="J129" s="36"/>
      <c r="K129" s="36" t="s">
        <v>1095</v>
      </c>
      <c r="L129" s="36" t="s">
        <v>1096</v>
      </c>
      <c r="M129" s="36" t="s">
        <v>1097</v>
      </c>
      <c r="N129" s="36"/>
      <c r="O129" s="36"/>
      <c r="P129" s="36"/>
      <c r="Q129" s="36"/>
    </row>
    <row r="130">
      <c r="A130" s="39" t="str">
        <f t="shared" si="1"/>
        <v>6, 0</v>
      </c>
      <c r="B130" s="39" t="s">
        <v>1098</v>
      </c>
      <c r="C130" s="39">
        <v>0.0</v>
      </c>
      <c r="D130" s="40" t="s">
        <v>578</v>
      </c>
      <c r="E130" s="40"/>
      <c r="F130" s="40" t="str">
        <f t="shared" si="2"/>
        <v>MISSINGNO.</v>
      </c>
      <c r="G130" s="40" t="s">
        <v>1099</v>
      </c>
      <c r="H130" s="40" t="s">
        <v>1100</v>
      </c>
      <c r="I130" s="40" t="s">
        <v>1100</v>
      </c>
      <c r="J130" s="40" t="s">
        <v>1100</v>
      </c>
      <c r="K130" s="40" t="s">
        <v>1100</v>
      </c>
      <c r="L130" s="40" t="s">
        <v>1100</v>
      </c>
      <c r="M130" s="40" t="s">
        <v>1100</v>
      </c>
      <c r="N130" s="40" t="s">
        <v>1100</v>
      </c>
      <c r="O130" s="40" t="s">
        <v>1100</v>
      </c>
      <c r="P130" s="40" t="s">
        <v>1100</v>
      </c>
      <c r="Q130" s="40" t="s">
        <v>1100</v>
      </c>
    </row>
    <row r="131">
      <c r="A131" s="39" t="str">
        <f t="shared" si="1"/>
        <v>6, 1</v>
      </c>
      <c r="B131" s="39" t="s">
        <v>1098</v>
      </c>
      <c r="C131" s="39">
        <v>1.0</v>
      </c>
      <c r="D131" s="40" t="s">
        <v>578</v>
      </c>
      <c r="E131" s="40"/>
      <c r="F131" s="40" t="str">
        <f t="shared" si="2"/>
        <v>BULBASAUR</v>
      </c>
      <c r="G131" s="40" t="s">
        <v>1101</v>
      </c>
      <c r="H131" s="40" t="s">
        <v>1102</v>
      </c>
      <c r="I131" s="40" t="s">
        <v>1103</v>
      </c>
      <c r="J131" s="40" t="s">
        <v>1104</v>
      </c>
      <c r="K131" s="40" t="s">
        <v>1102</v>
      </c>
      <c r="L131" s="40" t="s">
        <v>1102</v>
      </c>
      <c r="M131" s="40" t="s">
        <v>1102</v>
      </c>
      <c r="N131" s="40" t="s">
        <v>1105</v>
      </c>
      <c r="O131" s="40" t="s">
        <v>1106</v>
      </c>
      <c r="P131" s="40" t="s">
        <v>1107</v>
      </c>
      <c r="Q131" s="40" t="s">
        <v>1102</v>
      </c>
    </row>
    <row r="132">
      <c r="A132" s="39" t="str">
        <f t="shared" si="1"/>
        <v>6, 2</v>
      </c>
      <c r="B132" s="39" t="s">
        <v>1098</v>
      </c>
      <c r="C132" s="39">
        <v>2.0</v>
      </c>
      <c r="D132" s="40" t="s">
        <v>578</v>
      </c>
      <c r="E132" s="40"/>
      <c r="F132" s="40" t="str">
        <f t="shared" si="2"/>
        <v>IVYSAUR</v>
      </c>
      <c r="G132" s="40" t="s">
        <v>1108</v>
      </c>
      <c r="H132" s="40" t="s">
        <v>1109</v>
      </c>
      <c r="I132" s="40" t="s">
        <v>1110</v>
      </c>
      <c r="J132" s="40" t="s">
        <v>1111</v>
      </c>
      <c r="K132" s="40" t="s">
        <v>1109</v>
      </c>
      <c r="L132" s="40" t="s">
        <v>1109</v>
      </c>
      <c r="M132" s="40" t="s">
        <v>1109</v>
      </c>
      <c r="N132" s="40" t="s">
        <v>1112</v>
      </c>
      <c r="O132" s="40" t="s">
        <v>1113</v>
      </c>
      <c r="P132" s="40" t="s">
        <v>1113</v>
      </c>
      <c r="Q132" s="40" t="s">
        <v>1109</v>
      </c>
    </row>
    <row r="133">
      <c r="A133" s="39" t="str">
        <f t="shared" si="1"/>
        <v>6, 3</v>
      </c>
      <c r="B133" s="39" t="s">
        <v>1098</v>
      </c>
      <c r="C133" s="39">
        <v>3.0</v>
      </c>
      <c r="D133" s="40" t="s">
        <v>578</v>
      </c>
      <c r="E133" s="40"/>
      <c r="F133" s="40" t="str">
        <f t="shared" si="2"/>
        <v>VENUSAUR</v>
      </c>
      <c r="G133" s="40" t="s">
        <v>1114</v>
      </c>
      <c r="H133" s="40" t="s">
        <v>1115</v>
      </c>
      <c r="I133" s="40" t="s">
        <v>1116</v>
      </c>
      <c r="J133" s="40" t="s">
        <v>1117</v>
      </c>
      <c r="K133" s="40" t="s">
        <v>1115</v>
      </c>
      <c r="L133" s="40" t="s">
        <v>1115</v>
      </c>
      <c r="M133" s="40" t="s">
        <v>1115</v>
      </c>
      <c r="N133" s="40" t="s">
        <v>1118</v>
      </c>
      <c r="O133" s="40" t="s">
        <v>1119</v>
      </c>
      <c r="P133" s="40" t="s">
        <v>1119</v>
      </c>
      <c r="Q133" s="40" t="s">
        <v>1115</v>
      </c>
    </row>
    <row r="134">
      <c r="A134" s="39" t="str">
        <f t="shared" si="1"/>
        <v>6, 4</v>
      </c>
      <c r="B134" s="39" t="s">
        <v>1098</v>
      </c>
      <c r="C134" s="39">
        <v>4.0</v>
      </c>
      <c r="D134" s="40" t="s">
        <v>578</v>
      </c>
      <c r="E134" s="40"/>
      <c r="F134" s="40" t="str">
        <f t="shared" si="2"/>
        <v>CHARMANDER</v>
      </c>
      <c r="G134" s="40" t="s">
        <v>1120</v>
      </c>
      <c r="H134" s="40" t="s">
        <v>1121</v>
      </c>
      <c r="I134" s="40" t="s">
        <v>1122</v>
      </c>
      <c r="J134" s="40" t="s">
        <v>1123</v>
      </c>
      <c r="K134" s="40" t="s">
        <v>1121</v>
      </c>
      <c r="L134" s="40" t="s">
        <v>1121</v>
      </c>
      <c r="M134" s="40" t="s">
        <v>1121</v>
      </c>
      <c r="N134" s="40" t="s">
        <v>1124</v>
      </c>
      <c r="O134" s="40" t="s">
        <v>1125</v>
      </c>
      <c r="P134" s="40" t="s">
        <v>1126</v>
      </c>
      <c r="Q134" s="40" t="s">
        <v>1121</v>
      </c>
    </row>
    <row r="135">
      <c r="A135" s="39" t="str">
        <f t="shared" si="1"/>
        <v>6, 5</v>
      </c>
      <c r="B135" s="39" t="s">
        <v>1098</v>
      </c>
      <c r="C135" s="39">
        <v>5.0</v>
      </c>
      <c r="D135" s="40" t="s">
        <v>578</v>
      </c>
      <c r="E135" s="40"/>
      <c r="F135" s="40" t="str">
        <f t="shared" si="2"/>
        <v>CHARMELEON</v>
      </c>
      <c r="G135" s="40" t="s">
        <v>1127</v>
      </c>
      <c r="H135" s="40" t="s">
        <v>1128</v>
      </c>
      <c r="I135" s="40" t="s">
        <v>1129</v>
      </c>
      <c r="J135" s="40" t="s">
        <v>1130</v>
      </c>
      <c r="K135" s="40" t="s">
        <v>1128</v>
      </c>
      <c r="L135" s="40" t="s">
        <v>1128</v>
      </c>
      <c r="M135" s="40" t="s">
        <v>1128</v>
      </c>
      <c r="N135" s="40" t="s">
        <v>1131</v>
      </c>
      <c r="O135" s="40" t="s">
        <v>1132</v>
      </c>
      <c r="P135" s="40" t="s">
        <v>1133</v>
      </c>
      <c r="Q135" s="40" t="s">
        <v>1128</v>
      </c>
    </row>
    <row r="136">
      <c r="A136" s="39" t="str">
        <f t="shared" si="1"/>
        <v>6, 6</v>
      </c>
      <c r="B136" s="39" t="s">
        <v>1098</v>
      </c>
      <c r="C136" s="39">
        <v>6.0</v>
      </c>
      <c r="D136" s="40" t="s">
        <v>578</v>
      </c>
      <c r="E136" s="40"/>
      <c r="F136" s="40" t="str">
        <f t="shared" si="2"/>
        <v>CHARIZARD</v>
      </c>
      <c r="G136" s="40" t="s">
        <v>1134</v>
      </c>
      <c r="H136" s="40" t="s">
        <v>1135</v>
      </c>
      <c r="I136" s="40" t="s">
        <v>1136</v>
      </c>
      <c r="J136" s="40" t="s">
        <v>1137</v>
      </c>
      <c r="K136" s="40" t="s">
        <v>1135</v>
      </c>
      <c r="L136" s="40" t="s">
        <v>1135</v>
      </c>
      <c r="M136" s="40" t="s">
        <v>1135</v>
      </c>
      <c r="N136" s="40" t="s">
        <v>1138</v>
      </c>
      <c r="O136" s="40" t="s">
        <v>1139</v>
      </c>
      <c r="P136" s="40" t="s">
        <v>1140</v>
      </c>
      <c r="Q136" s="40" t="s">
        <v>1135</v>
      </c>
    </row>
    <row r="137">
      <c r="A137" s="39" t="str">
        <f t="shared" si="1"/>
        <v>6, 7</v>
      </c>
      <c r="B137" s="39" t="s">
        <v>1098</v>
      </c>
      <c r="C137" s="39">
        <v>7.0</v>
      </c>
      <c r="D137" s="40" t="s">
        <v>578</v>
      </c>
      <c r="E137" s="40"/>
      <c r="F137" s="40" t="str">
        <f t="shared" si="2"/>
        <v>SQUIRTLE</v>
      </c>
      <c r="G137" s="40" t="s">
        <v>1141</v>
      </c>
      <c r="H137" s="40" t="s">
        <v>1142</v>
      </c>
      <c r="I137" s="40" t="s">
        <v>1143</v>
      </c>
      <c r="J137" s="40" t="s">
        <v>1144</v>
      </c>
      <c r="K137" s="40" t="s">
        <v>1142</v>
      </c>
      <c r="L137" s="40" t="s">
        <v>1142</v>
      </c>
      <c r="M137" s="40" t="s">
        <v>1142</v>
      </c>
      <c r="N137" s="40" t="s">
        <v>1145</v>
      </c>
      <c r="O137" s="40" t="s">
        <v>1146</v>
      </c>
      <c r="P137" s="40" t="s">
        <v>1147</v>
      </c>
      <c r="Q137" s="40" t="s">
        <v>1142</v>
      </c>
    </row>
    <row r="138">
      <c r="A138" s="39" t="str">
        <f t="shared" si="1"/>
        <v>6, 8</v>
      </c>
      <c r="B138" s="39" t="s">
        <v>1098</v>
      </c>
      <c r="C138" s="39">
        <v>8.0</v>
      </c>
      <c r="D138" s="40" t="s">
        <v>578</v>
      </c>
      <c r="E138" s="40"/>
      <c r="F138" s="40" t="str">
        <f t="shared" si="2"/>
        <v>WARTORTLE</v>
      </c>
      <c r="G138" s="40" t="s">
        <v>1148</v>
      </c>
      <c r="H138" s="40" t="s">
        <v>1149</v>
      </c>
      <c r="I138" s="40" t="s">
        <v>1150</v>
      </c>
      <c r="J138" s="40" t="s">
        <v>1151</v>
      </c>
      <c r="K138" s="40" t="s">
        <v>1149</v>
      </c>
      <c r="L138" s="40" t="s">
        <v>1149</v>
      </c>
      <c r="M138" s="40" t="s">
        <v>1149</v>
      </c>
      <c r="N138" s="40" t="s">
        <v>1152</v>
      </c>
      <c r="O138" s="40" t="s">
        <v>1153</v>
      </c>
      <c r="P138" s="40" t="s">
        <v>1154</v>
      </c>
      <c r="Q138" s="40" t="s">
        <v>1149</v>
      </c>
    </row>
    <row r="139">
      <c r="A139" s="39" t="str">
        <f t="shared" si="1"/>
        <v>6, 9</v>
      </c>
      <c r="B139" s="39" t="s">
        <v>1098</v>
      </c>
      <c r="C139" s="39">
        <v>9.0</v>
      </c>
      <c r="D139" s="40" t="s">
        <v>578</v>
      </c>
      <c r="E139" s="40"/>
      <c r="F139" s="40" t="str">
        <f t="shared" si="2"/>
        <v>BLASTOISE</v>
      </c>
      <c r="G139" s="40" t="s">
        <v>1155</v>
      </c>
      <c r="H139" s="40" t="s">
        <v>1156</v>
      </c>
      <c r="I139" s="40" t="s">
        <v>1157</v>
      </c>
      <c r="J139" s="40" t="s">
        <v>1158</v>
      </c>
      <c r="K139" s="40" t="s">
        <v>1156</v>
      </c>
      <c r="L139" s="40" t="s">
        <v>1156</v>
      </c>
      <c r="M139" s="40" t="s">
        <v>1156</v>
      </c>
      <c r="N139" s="40" t="s">
        <v>1159</v>
      </c>
      <c r="O139" s="40" t="s">
        <v>1160</v>
      </c>
      <c r="P139" s="40" t="s">
        <v>1161</v>
      </c>
      <c r="Q139" s="40" t="s">
        <v>1156</v>
      </c>
    </row>
    <row r="140">
      <c r="A140" s="39" t="str">
        <f t="shared" si="1"/>
        <v>6, 10</v>
      </c>
      <c r="B140" s="39" t="s">
        <v>1098</v>
      </c>
      <c r="C140" s="39">
        <v>10.0</v>
      </c>
      <c r="D140" s="40" t="s">
        <v>578</v>
      </c>
      <c r="E140" s="40"/>
      <c r="F140" s="40" t="str">
        <f t="shared" si="2"/>
        <v>CATERPIE</v>
      </c>
      <c r="G140" s="40" t="s">
        <v>1162</v>
      </c>
      <c r="H140" s="40" t="s">
        <v>1163</v>
      </c>
      <c r="I140" s="40" t="s">
        <v>1164</v>
      </c>
      <c r="J140" s="40" t="s">
        <v>1165</v>
      </c>
      <c r="K140" s="40" t="s">
        <v>1163</v>
      </c>
      <c r="L140" s="40" t="s">
        <v>1163</v>
      </c>
      <c r="M140" s="40" t="s">
        <v>1163</v>
      </c>
      <c r="N140" s="40" t="s">
        <v>1166</v>
      </c>
      <c r="O140" s="40" t="s">
        <v>1167</v>
      </c>
      <c r="P140" s="40" t="s">
        <v>1168</v>
      </c>
      <c r="Q140" s="40" t="s">
        <v>1163</v>
      </c>
    </row>
    <row r="141">
      <c r="A141" s="39" t="str">
        <f t="shared" si="1"/>
        <v>6, 11</v>
      </c>
      <c r="B141" s="39" t="s">
        <v>1098</v>
      </c>
      <c r="C141" s="39">
        <v>11.0</v>
      </c>
      <c r="D141" s="40" t="s">
        <v>578</v>
      </c>
      <c r="E141" s="40"/>
      <c r="F141" s="40" t="str">
        <f t="shared" si="2"/>
        <v>METAPOD</v>
      </c>
      <c r="G141" s="40" t="s">
        <v>1169</v>
      </c>
      <c r="H141" s="40" t="s">
        <v>1170</v>
      </c>
      <c r="I141" s="40" t="s">
        <v>1171</v>
      </c>
      <c r="J141" s="40" t="s">
        <v>1172</v>
      </c>
      <c r="K141" s="40" t="s">
        <v>1170</v>
      </c>
      <c r="L141" s="40" t="s">
        <v>1170</v>
      </c>
      <c r="M141" s="40" t="s">
        <v>1170</v>
      </c>
      <c r="N141" s="40" t="s">
        <v>1173</v>
      </c>
      <c r="O141" s="40" t="s">
        <v>1174</v>
      </c>
      <c r="P141" s="40" t="s">
        <v>1175</v>
      </c>
      <c r="Q141" s="40" t="s">
        <v>1170</v>
      </c>
    </row>
    <row r="142">
      <c r="A142" s="39" t="str">
        <f t="shared" si="1"/>
        <v>6, 12</v>
      </c>
      <c r="B142" s="39" t="s">
        <v>1098</v>
      </c>
      <c r="C142" s="39">
        <v>12.0</v>
      </c>
      <c r="D142" s="40" t="s">
        <v>578</v>
      </c>
      <c r="E142" s="40"/>
      <c r="F142" s="40" t="str">
        <f t="shared" si="2"/>
        <v>BUTTERFREE</v>
      </c>
      <c r="G142" s="40" t="s">
        <v>1176</v>
      </c>
      <c r="H142" s="40" t="s">
        <v>1177</v>
      </c>
      <c r="I142" s="40" t="s">
        <v>1178</v>
      </c>
      <c r="J142" s="40" t="s">
        <v>1179</v>
      </c>
      <c r="K142" s="40" t="s">
        <v>1177</v>
      </c>
      <c r="L142" s="40" t="s">
        <v>1177</v>
      </c>
      <c r="M142" s="40" t="s">
        <v>1177</v>
      </c>
      <c r="N142" s="40" t="s">
        <v>1180</v>
      </c>
      <c r="O142" s="40" t="s">
        <v>1181</v>
      </c>
      <c r="P142" s="40" t="s">
        <v>1181</v>
      </c>
      <c r="Q142" s="40" t="s">
        <v>1177</v>
      </c>
    </row>
    <row r="143">
      <c r="A143" s="39" t="str">
        <f t="shared" si="1"/>
        <v>6, 13</v>
      </c>
      <c r="B143" s="39" t="s">
        <v>1098</v>
      </c>
      <c r="C143" s="39">
        <v>13.0</v>
      </c>
      <c r="D143" s="40" t="s">
        <v>578</v>
      </c>
      <c r="E143" s="40"/>
      <c r="F143" s="40" t="str">
        <f t="shared" si="2"/>
        <v>WEEDLE</v>
      </c>
      <c r="G143" s="40" t="s">
        <v>1182</v>
      </c>
      <c r="H143" s="40" t="s">
        <v>1183</v>
      </c>
      <c r="I143" s="40" t="s">
        <v>1184</v>
      </c>
      <c r="J143" s="40" t="s">
        <v>1185</v>
      </c>
      <c r="K143" s="40" t="s">
        <v>1183</v>
      </c>
      <c r="L143" s="40" t="s">
        <v>1183</v>
      </c>
      <c r="M143" s="40" t="s">
        <v>1183</v>
      </c>
      <c r="N143" s="40" t="s">
        <v>1186</v>
      </c>
      <c r="O143" s="40" t="s">
        <v>1187</v>
      </c>
      <c r="P143" s="40" t="s">
        <v>1188</v>
      </c>
      <c r="Q143" s="40" t="s">
        <v>1183</v>
      </c>
    </row>
    <row r="144">
      <c r="A144" s="39" t="str">
        <f t="shared" si="1"/>
        <v>6, 14</v>
      </c>
      <c r="B144" s="39" t="s">
        <v>1098</v>
      </c>
      <c r="C144" s="39">
        <v>14.0</v>
      </c>
      <c r="D144" s="40" t="s">
        <v>578</v>
      </c>
      <c r="E144" s="40"/>
      <c r="F144" s="40" t="str">
        <f t="shared" si="2"/>
        <v>KAKUNA</v>
      </c>
      <c r="G144" s="40" t="s">
        <v>1189</v>
      </c>
      <c r="H144" s="40" t="s">
        <v>1190</v>
      </c>
      <c r="I144" s="40" t="s">
        <v>1191</v>
      </c>
      <c r="J144" s="40" t="s">
        <v>1192</v>
      </c>
      <c r="K144" s="40" t="s">
        <v>1190</v>
      </c>
      <c r="L144" s="40" t="s">
        <v>1190</v>
      </c>
      <c r="M144" s="40" t="s">
        <v>1190</v>
      </c>
      <c r="N144" s="40" t="s">
        <v>1193</v>
      </c>
      <c r="O144" s="40" t="s">
        <v>1194</v>
      </c>
      <c r="P144" s="40" t="s">
        <v>1195</v>
      </c>
      <c r="Q144" s="40" t="s">
        <v>1190</v>
      </c>
    </row>
    <row r="145">
      <c r="A145" s="39" t="str">
        <f t="shared" si="1"/>
        <v>6, 15</v>
      </c>
      <c r="B145" s="39" t="s">
        <v>1098</v>
      </c>
      <c r="C145" s="39">
        <v>15.0</v>
      </c>
      <c r="D145" s="40" t="s">
        <v>578</v>
      </c>
      <c r="E145" s="40"/>
      <c r="F145" s="40" t="str">
        <f t="shared" si="2"/>
        <v>BEEDRILL</v>
      </c>
      <c r="G145" s="40" t="s">
        <v>1196</v>
      </c>
      <c r="H145" s="40" t="s">
        <v>1197</v>
      </c>
      <c r="I145" s="40" t="s">
        <v>1198</v>
      </c>
      <c r="J145" s="40" t="s">
        <v>1199</v>
      </c>
      <c r="K145" s="40" t="s">
        <v>1197</v>
      </c>
      <c r="L145" s="40" t="s">
        <v>1197</v>
      </c>
      <c r="M145" s="40" t="s">
        <v>1197</v>
      </c>
      <c r="N145" s="40" t="s">
        <v>1200</v>
      </c>
      <c r="O145" s="40" t="s">
        <v>1201</v>
      </c>
      <c r="P145" s="40" t="s">
        <v>1202</v>
      </c>
      <c r="Q145" s="40" t="s">
        <v>1197</v>
      </c>
    </row>
    <row r="146">
      <c r="A146" s="39" t="str">
        <f t="shared" si="1"/>
        <v>6, 16</v>
      </c>
      <c r="B146" s="39" t="s">
        <v>1098</v>
      </c>
      <c r="C146" s="39">
        <v>16.0</v>
      </c>
      <c r="D146" s="40" t="s">
        <v>578</v>
      </c>
      <c r="E146" s="40"/>
      <c r="F146" s="40" t="str">
        <f t="shared" si="2"/>
        <v>PIDGEY</v>
      </c>
      <c r="G146" s="40" t="s">
        <v>1203</v>
      </c>
      <c r="H146" s="40" t="s">
        <v>1204</v>
      </c>
      <c r="I146" s="40" t="s">
        <v>1205</v>
      </c>
      <c r="J146" s="40" t="s">
        <v>1206</v>
      </c>
      <c r="K146" s="40" t="s">
        <v>1204</v>
      </c>
      <c r="L146" s="40" t="s">
        <v>1204</v>
      </c>
      <c r="M146" s="40" t="s">
        <v>1204</v>
      </c>
      <c r="N146" s="40" t="s">
        <v>1207</v>
      </c>
      <c r="O146" s="40" t="s">
        <v>1208</v>
      </c>
      <c r="P146" s="40" t="s">
        <v>1208</v>
      </c>
      <c r="Q146" s="40" t="s">
        <v>1204</v>
      </c>
    </row>
    <row r="147">
      <c r="A147" s="39" t="str">
        <f t="shared" si="1"/>
        <v>6, 17</v>
      </c>
      <c r="B147" s="39" t="s">
        <v>1098</v>
      </c>
      <c r="C147" s="39">
        <v>17.0</v>
      </c>
      <c r="D147" s="40" t="s">
        <v>578</v>
      </c>
      <c r="E147" s="40"/>
      <c r="F147" s="40" t="str">
        <f t="shared" si="2"/>
        <v>PIDGEOTTO</v>
      </c>
      <c r="G147" s="40" t="s">
        <v>1209</v>
      </c>
      <c r="H147" s="40" t="s">
        <v>1210</v>
      </c>
      <c r="I147" s="40" t="s">
        <v>1211</v>
      </c>
      <c r="J147" s="40" t="s">
        <v>1212</v>
      </c>
      <c r="K147" s="40" t="s">
        <v>1210</v>
      </c>
      <c r="L147" s="40" t="s">
        <v>1210</v>
      </c>
      <c r="M147" s="40" t="s">
        <v>1210</v>
      </c>
      <c r="N147" s="40" t="s">
        <v>1213</v>
      </c>
      <c r="O147" s="40" t="s">
        <v>1214</v>
      </c>
      <c r="P147" s="40" t="s">
        <v>1215</v>
      </c>
      <c r="Q147" s="40" t="s">
        <v>1210</v>
      </c>
    </row>
    <row r="148">
      <c r="A148" s="39" t="str">
        <f t="shared" si="1"/>
        <v>6, 18</v>
      </c>
      <c r="B148" s="39" t="s">
        <v>1098</v>
      </c>
      <c r="C148" s="39">
        <v>18.0</v>
      </c>
      <c r="D148" s="40" t="s">
        <v>578</v>
      </c>
      <c r="E148" s="40"/>
      <c r="F148" s="40" t="str">
        <f t="shared" si="2"/>
        <v>PIDGEOT</v>
      </c>
      <c r="G148" s="40" t="s">
        <v>1216</v>
      </c>
      <c r="H148" s="40" t="s">
        <v>1217</v>
      </c>
      <c r="I148" s="40" t="s">
        <v>1218</v>
      </c>
      <c r="J148" s="40" t="s">
        <v>1219</v>
      </c>
      <c r="K148" s="40" t="s">
        <v>1217</v>
      </c>
      <c r="L148" s="40" t="s">
        <v>1217</v>
      </c>
      <c r="M148" s="40" t="s">
        <v>1217</v>
      </c>
      <c r="N148" s="40" t="s">
        <v>1220</v>
      </c>
      <c r="O148" s="40" t="s">
        <v>1221</v>
      </c>
      <c r="P148" s="40" t="s">
        <v>1222</v>
      </c>
      <c r="Q148" s="40" t="s">
        <v>1217</v>
      </c>
    </row>
    <row r="149">
      <c r="A149" s="39" t="str">
        <f t="shared" si="1"/>
        <v>6, 19</v>
      </c>
      <c r="B149" s="39" t="s">
        <v>1098</v>
      </c>
      <c r="C149" s="39">
        <v>19.0</v>
      </c>
      <c r="D149" s="40" t="s">
        <v>578</v>
      </c>
      <c r="E149" s="40"/>
      <c r="F149" s="40" t="str">
        <f t="shared" si="2"/>
        <v>RATTATA</v>
      </c>
      <c r="G149" s="40" t="s">
        <v>1223</v>
      </c>
      <c r="H149" s="40" t="s">
        <v>1224</v>
      </c>
      <c r="I149" s="40" t="s">
        <v>1224</v>
      </c>
      <c r="J149" s="40" t="s">
        <v>1225</v>
      </c>
      <c r="K149" s="40" t="s">
        <v>1224</v>
      </c>
      <c r="L149" s="40" t="s">
        <v>1224</v>
      </c>
      <c r="M149" s="40" t="s">
        <v>1224</v>
      </c>
      <c r="N149" s="40" t="s">
        <v>1226</v>
      </c>
      <c r="O149" s="40" t="s">
        <v>1227</v>
      </c>
      <c r="P149" s="40" t="s">
        <v>1228</v>
      </c>
      <c r="Q149" s="40" t="s">
        <v>1224</v>
      </c>
    </row>
    <row r="150">
      <c r="A150" s="39" t="str">
        <f t="shared" si="1"/>
        <v>6, 20</v>
      </c>
      <c r="B150" s="39" t="s">
        <v>1098</v>
      </c>
      <c r="C150" s="39">
        <v>20.0</v>
      </c>
      <c r="D150" s="40" t="s">
        <v>578</v>
      </c>
      <c r="E150" s="40"/>
      <c r="F150" s="40" t="str">
        <f t="shared" si="2"/>
        <v>RATICATE</v>
      </c>
      <c r="G150" s="40" t="s">
        <v>1229</v>
      </c>
      <c r="H150" s="40" t="s">
        <v>1230</v>
      </c>
      <c r="I150" s="40" t="s">
        <v>1231</v>
      </c>
      <c r="J150" s="40" t="s">
        <v>1232</v>
      </c>
      <c r="K150" s="40" t="s">
        <v>1230</v>
      </c>
      <c r="L150" s="40" t="s">
        <v>1230</v>
      </c>
      <c r="M150" s="40" t="s">
        <v>1230</v>
      </c>
      <c r="N150" s="40" t="s">
        <v>1233</v>
      </c>
      <c r="O150" s="40" t="s">
        <v>1234</v>
      </c>
      <c r="P150" s="40" t="s">
        <v>1235</v>
      </c>
      <c r="Q150" s="40" t="s">
        <v>1230</v>
      </c>
    </row>
    <row r="151">
      <c r="A151" s="39" t="str">
        <f t="shared" si="1"/>
        <v>6, 21</v>
      </c>
      <c r="B151" s="39" t="s">
        <v>1098</v>
      </c>
      <c r="C151" s="39">
        <v>21.0</v>
      </c>
      <c r="D151" s="40" t="s">
        <v>578</v>
      </c>
      <c r="E151" s="40"/>
      <c r="F151" s="40" t="str">
        <f t="shared" si="2"/>
        <v>SPEAROW</v>
      </c>
      <c r="G151" s="40" t="s">
        <v>1236</v>
      </c>
      <c r="H151" s="40" t="s">
        <v>1237</v>
      </c>
      <c r="I151" s="40" t="s">
        <v>1238</v>
      </c>
      <c r="J151" s="40" t="s">
        <v>1239</v>
      </c>
      <c r="K151" s="40" t="s">
        <v>1237</v>
      </c>
      <c r="L151" s="40" t="s">
        <v>1237</v>
      </c>
      <c r="M151" s="40" t="s">
        <v>1237</v>
      </c>
      <c r="N151" s="40" t="s">
        <v>1240</v>
      </c>
      <c r="O151" s="40" t="s">
        <v>1241</v>
      </c>
      <c r="P151" s="40" t="s">
        <v>1241</v>
      </c>
      <c r="Q151" s="40" t="s">
        <v>1237</v>
      </c>
    </row>
    <row r="152">
      <c r="A152" s="39" t="str">
        <f t="shared" si="1"/>
        <v>6, 22</v>
      </c>
      <c r="B152" s="39" t="s">
        <v>1098</v>
      </c>
      <c r="C152" s="39">
        <v>22.0</v>
      </c>
      <c r="D152" s="40" t="s">
        <v>578</v>
      </c>
      <c r="E152" s="40"/>
      <c r="F152" s="40" t="str">
        <f t="shared" si="2"/>
        <v>FEAROW</v>
      </c>
      <c r="G152" s="40" t="s">
        <v>1242</v>
      </c>
      <c r="H152" s="40" t="s">
        <v>1243</v>
      </c>
      <c r="I152" s="40" t="s">
        <v>1244</v>
      </c>
      <c r="J152" s="40" t="s">
        <v>1245</v>
      </c>
      <c r="K152" s="40" t="s">
        <v>1243</v>
      </c>
      <c r="L152" s="40" t="s">
        <v>1243</v>
      </c>
      <c r="M152" s="40" t="s">
        <v>1243</v>
      </c>
      <c r="N152" s="40" t="s">
        <v>1246</v>
      </c>
      <c r="O152" s="40" t="s">
        <v>1247</v>
      </c>
      <c r="P152" s="40" t="s">
        <v>1247</v>
      </c>
      <c r="Q152" s="40" t="s">
        <v>1243</v>
      </c>
    </row>
    <row r="153">
      <c r="A153" s="39" t="str">
        <f t="shared" si="1"/>
        <v>6, 23</v>
      </c>
      <c r="B153" s="39" t="s">
        <v>1098</v>
      </c>
      <c r="C153" s="39">
        <v>23.0</v>
      </c>
      <c r="D153" s="40" t="s">
        <v>578</v>
      </c>
      <c r="E153" s="40"/>
      <c r="F153" s="40" t="str">
        <f t="shared" si="2"/>
        <v>EKANS</v>
      </c>
      <c r="G153" s="40" t="s">
        <v>1248</v>
      </c>
      <c r="H153" s="40" t="s">
        <v>1249</v>
      </c>
      <c r="I153" s="40" t="s">
        <v>1250</v>
      </c>
      <c r="J153" s="40" t="s">
        <v>1251</v>
      </c>
      <c r="K153" s="40" t="s">
        <v>1249</v>
      </c>
      <c r="L153" s="40" t="s">
        <v>1249</v>
      </c>
      <c r="M153" s="40" t="s">
        <v>1249</v>
      </c>
      <c r="N153" s="40" t="s">
        <v>1252</v>
      </c>
      <c r="O153" s="40" t="s">
        <v>1253</v>
      </c>
      <c r="P153" s="40" t="s">
        <v>1253</v>
      </c>
      <c r="Q153" s="40" t="s">
        <v>1249</v>
      </c>
    </row>
    <row r="154">
      <c r="A154" s="39" t="str">
        <f t="shared" si="1"/>
        <v>6, 24</v>
      </c>
      <c r="B154" s="39" t="s">
        <v>1098</v>
      </c>
      <c r="C154" s="39">
        <v>24.0</v>
      </c>
      <c r="D154" s="40" t="s">
        <v>578</v>
      </c>
      <c r="E154" s="40"/>
      <c r="F154" s="40" t="str">
        <f t="shared" si="2"/>
        <v>ARBOK</v>
      </c>
      <c r="G154" s="40" t="s">
        <v>1254</v>
      </c>
      <c r="H154" s="40" t="s">
        <v>1255</v>
      </c>
      <c r="I154" s="40" t="s">
        <v>1255</v>
      </c>
      <c r="J154" s="40" t="s">
        <v>1255</v>
      </c>
      <c r="K154" s="40" t="s">
        <v>1255</v>
      </c>
      <c r="L154" s="40" t="s">
        <v>1255</v>
      </c>
      <c r="M154" s="40" t="s">
        <v>1255</v>
      </c>
      <c r="N154" s="40" t="s">
        <v>1256</v>
      </c>
      <c r="O154" s="40" t="s">
        <v>1257</v>
      </c>
      <c r="P154" s="40" t="s">
        <v>1257</v>
      </c>
      <c r="Q154" s="40" t="s">
        <v>1255</v>
      </c>
    </row>
    <row r="155">
      <c r="A155" s="39" t="str">
        <f t="shared" si="1"/>
        <v>6, 25</v>
      </c>
      <c r="B155" s="39" t="s">
        <v>1098</v>
      </c>
      <c r="C155" s="39">
        <v>25.0</v>
      </c>
      <c r="D155" s="40" t="s">
        <v>578</v>
      </c>
      <c r="E155" s="40"/>
      <c r="F155" s="40" t="str">
        <f t="shared" si="2"/>
        <v>PIKACHU</v>
      </c>
      <c r="G155" s="40" t="s">
        <v>681</v>
      </c>
      <c r="H155" s="40" t="s">
        <v>1258</v>
      </c>
      <c r="I155" s="40" t="s">
        <v>1258</v>
      </c>
      <c r="J155" s="40" t="s">
        <v>1258</v>
      </c>
      <c r="K155" s="40" t="s">
        <v>1258</v>
      </c>
      <c r="L155" s="40" t="s">
        <v>1258</v>
      </c>
      <c r="M155" s="40" t="s">
        <v>1258</v>
      </c>
      <c r="N155" s="40" t="s">
        <v>687</v>
      </c>
      <c r="O155" s="40" t="s">
        <v>688</v>
      </c>
      <c r="P155" s="40" t="s">
        <v>688</v>
      </c>
      <c r="Q155" s="40" t="s">
        <v>1258</v>
      </c>
    </row>
    <row r="156">
      <c r="A156" s="39" t="str">
        <f t="shared" si="1"/>
        <v>6, 26</v>
      </c>
      <c r="B156" s="39" t="s">
        <v>1098</v>
      </c>
      <c r="C156" s="39">
        <v>26.0</v>
      </c>
      <c r="D156" s="40" t="s">
        <v>578</v>
      </c>
      <c r="E156" s="40"/>
      <c r="F156" s="40" t="str">
        <f t="shared" si="2"/>
        <v>RAICHU</v>
      </c>
      <c r="G156" s="40" t="s">
        <v>1259</v>
      </c>
      <c r="H156" s="40" t="s">
        <v>1260</v>
      </c>
      <c r="I156" s="40" t="s">
        <v>1260</v>
      </c>
      <c r="J156" s="40" t="s">
        <v>1260</v>
      </c>
      <c r="K156" s="40" t="s">
        <v>1260</v>
      </c>
      <c r="L156" s="40" t="s">
        <v>1260</v>
      </c>
      <c r="M156" s="40" t="s">
        <v>1260</v>
      </c>
      <c r="N156" s="40" t="s">
        <v>1261</v>
      </c>
      <c r="O156" s="40" t="s">
        <v>1262</v>
      </c>
      <c r="P156" s="40" t="s">
        <v>1262</v>
      </c>
      <c r="Q156" s="40" t="s">
        <v>1260</v>
      </c>
    </row>
    <row r="157">
      <c r="A157" s="39" t="str">
        <f t="shared" si="1"/>
        <v>6, 27</v>
      </c>
      <c r="B157" s="39" t="s">
        <v>1098</v>
      </c>
      <c r="C157" s="39">
        <v>27.0</v>
      </c>
      <c r="D157" s="40" t="s">
        <v>578</v>
      </c>
      <c r="E157" s="40"/>
      <c r="F157" s="40" t="str">
        <f t="shared" si="2"/>
        <v>SANDSHREW</v>
      </c>
      <c r="G157" s="40" t="s">
        <v>1263</v>
      </c>
      <c r="H157" s="40" t="s">
        <v>1264</v>
      </c>
      <c r="I157" s="40" t="s">
        <v>1265</v>
      </c>
      <c r="J157" s="40" t="s">
        <v>1266</v>
      </c>
      <c r="K157" s="40" t="s">
        <v>1264</v>
      </c>
      <c r="L157" s="40" t="s">
        <v>1264</v>
      </c>
      <c r="M157" s="40" t="s">
        <v>1264</v>
      </c>
      <c r="N157" s="40" t="s">
        <v>1267</v>
      </c>
      <c r="O157" s="40" t="s">
        <v>1268</v>
      </c>
      <c r="P157" s="40" t="s">
        <v>1268</v>
      </c>
      <c r="Q157" s="40" t="s">
        <v>1264</v>
      </c>
    </row>
    <row r="158">
      <c r="A158" s="39" t="str">
        <f t="shared" si="1"/>
        <v>6, 28</v>
      </c>
      <c r="B158" s="39" t="s">
        <v>1098</v>
      </c>
      <c r="C158" s="39">
        <v>28.0</v>
      </c>
      <c r="D158" s="40" t="s">
        <v>578</v>
      </c>
      <c r="E158" s="40"/>
      <c r="F158" s="40" t="str">
        <f t="shared" si="2"/>
        <v>SANDSLASH</v>
      </c>
      <c r="G158" s="40" t="s">
        <v>1269</v>
      </c>
      <c r="H158" s="40" t="s">
        <v>1270</v>
      </c>
      <c r="I158" s="40" t="s">
        <v>1271</v>
      </c>
      <c r="J158" s="40" t="s">
        <v>1272</v>
      </c>
      <c r="K158" s="40" t="s">
        <v>1270</v>
      </c>
      <c r="L158" s="40" t="s">
        <v>1270</v>
      </c>
      <c r="M158" s="40" t="s">
        <v>1270</v>
      </c>
      <c r="N158" s="40" t="s">
        <v>1273</v>
      </c>
      <c r="O158" s="40" t="s">
        <v>1274</v>
      </c>
      <c r="P158" s="40" t="s">
        <v>1274</v>
      </c>
      <c r="Q158" s="40" t="s">
        <v>1270</v>
      </c>
    </row>
    <row r="159">
      <c r="A159" s="39" t="str">
        <f t="shared" si="1"/>
        <v>6, 29</v>
      </c>
      <c r="B159" s="39" t="s">
        <v>1098</v>
      </c>
      <c r="C159" s="39">
        <v>29.0</v>
      </c>
      <c r="D159" s="40" t="s">
        <v>578</v>
      </c>
      <c r="E159" s="40"/>
      <c r="F159" s="40" t="str">
        <f t="shared" si="2"/>
        <v>NIDORAN♀</v>
      </c>
      <c r="G159" s="40" t="s">
        <v>1275</v>
      </c>
      <c r="H159" s="40" t="s">
        <v>1276</v>
      </c>
      <c r="I159" s="40" t="s">
        <v>1276</v>
      </c>
      <c r="J159" s="40" t="s">
        <v>1276</v>
      </c>
      <c r="K159" s="40" t="s">
        <v>1276</v>
      </c>
      <c r="L159" s="40" t="s">
        <v>1276</v>
      </c>
      <c r="M159" s="40" t="s">
        <v>1276</v>
      </c>
      <c r="N159" s="40" t="s">
        <v>1277</v>
      </c>
      <c r="O159" s="40" t="s">
        <v>1278</v>
      </c>
      <c r="P159" s="40" t="s">
        <v>1279</v>
      </c>
      <c r="Q159" s="40" t="s">
        <v>1276</v>
      </c>
    </row>
    <row r="160">
      <c r="A160" s="39" t="str">
        <f t="shared" si="1"/>
        <v>6, 30</v>
      </c>
      <c r="B160" s="39" t="s">
        <v>1098</v>
      </c>
      <c r="C160" s="39">
        <v>30.0</v>
      </c>
      <c r="D160" s="40" t="s">
        <v>578</v>
      </c>
      <c r="E160" s="40"/>
      <c r="F160" s="40" t="str">
        <f t="shared" si="2"/>
        <v>NIDORINA</v>
      </c>
      <c r="G160" s="40" t="s">
        <v>1280</v>
      </c>
      <c r="H160" s="40" t="s">
        <v>1281</v>
      </c>
      <c r="I160" s="40" t="s">
        <v>1281</v>
      </c>
      <c r="J160" s="40" t="s">
        <v>1281</v>
      </c>
      <c r="K160" s="40" t="s">
        <v>1281</v>
      </c>
      <c r="L160" s="40" t="s">
        <v>1281</v>
      </c>
      <c r="M160" s="40" t="s">
        <v>1281</v>
      </c>
      <c r="N160" s="40" t="s">
        <v>1282</v>
      </c>
      <c r="O160" s="40" t="s">
        <v>1283</v>
      </c>
      <c r="P160" s="40" t="s">
        <v>1283</v>
      </c>
      <c r="Q160" s="40" t="s">
        <v>1281</v>
      </c>
    </row>
    <row r="161">
      <c r="A161" s="39" t="str">
        <f t="shared" si="1"/>
        <v>6, 31</v>
      </c>
      <c r="B161" s="39" t="s">
        <v>1098</v>
      </c>
      <c r="C161" s="39">
        <v>31.0</v>
      </c>
      <c r="D161" s="40" t="s">
        <v>578</v>
      </c>
      <c r="E161" s="40"/>
      <c r="F161" s="40" t="str">
        <f t="shared" si="2"/>
        <v>NIDOQUEEN</v>
      </c>
      <c r="G161" s="40" t="s">
        <v>1284</v>
      </c>
      <c r="H161" s="40" t="s">
        <v>1285</v>
      </c>
      <c r="I161" s="40" t="s">
        <v>1285</v>
      </c>
      <c r="J161" s="40" t="s">
        <v>1285</v>
      </c>
      <c r="K161" s="40" t="s">
        <v>1285</v>
      </c>
      <c r="L161" s="40" t="s">
        <v>1285</v>
      </c>
      <c r="M161" s="40" t="s">
        <v>1285</v>
      </c>
      <c r="N161" s="40" t="s">
        <v>1286</v>
      </c>
      <c r="O161" s="40" t="s">
        <v>1287</v>
      </c>
      <c r="P161" s="40" t="s">
        <v>1287</v>
      </c>
      <c r="Q161" s="40" t="s">
        <v>1285</v>
      </c>
    </row>
    <row r="162">
      <c r="A162" s="39" t="str">
        <f t="shared" si="1"/>
        <v>6, 32</v>
      </c>
      <c r="B162" s="39" t="s">
        <v>1098</v>
      </c>
      <c r="C162" s="39">
        <v>32.0</v>
      </c>
      <c r="D162" s="40" t="s">
        <v>578</v>
      </c>
      <c r="E162" s="40"/>
      <c r="F162" s="40" t="str">
        <f t="shared" si="2"/>
        <v>NIDORAN♂</v>
      </c>
      <c r="G162" s="40" t="s">
        <v>1288</v>
      </c>
      <c r="H162" s="40" t="s">
        <v>1289</v>
      </c>
      <c r="I162" s="40" t="s">
        <v>1289</v>
      </c>
      <c r="J162" s="40" t="s">
        <v>1289</v>
      </c>
      <c r="K162" s="40" t="s">
        <v>1289</v>
      </c>
      <c r="L162" s="40" t="s">
        <v>1289</v>
      </c>
      <c r="M162" s="40" t="s">
        <v>1289</v>
      </c>
      <c r="N162" s="40" t="s">
        <v>1290</v>
      </c>
      <c r="O162" s="40" t="s">
        <v>1291</v>
      </c>
      <c r="P162" s="40" t="s">
        <v>1291</v>
      </c>
      <c r="Q162" s="40" t="s">
        <v>1289</v>
      </c>
    </row>
    <row r="163">
      <c r="A163" s="39" t="str">
        <f t="shared" si="1"/>
        <v>6, 33</v>
      </c>
      <c r="B163" s="39" t="s">
        <v>1098</v>
      </c>
      <c r="C163" s="39">
        <v>33.0</v>
      </c>
      <c r="D163" s="40" t="s">
        <v>578</v>
      </c>
      <c r="E163" s="40"/>
      <c r="F163" s="40" t="str">
        <f t="shared" si="2"/>
        <v>NIDORINO</v>
      </c>
      <c r="G163" s="40" t="s">
        <v>1292</v>
      </c>
      <c r="H163" s="40" t="s">
        <v>1293</v>
      </c>
      <c r="I163" s="40" t="s">
        <v>1293</v>
      </c>
      <c r="J163" s="40" t="s">
        <v>1293</v>
      </c>
      <c r="K163" s="40" t="s">
        <v>1293</v>
      </c>
      <c r="L163" s="40" t="s">
        <v>1293</v>
      </c>
      <c r="M163" s="40" t="s">
        <v>1293</v>
      </c>
      <c r="N163" s="40" t="s">
        <v>1294</v>
      </c>
      <c r="O163" s="40" t="s">
        <v>1295</v>
      </c>
      <c r="P163" s="40" t="s">
        <v>1296</v>
      </c>
      <c r="Q163" s="40" t="s">
        <v>1293</v>
      </c>
    </row>
    <row r="164">
      <c r="A164" s="39" t="str">
        <f t="shared" si="1"/>
        <v>6, 34</v>
      </c>
      <c r="B164" s="39" t="s">
        <v>1098</v>
      </c>
      <c r="C164" s="39">
        <v>34.0</v>
      </c>
      <c r="D164" s="40" t="s">
        <v>578</v>
      </c>
      <c r="E164" s="40"/>
      <c r="F164" s="40" t="str">
        <f t="shared" si="2"/>
        <v>NIDOKING</v>
      </c>
      <c r="G164" s="40" t="s">
        <v>1297</v>
      </c>
      <c r="H164" s="40" t="s">
        <v>1298</v>
      </c>
      <c r="I164" s="40" t="s">
        <v>1298</v>
      </c>
      <c r="J164" s="40" t="s">
        <v>1298</v>
      </c>
      <c r="K164" s="40" t="s">
        <v>1298</v>
      </c>
      <c r="L164" s="40" t="s">
        <v>1298</v>
      </c>
      <c r="M164" s="40" t="s">
        <v>1298</v>
      </c>
      <c r="N164" s="40" t="s">
        <v>1299</v>
      </c>
      <c r="O164" s="40" t="s">
        <v>1300</v>
      </c>
      <c r="P164" s="40" t="s">
        <v>1300</v>
      </c>
      <c r="Q164" s="40" t="s">
        <v>1298</v>
      </c>
    </row>
    <row r="165">
      <c r="A165" s="39" t="str">
        <f t="shared" si="1"/>
        <v>6, 35</v>
      </c>
      <c r="B165" s="39" t="s">
        <v>1098</v>
      </c>
      <c r="C165" s="39">
        <v>35.0</v>
      </c>
      <c r="D165" s="40" t="s">
        <v>578</v>
      </c>
      <c r="E165" s="40"/>
      <c r="F165" s="40" t="str">
        <f t="shared" si="2"/>
        <v>CLEFAIRY</v>
      </c>
      <c r="G165" s="40" t="s">
        <v>1301</v>
      </c>
      <c r="H165" s="40" t="s">
        <v>1302</v>
      </c>
      <c r="I165" s="40" t="s">
        <v>1303</v>
      </c>
      <c r="J165" s="40" t="s">
        <v>1304</v>
      </c>
      <c r="K165" s="40" t="s">
        <v>1302</v>
      </c>
      <c r="L165" s="40" t="s">
        <v>1302</v>
      </c>
      <c r="M165" s="40" t="s">
        <v>1302</v>
      </c>
      <c r="N165" s="40" t="s">
        <v>1305</v>
      </c>
      <c r="O165" s="40" t="s">
        <v>1306</v>
      </c>
      <c r="P165" s="40" t="s">
        <v>1306</v>
      </c>
      <c r="Q165" s="40" t="s">
        <v>1302</v>
      </c>
    </row>
    <row r="166">
      <c r="A166" s="39" t="str">
        <f t="shared" si="1"/>
        <v>6, 36</v>
      </c>
      <c r="B166" s="39" t="s">
        <v>1098</v>
      </c>
      <c r="C166" s="39">
        <v>36.0</v>
      </c>
      <c r="D166" s="40" t="s">
        <v>578</v>
      </c>
      <c r="E166" s="40"/>
      <c r="F166" s="40" t="str">
        <f t="shared" si="2"/>
        <v>CLEFABLE</v>
      </c>
      <c r="G166" s="40" t="s">
        <v>1307</v>
      </c>
      <c r="H166" s="40" t="s">
        <v>1308</v>
      </c>
      <c r="I166" s="40" t="s">
        <v>1309</v>
      </c>
      <c r="J166" s="40" t="s">
        <v>1310</v>
      </c>
      <c r="K166" s="40" t="s">
        <v>1308</v>
      </c>
      <c r="L166" s="40" t="s">
        <v>1308</v>
      </c>
      <c r="M166" s="40" t="s">
        <v>1308</v>
      </c>
      <c r="N166" s="40" t="s">
        <v>1311</v>
      </c>
      <c r="O166" s="40" t="s">
        <v>1312</v>
      </c>
      <c r="P166" s="40" t="s">
        <v>1312</v>
      </c>
      <c r="Q166" s="40" t="s">
        <v>1308</v>
      </c>
    </row>
    <row r="167">
      <c r="A167" s="39" t="str">
        <f t="shared" si="1"/>
        <v>6, 37</v>
      </c>
      <c r="B167" s="39" t="s">
        <v>1098</v>
      </c>
      <c r="C167" s="39">
        <v>37.0</v>
      </c>
      <c r="D167" s="40" t="s">
        <v>578</v>
      </c>
      <c r="E167" s="40"/>
      <c r="F167" s="40" t="str">
        <f t="shared" si="2"/>
        <v>VULPIX</v>
      </c>
      <c r="G167" s="40" t="s">
        <v>1313</v>
      </c>
      <c r="H167" s="40" t="s">
        <v>1314</v>
      </c>
      <c r="I167" s="40" t="s">
        <v>1315</v>
      </c>
      <c r="J167" s="40" t="s">
        <v>1314</v>
      </c>
      <c r="K167" s="40" t="s">
        <v>1314</v>
      </c>
      <c r="L167" s="40" t="s">
        <v>1314</v>
      </c>
      <c r="M167" s="40" t="s">
        <v>1314</v>
      </c>
      <c r="N167" s="40" t="s">
        <v>1316</v>
      </c>
      <c r="O167" s="40" t="s">
        <v>1317</v>
      </c>
      <c r="P167" s="40" t="s">
        <v>1317</v>
      </c>
      <c r="Q167" s="40" t="s">
        <v>1314</v>
      </c>
    </row>
    <row r="168">
      <c r="A168" s="39" t="str">
        <f t="shared" si="1"/>
        <v>6, 38</v>
      </c>
      <c r="B168" s="39" t="s">
        <v>1098</v>
      </c>
      <c r="C168" s="39">
        <v>38.0</v>
      </c>
      <c r="D168" s="40" t="s">
        <v>578</v>
      </c>
      <c r="E168" s="40"/>
      <c r="F168" s="40" t="str">
        <f t="shared" si="2"/>
        <v>NINETALES</v>
      </c>
      <c r="G168" s="40" t="s">
        <v>1318</v>
      </c>
      <c r="H168" s="40" t="s">
        <v>1319</v>
      </c>
      <c r="I168" s="40" t="s">
        <v>1320</v>
      </c>
      <c r="J168" s="40" t="s">
        <v>1321</v>
      </c>
      <c r="K168" s="40" t="s">
        <v>1319</v>
      </c>
      <c r="L168" s="40" t="s">
        <v>1319</v>
      </c>
      <c r="M168" s="40" t="s">
        <v>1319</v>
      </c>
      <c r="N168" s="40" t="s">
        <v>1322</v>
      </c>
      <c r="O168" s="40" t="s">
        <v>1323</v>
      </c>
      <c r="P168" s="40" t="s">
        <v>1323</v>
      </c>
      <c r="Q168" s="40" t="s">
        <v>1319</v>
      </c>
    </row>
    <row r="169">
      <c r="A169" s="39" t="str">
        <f t="shared" si="1"/>
        <v>6, 39</v>
      </c>
      <c r="B169" s="39" t="s">
        <v>1098</v>
      </c>
      <c r="C169" s="39">
        <v>39.0</v>
      </c>
      <c r="D169" s="40" t="s">
        <v>578</v>
      </c>
      <c r="E169" s="40"/>
      <c r="F169" s="40" t="str">
        <f t="shared" si="2"/>
        <v>JIGGLYPUFF</v>
      </c>
      <c r="G169" s="40" t="s">
        <v>1324</v>
      </c>
      <c r="H169" s="40" t="s">
        <v>1325</v>
      </c>
      <c r="I169" s="40" t="s">
        <v>1326</v>
      </c>
      <c r="J169" s="40" t="s">
        <v>1327</v>
      </c>
      <c r="K169" s="40" t="s">
        <v>1325</v>
      </c>
      <c r="L169" s="40" t="s">
        <v>1325</v>
      </c>
      <c r="M169" s="40" t="s">
        <v>1325</v>
      </c>
      <c r="N169" s="40" t="s">
        <v>1328</v>
      </c>
      <c r="O169" s="40" t="s">
        <v>1329</v>
      </c>
      <c r="P169" s="40" t="s">
        <v>1329</v>
      </c>
      <c r="Q169" s="40" t="s">
        <v>1325</v>
      </c>
    </row>
    <row r="170">
      <c r="A170" s="39" t="str">
        <f t="shared" si="1"/>
        <v>6, 40</v>
      </c>
      <c r="B170" s="39" t="s">
        <v>1098</v>
      </c>
      <c r="C170" s="39">
        <v>40.0</v>
      </c>
      <c r="D170" s="40" t="s">
        <v>578</v>
      </c>
      <c r="E170" s="40"/>
      <c r="F170" s="40" t="str">
        <f t="shared" si="2"/>
        <v>WIGGLYTUFF</v>
      </c>
      <c r="G170" s="40" t="s">
        <v>1330</v>
      </c>
      <c r="H170" s="40" t="s">
        <v>1331</v>
      </c>
      <c r="I170" s="40" t="s">
        <v>1332</v>
      </c>
      <c r="J170" s="40" t="s">
        <v>1333</v>
      </c>
      <c r="K170" s="40" t="s">
        <v>1331</v>
      </c>
      <c r="L170" s="40" t="s">
        <v>1331</v>
      </c>
      <c r="M170" s="40" t="s">
        <v>1331</v>
      </c>
      <c r="N170" s="40" t="s">
        <v>1334</v>
      </c>
      <c r="O170" s="40" t="s">
        <v>1335</v>
      </c>
      <c r="P170" s="40" t="s">
        <v>1335</v>
      </c>
      <c r="Q170" s="40" t="s">
        <v>1331</v>
      </c>
    </row>
    <row r="171">
      <c r="A171" s="39" t="str">
        <f t="shared" si="1"/>
        <v>6, 41</v>
      </c>
      <c r="B171" s="39" t="s">
        <v>1098</v>
      </c>
      <c r="C171" s="39">
        <v>41.0</v>
      </c>
      <c r="D171" s="40" t="s">
        <v>578</v>
      </c>
      <c r="E171" s="40"/>
      <c r="F171" s="40" t="str">
        <f t="shared" si="2"/>
        <v>ZUBAT</v>
      </c>
      <c r="G171" s="40" t="s">
        <v>1336</v>
      </c>
      <c r="H171" s="40" t="s">
        <v>1337</v>
      </c>
      <c r="I171" s="40" t="s">
        <v>1338</v>
      </c>
      <c r="J171" s="40" t="s">
        <v>1337</v>
      </c>
      <c r="K171" s="40" t="s">
        <v>1337</v>
      </c>
      <c r="L171" s="40" t="s">
        <v>1337</v>
      </c>
      <c r="M171" s="40" t="s">
        <v>1337</v>
      </c>
      <c r="N171" s="40" t="s">
        <v>1339</v>
      </c>
      <c r="O171" s="40" t="s">
        <v>1340</v>
      </c>
      <c r="P171" s="40" t="s">
        <v>1340</v>
      </c>
      <c r="Q171" s="40" t="s">
        <v>1337</v>
      </c>
    </row>
    <row r="172">
      <c r="A172" s="39" t="str">
        <f t="shared" si="1"/>
        <v>6, 42</v>
      </c>
      <c r="B172" s="39" t="s">
        <v>1098</v>
      </c>
      <c r="C172" s="39">
        <v>42.0</v>
      </c>
      <c r="D172" s="40" t="s">
        <v>578</v>
      </c>
      <c r="E172" s="40"/>
      <c r="F172" s="40" t="str">
        <f t="shared" si="2"/>
        <v>GOLBAT</v>
      </c>
      <c r="G172" s="40" t="s">
        <v>1341</v>
      </c>
      <c r="H172" s="40" t="s">
        <v>1342</v>
      </c>
      <c r="I172" s="40" t="s">
        <v>1343</v>
      </c>
      <c r="J172" s="40" t="s">
        <v>1342</v>
      </c>
      <c r="K172" s="40" t="s">
        <v>1342</v>
      </c>
      <c r="L172" s="40" t="s">
        <v>1342</v>
      </c>
      <c r="M172" s="40" t="s">
        <v>1342</v>
      </c>
      <c r="N172" s="40" t="s">
        <v>1344</v>
      </c>
      <c r="O172" s="40" t="s">
        <v>1345</v>
      </c>
      <c r="P172" s="40" t="s">
        <v>1345</v>
      </c>
      <c r="Q172" s="40" t="s">
        <v>1342</v>
      </c>
    </row>
    <row r="173">
      <c r="A173" s="39" t="str">
        <f t="shared" si="1"/>
        <v>6, 43</v>
      </c>
      <c r="B173" s="39" t="s">
        <v>1098</v>
      </c>
      <c r="C173" s="39">
        <v>43.0</v>
      </c>
      <c r="D173" s="40" t="s">
        <v>578</v>
      </c>
      <c r="E173" s="40"/>
      <c r="F173" s="40" t="str">
        <f t="shared" si="2"/>
        <v>ODDISH</v>
      </c>
      <c r="G173" s="40" t="s">
        <v>1346</v>
      </c>
      <c r="H173" s="40" t="s">
        <v>1347</v>
      </c>
      <c r="I173" s="40" t="s">
        <v>1348</v>
      </c>
      <c r="J173" s="40" t="s">
        <v>1349</v>
      </c>
      <c r="K173" s="40" t="s">
        <v>1347</v>
      </c>
      <c r="L173" s="40" t="s">
        <v>1347</v>
      </c>
      <c r="M173" s="40" t="s">
        <v>1347</v>
      </c>
      <c r="N173" s="40" t="s">
        <v>1350</v>
      </c>
      <c r="O173" s="40" t="s">
        <v>1351</v>
      </c>
      <c r="P173" s="40" t="s">
        <v>1351</v>
      </c>
      <c r="Q173" s="40" t="s">
        <v>1347</v>
      </c>
    </row>
    <row r="174">
      <c r="A174" s="39" t="str">
        <f t="shared" si="1"/>
        <v>6, 44</v>
      </c>
      <c r="B174" s="39" t="s">
        <v>1098</v>
      </c>
      <c r="C174" s="39">
        <v>44.0</v>
      </c>
      <c r="D174" s="40" t="s">
        <v>578</v>
      </c>
      <c r="E174" s="40"/>
      <c r="F174" s="40" t="str">
        <f t="shared" si="2"/>
        <v>GLOOM</v>
      </c>
      <c r="G174" s="40" t="s">
        <v>1352</v>
      </c>
      <c r="H174" s="40" t="s">
        <v>1353</v>
      </c>
      <c r="I174" s="40" t="s">
        <v>1354</v>
      </c>
      <c r="J174" s="40" t="s">
        <v>1355</v>
      </c>
      <c r="K174" s="40" t="s">
        <v>1353</v>
      </c>
      <c r="L174" s="40" t="s">
        <v>1353</v>
      </c>
      <c r="M174" s="40" t="s">
        <v>1353</v>
      </c>
      <c r="N174" s="40" t="s">
        <v>1356</v>
      </c>
      <c r="O174" s="40" t="s">
        <v>1357</v>
      </c>
      <c r="P174" s="40" t="s">
        <v>1357</v>
      </c>
      <c r="Q174" s="40" t="s">
        <v>1353</v>
      </c>
    </row>
    <row r="175">
      <c r="A175" s="39" t="str">
        <f t="shared" si="1"/>
        <v>6, 45</v>
      </c>
      <c r="B175" s="39" t="s">
        <v>1098</v>
      </c>
      <c r="C175" s="39">
        <v>45.0</v>
      </c>
      <c r="D175" s="40" t="s">
        <v>578</v>
      </c>
      <c r="E175" s="40"/>
      <c r="F175" s="40" t="str">
        <f t="shared" si="2"/>
        <v>VILEPLUME</v>
      </c>
      <c r="G175" s="40" t="s">
        <v>1358</v>
      </c>
      <c r="H175" s="40" t="s">
        <v>1359</v>
      </c>
      <c r="I175" s="40" t="s">
        <v>1360</v>
      </c>
      <c r="J175" s="40" t="s">
        <v>1361</v>
      </c>
      <c r="K175" s="40" t="s">
        <v>1359</v>
      </c>
      <c r="L175" s="40" t="s">
        <v>1359</v>
      </c>
      <c r="M175" s="40" t="s">
        <v>1359</v>
      </c>
      <c r="N175" s="40" t="s">
        <v>1362</v>
      </c>
      <c r="O175" s="40" t="s">
        <v>1363</v>
      </c>
      <c r="P175" s="40" t="s">
        <v>1363</v>
      </c>
      <c r="Q175" s="40" t="s">
        <v>1359</v>
      </c>
    </row>
    <row r="176">
      <c r="A176" s="39" t="str">
        <f t="shared" si="1"/>
        <v>6, 46</v>
      </c>
      <c r="B176" s="39" t="s">
        <v>1098</v>
      </c>
      <c r="C176" s="39">
        <v>46.0</v>
      </c>
      <c r="D176" s="40" t="s">
        <v>578</v>
      </c>
      <c r="E176" s="40"/>
      <c r="F176" s="40" t="str">
        <f t="shared" si="2"/>
        <v>PARAS</v>
      </c>
      <c r="G176" s="40" t="s">
        <v>1364</v>
      </c>
      <c r="H176" s="40" t="s">
        <v>1365</v>
      </c>
      <c r="I176" s="40" t="s">
        <v>1365</v>
      </c>
      <c r="J176" s="40" t="s">
        <v>1365</v>
      </c>
      <c r="K176" s="40" t="s">
        <v>1365</v>
      </c>
      <c r="L176" s="40" t="s">
        <v>1365</v>
      </c>
      <c r="M176" s="40" t="s">
        <v>1365</v>
      </c>
      <c r="N176" s="40" t="s">
        <v>1366</v>
      </c>
      <c r="O176" s="40" t="s">
        <v>1367</v>
      </c>
      <c r="P176" s="40" t="s">
        <v>1367</v>
      </c>
      <c r="Q176" s="40" t="s">
        <v>1365</v>
      </c>
    </row>
    <row r="177">
      <c r="A177" s="39" t="str">
        <f t="shared" si="1"/>
        <v>6, 47</v>
      </c>
      <c r="B177" s="39" t="s">
        <v>1098</v>
      </c>
      <c r="C177" s="39">
        <v>47.0</v>
      </c>
      <c r="D177" s="40" t="s">
        <v>578</v>
      </c>
      <c r="E177" s="40"/>
      <c r="F177" s="40" t="str">
        <f t="shared" si="2"/>
        <v>PARASECT</v>
      </c>
      <c r="G177" s="40" t="s">
        <v>1368</v>
      </c>
      <c r="H177" s="40" t="s">
        <v>1369</v>
      </c>
      <c r="I177" s="40" t="s">
        <v>1369</v>
      </c>
      <c r="J177" s="40" t="s">
        <v>1370</v>
      </c>
      <c r="K177" s="40" t="s">
        <v>1369</v>
      </c>
      <c r="L177" s="40" t="s">
        <v>1369</v>
      </c>
      <c r="M177" s="40" t="s">
        <v>1369</v>
      </c>
      <c r="N177" s="40" t="s">
        <v>1371</v>
      </c>
      <c r="O177" s="40" t="s">
        <v>1372</v>
      </c>
      <c r="P177" s="40" t="s">
        <v>1372</v>
      </c>
      <c r="Q177" s="40" t="s">
        <v>1369</v>
      </c>
    </row>
    <row r="178">
      <c r="A178" s="39" t="str">
        <f t="shared" si="1"/>
        <v>6, 48</v>
      </c>
      <c r="B178" s="39" t="s">
        <v>1098</v>
      </c>
      <c r="C178" s="39">
        <v>48.0</v>
      </c>
      <c r="D178" s="40" t="s">
        <v>578</v>
      </c>
      <c r="E178" s="40"/>
      <c r="F178" s="40" t="str">
        <f t="shared" si="2"/>
        <v>VENONAT</v>
      </c>
      <c r="G178" s="40" t="s">
        <v>1373</v>
      </c>
      <c r="H178" s="40" t="s">
        <v>1374</v>
      </c>
      <c r="I178" s="40" t="s">
        <v>1375</v>
      </c>
      <c r="J178" s="40" t="s">
        <v>1376</v>
      </c>
      <c r="K178" s="40" t="s">
        <v>1374</v>
      </c>
      <c r="L178" s="40" t="s">
        <v>1374</v>
      </c>
      <c r="M178" s="40" t="s">
        <v>1374</v>
      </c>
      <c r="N178" s="40" t="s">
        <v>1377</v>
      </c>
      <c r="O178" s="40" t="s">
        <v>1378</v>
      </c>
      <c r="P178" s="40" t="s">
        <v>1378</v>
      </c>
      <c r="Q178" s="40" t="s">
        <v>1374</v>
      </c>
    </row>
    <row r="179">
      <c r="A179" s="39" t="str">
        <f t="shared" si="1"/>
        <v>6, 49</v>
      </c>
      <c r="B179" s="39" t="s">
        <v>1098</v>
      </c>
      <c r="C179" s="39">
        <v>49.0</v>
      </c>
      <c r="D179" s="40" t="s">
        <v>578</v>
      </c>
      <c r="E179" s="40"/>
      <c r="F179" s="40" t="str">
        <f t="shared" si="2"/>
        <v>VENOMOTH</v>
      </c>
      <c r="G179" s="40" t="s">
        <v>1379</v>
      </c>
      <c r="H179" s="40" t="s">
        <v>1380</v>
      </c>
      <c r="I179" s="40" t="s">
        <v>1381</v>
      </c>
      <c r="J179" s="40" t="s">
        <v>1382</v>
      </c>
      <c r="K179" s="40" t="s">
        <v>1380</v>
      </c>
      <c r="L179" s="40" t="s">
        <v>1380</v>
      </c>
      <c r="M179" s="40" t="s">
        <v>1380</v>
      </c>
      <c r="N179" s="40" t="s">
        <v>1383</v>
      </c>
      <c r="O179" s="40" t="s">
        <v>1384</v>
      </c>
      <c r="P179" s="40" t="s">
        <v>1385</v>
      </c>
      <c r="Q179" s="40" t="s">
        <v>1380</v>
      </c>
    </row>
    <row r="180">
      <c r="A180" s="39" t="str">
        <f t="shared" si="1"/>
        <v>6, 50</v>
      </c>
      <c r="B180" s="39" t="s">
        <v>1098</v>
      </c>
      <c r="C180" s="39">
        <v>50.0</v>
      </c>
      <c r="D180" s="40" t="s">
        <v>578</v>
      </c>
      <c r="E180" s="40"/>
      <c r="F180" s="40" t="str">
        <f t="shared" si="2"/>
        <v>DIGLETT</v>
      </c>
      <c r="G180" s="40" t="s">
        <v>1386</v>
      </c>
      <c r="H180" s="40" t="s">
        <v>1387</v>
      </c>
      <c r="I180" s="40" t="s">
        <v>1388</v>
      </c>
      <c r="J180" s="40" t="s">
        <v>1389</v>
      </c>
      <c r="K180" s="40" t="s">
        <v>1387</v>
      </c>
      <c r="L180" s="40" t="s">
        <v>1387</v>
      </c>
      <c r="M180" s="40" t="s">
        <v>1387</v>
      </c>
      <c r="N180" s="40" t="s">
        <v>1390</v>
      </c>
      <c r="O180" s="40" t="s">
        <v>1391</v>
      </c>
      <c r="P180" s="40" t="s">
        <v>1391</v>
      </c>
      <c r="Q180" s="40" t="s">
        <v>1387</v>
      </c>
    </row>
    <row r="181">
      <c r="A181" s="39" t="str">
        <f t="shared" si="1"/>
        <v>6, 51</v>
      </c>
      <c r="B181" s="39" t="s">
        <v>1098</v>
      </c>
      <c r="C181" s="39">
        <v>51.0</v>
      </c>
      <c r="D181" s="40" t="s">
        <v>578</v>
      </c>
      <c r="E181" s="40"/>
      <c r="F181" s="40" t="str">
        <f t="shared" si="2"/>
        <v>DUGTRIO</v>
      </c>
      <c r="G181" s="40" t="s">
        <v>1392</v>
      </c>
      <c r="H181" s="40" t="s">
        <v>1393</v>
      </c>
      <c r="I181" s="40" t="s">
        <v>1394</v>
      </c>
      <c r="J181" s="40" t="s">
        <v>1395</v>
      </c>
      <c r="K181" s="40" t="s">
        <v>1393</v>
      </c>
      <c r="L181" s="40" t="s">
        <v>1393</v>
      </c>
      <c r="M181" s="40" t="s">
        <v>1393</v>
      </c>
      <c r="N181" s="40" t="s">
        <v>1396</v>
      </c>
      <c r="O181" s="40" t="s">
        <v>1397</v>
      </c>
      <c r="P181" s="40" t="s">
        <v>1397</v>
      </c>
      <c r="Q181" s="40" t="s">
        <v>1393</v>
      </c>
    </row>
    <row r="182">
      <c r="A182" s="39" t="str">
        <f t="shared" si="1"/>
        <v>6, 52</v>
      </c>
      <c r="B182" s="39" t="s">
        <v>1098</v>
      </c>
      <c r="C182" s="39">
        <v>52.0</v>
      </c>
      <c r="D182" s="40" t="s">
        <v>578</v>
      </c>
      <c r="E182" s="40"/>
      <c r="F182" s="40" t="str">
        <f t="shared" si="2"/>
        <v>MEOWTH</v>
      </c>
      <c r="G182" s="40" t="s">
        <v>1398</v>
      </c>
      <c r="H182" s="40" t="s">
        <v>1399</v>
      </c>
      <c r="I182" s="40" t="s">
        <v>1400</v>
      </c>
      <c r="J182" s="40" t="s">
        <v>1401</v>
      </c>
      <c r="K182" s="40" t="s">
        <v>1399</v>
      </c>
      <c r="L182" s="40" t="s">
        <v>1399</v>
      </c>
      <c r="M182" s="40" t="s">
        <v>1399</v>
      </c>
      <c r="N182" s="40" t="s">
        <v>1402</v>
      </c>
      <c r="O182" s="40" t="s">
        <v>1403</v>
      </c>
      <c r="P182" s="40" t="s">
        <v>1403</v>
      </c>
      <c r="Q182" s="40" t="s">
        <v>1399</v>
      </c>
    </row>
    <row r="183">
      <c r="A183" s="39" t="str">
        <f t="shared" si="1"/>
        <v>6, 53</v>
      </c>
      <c r="B183" s="39" t="s">
        <v>1098</v>
      </c>
      <c r="C183" s="39">
        <v>53.0</v>
      </c>
      <c r="D183" s="40" t="s">
        <v>578</v>
      </c>
      <c r="E183" s="40"/>
      <c r="F183" s="40" t="str">
        <f t="shared" si="2"/>
        <v>PERSIAN</v>
      </c>
      <c r="G183" s="40" t="s">
        <v>1404</v>
      </c>
      <c r="H183" s="40" t="s">
        <v>1405</v>
      </c>
      <c r="I183" s="40" t="s">
        <v>1405</v>
      </c>
      <c r="J183" s="40" t="s">
        <v>1406</v>
      </c>
      <c r="K183" s="40" t="s">
        <v>1405</v>
      </c>
      <c r="L183" s="40" t="s">
        <v>1405</v>
      </c>
      <c r="M183" s="40" t="s">
        <v>1405</v>
      </c>
      <c r="N183" s="40" t="s">
        <v>1407</v>
      </c>
      <c r="O183" s="40" t="s">
        <v>1408</v>
      </c>
      <c r="P183" s="40" t="s">
        <v>1409</v>
      </c>
      <c r="Q183" s="40" t="s">
        <v>1405</v>
      </c>
    </row>
    <row r="184">
      <c r="A184" s="39" t="str">
        <f t="shared" si="1"/>
        <v>6, 54</v>
      </c>
      <c r="B184" s="39" t="s">
        <v>1098</v>
      </c>
      <c r="C184" s="39">
        <v>54.0</v>
      </c>
      <c r="D184" s="40" t="s">
        <v>578</v>
      </c>
      <c r="E184" s="40"/>
      <c r="F184" s="40" t="str">
        <f t="shared" si="2"/>
        <v>PSYDUCK</v>
      </c>
      <c r="G184" s="40" t="s">
        <v>1410</v>
      </c>
      <c r="H184" s="40" t="s">
        <v>1411</v>
      </c>
      <c r="I184" s="40" t="s">
        <v>1412</v>
      </c>
      <c r="J184" s="40" t="s">
        <v>1413</v>
      </c>
      <c r="K184" s="40" t="s">
        <v>1411</v>
      </c>
      <c r="L184" s="40" t="s">
        <v>1411</v>
      </c>
      <c r="M184" s="40" t="s">
        <v>1411</v>
      </c>
      <c r="N184" s="40" t="s">
        <v>1414</v>
      </c>
      <c r="O184" s="40" t="s">
        <v>1415</v>
      </c>
      <c r="P184" s="40" t="s">
        <v>1416</v>
      </c>
      <c r="Q184" s="40" t="s">
        <v>1411</v>
      </c>
    </row>
    <row r="185">
      <c r="A185" s="39" t="str">
        <f t="shared" si="1"/>
        <v>6, 55</v>
      </c>
      <c r="B185" s="39" t="s">
        <v>1098</v>
      </c>
      <c r="C185" s="39">
        <v>55.0</v>
      </c>
      <c r="D185" s="40" t="s">
        <v>578</v>
      </c>
      <c r="E185" s="40"/>
      <c r="F185" s="40" t="str">
        <f t="shared" si="2"/>
        <v>GOLDUCK</v>
      </c>
      <c r="G185" s="40" t="s">
        <v>1417</v>
      </c>
      <c r="H185" s="40" t="s">
        <v>1418</v>
      </c>
      <c r="I185" s="40" t="s">
        <v>1419</v>
      </c>
      <c r="J185" s="40" t="s">
        <v>1420</v>
      </c>
      <c r="K185" s="40" t="s">
        <v>1418</v>
      </c>
      <c r="L185" s="40" t="s">
        <v>1418</v>
      </c>
      <c r="M185" s="40" t="s">
        <v>1418</v>
      </c>
      <c r="N185" s="40" t="s">
        <v>1421</v>
      </c>
      <c r="O185" s="40" t="s">
        <v>1422</v>
      </c>
      <c r="P185" s="40" t="s">
        <v>1423</v>
      </c>
      <c r="Q185" s="40" t="s">
        <v>1418</v>
      </c>
    </row>
    <row r="186">
      <c r="A186" s="39" t="str">
        <f t="shared" si="1"/>
        <v>6, 56</v>
      </c>
      <c r="B186" s="39" t="s">
        <v>1098</v>
      </c>
      <c r="C186" s="39">
        <v>56.0</v>
      </c>
      <c r="D186" s="40" t="s">
        <v>578</v>
      </c>
      <c r="E186" s="40"/>
      <c r="F186" s="40" t="str">
        <f t="shared" si="2"/>
        <v>MANKEY</v>
      </c>
      <c r="G186" s="40" t="s">
        <v>1424</v>
      </c>
      <c r="H186" s="40" t="s">
        <v>1425</v>
      </c>
      <c r="I186" s="40" t="s">
        <v>1426</v>
      </c>
      <c r="J186" s="40" t="s">
        <v>1427</v>
      </c>
      <c r="K186" s="40" t="s">
        <v>1425</v>
      </c>
      <c r="L186" s="40" t="s">
        <v>1425</v>
      </c>
      <c r="M186" s="40" t="s">
        <v>1425</v>
      </c>
      <c r="N186" s="40" t="s">
        <v>1428</v>
      </c>
      <c r="O186" s="40" t="s">
        <v>1429</v>
      </c>
      <c r="P186" s="40" t="s">
        <v>1429</v>
      </c>
      <c r="Q186" s="40" t="s">
        <v>1425</v>
      </c>
    </row>
    <row r="187">
      <c r="A187" s="39" t="str">
        <f t="shared" si="1"/>
        <v>6, 57</v>
      </c>
      <c r="B187" s="39" t="s">
        <v>1098</v>
      </c>
      <c r="C187" s="39">
        <v>57.0</v>
      </c>
      <c r="D187" s="40" t="s">
        <v>578</v>
      </c>
      <c r="E187" s="40"/>
      <c r="F187" s="40" t="str">
        <f t="shared" si="2"/>
        <v>PRIMEAPE</v>
      </c>
      <c r="G187" s="40" t="s">
        <v>1430</v>
      </c>
      <c r="H187" s="40" t="s">
        <v>1431</v>
      </c>
      <c r="I187" s="40" t="s">
        <v>1432</v>
      </c>
      <c r="J187" s="40" t="s">
        <v>1433</v>
      </c>
      <c r="K187" s="40" t="s">
        <v>1431</v>
      </c>
      <c r="L187" s="40" t="s">
        <v>1431</v>
      </c>
      <c r="M187" s="40" t="s">
        <v>1431</v>
      </c>
      <c r="N187" s="40" t="s">
        <v>1434</v>
      </c>
      <c r="O187" s="40" t="s">
        <v>1435</v>
      </c>
      <c r="P187" s="40" t="s">
        <v>1436</v>
      </c>
      <c r="Q187" s="40" t="s">
        <v>1431</v>
      </c>
    </row>
    <row r="188">
      <c r="A188" s="39" t="str">
        <f t="shared" si="1"/>
        <v>6, 58</v>
      </c>
      <c r="B188" s="39" t="s">
        <v>1098</v>
      </c>
      <c r="C188" s="39">
        <v>58.0</v>
      </c>
      <c r="D188" s="40" t="s">
        <v>578</v>
      </c>
      <c r="E188" s="40"/>
      <c r="F188" s="40" t="str">
        <f t="shared" si="2"/>
        <v>GROWLITHE</v>
      </c>
      <c r="G188" s="40" t="s">
        <v>1437</v>
      </c>
      <c r="H188" s="40" t="s">
        <v>1438</v>
      </c>
      <c r="I188" s="40" t="s">
        <v>1439</v>
      </c>
      <c r="J188" s="40" t="s">
        <v>1440</v>
      </c>
      <c r="K188" s="40" t="s">
        <v>1438</v>
      </c>
      <c r="L188" s="40" t="s">
        <v>1438</v>
      </c>
      <c r="M188" s="40" t="s">
        <v>1438</v>
      </c>
      <c r="N188" s="40" t="s">
        <v>1441</v>
      </c>
      <c r="O188" s="40" t="s">
        <v>1442</v>
      </c>
      <c r="P188" s="40" t="s">
        <v>1442</v>
      </c>
      <c r="Q188" s="40" t="s">
        <v>1438</v>
      </c>
    </row>
    <row r="189">
      <c r="A189" s="39" t="str">
        <f t="shared" si="1"/>
        <v>6, 59</v>
      </c>
      <c r="B189" s="39" t="s">
        <v>1098</v>
      </c>
      <c r="C189" s="39">
        <v>59.0</v>
      </c>
      <c r="D189" s="40" t="s">
        <v>578</v>
      </c>
      <c r="E189" s="40"/>
      <c r="F189" s="40" t="str">
        <f t="shared" si="2"/>
        <v>ARCANINE</v>
      </c>
      <c r="G189" s="40" t="s">
        <v>1443</v>
      </c>
      <c r="H189" s="40" t="s">
        <v>1444</v>
      </c>
      <c r="I189" s="40" t="s">
        <v>1445</v>
      </c>
      <c r="J189" s="40" t="s">
        <v>1446</v>
      </c>
      <c r="K189" s="40" t="s">
        <v>1444</v>
      </c>
      <c r="L189" s="40" t="s">
        <v>1444</v>
      </c>
      <c r="M189" s="40" t="s">
        <v>1444</v>
      </c>
      <c r="N189" s="40" t="s">
        <v>1447</v>
      </c>
      <c r="O189" s="40" t="s">
        <v>1448</v>
      </c>
      <c r="P189" s="40" t="s">
        <v>1449</v>
      </c>
      <c r="Q189" s="40" t="s">
        <v>1444</v>
      </c>
    </row>
    <row r="190">
      <c r="A190" s="39" t="str">
        <f t="shared" si="1"/>
        <v>6, 60</v>
      </c>
      <c r="B190" s="39" t="s">
        <v>1098</v>
      </c>
      <c r="C190" s="39">
        <v>60.0</v>
      </c>
      <c r="D190" s="40" t="s">
        <v>578</v>
      </c>
      <c r="E190" s="40"/>
      <c r="F190" s="40" t="str">
        <f t="shared" si="2"/>
        <v>POLIWAG</v>
      </c>
      <c r="G190" s="40" t="s">
        <v>1450</v>
      </c>
      <c r="H190" s="40" t="s">
        <v>1451</v>
      </c>
      <c r="I190" s="40" t="s">
        <v>1452</v>
      </c>
      <c r="J190" s="40" t="s">
        <v>1453</v>
      </c>
      <c r="K190" s="40" t="s">
        <v>1451</v>
      </c>
      <c r="L190" s="40" t="s">
        <v>1451</v>
      </c>
      <c r="M190" s="40" t="s">
        <v>1451</v>
      </c>
      <c r="N190" s="40" t="s">
        <v>1454</v>
      </c>
      <c r="O190" s="40" t="s">
        <v>1455</v>
      </c>
      <c r="P190" s="40" t="s">
        <v>1455</v>
      </c>
      <c r="Q190" s="40" t="s">
        <v>1451</v>
      </c>
    </row>
    <row r="191">
      <c r="A191" s="39" t="str">
        <f t="shared" si="1"/>
        <v>6, 61</v>
      </c>
      <c r="B191" s="39" t="s">
        <v>1098</v>
      </c>
      <c r="C191" s="39">
        <v>61.0</v>
      </c>
      <c r="D191" s="40" t="s">
        <v>578</v>
      </c>
      <c r="E191" s="40"/>
      <c r="F191" s="40" t="str">
        <f t="shared" si="2"/>
        <v>POLIWHIRL</v>
      </c>
      <c r="G191" s="40" t="s">
        <v>1456</v>
      </c>
      <c r="H191" s="40" t="s">
        <v>1457</v>
      </c>
      <c r="I191" s="40" t="s">
        <v>1458</v>
      </c>
      <c r="J191" s="40" t="s">
        <v>1459</v>
      </c>
      <c r="K191" s="40" t="s">
        <v>1457</v>
      </c>
      <c r="L191" s="40" t="s">
        <v>1457</v>
      </c>
      <c r="M191" s="40" t="s">
        <v>1457</v>
      </c>
      <c r="N191" s="40" t="s">
        <v>1460</v>
      </c>
      <c r="O191" s="40" t="s">
        <v>1461</v>
      </c>
      <c r="P191" s="40" t="s">
        <v>1461</v>
      </c>
      <c r="Q191" s="40" t="s">
        <v>1457</v>
      </c>
    </row>
    <row r="192">
      <c r="A192" s="39" t="str">
        <f t="shared" si="1"/>
        <v>6, 62</v>
      </c>
      <c r="B192" s="39" t="s">
        <v>1098</v>
      </c>
      <c r="C192" s="39">
        <v>62.0</v>
      </c>
      <c r="D192" s="40" t="s">
        <v>578</v>
      </c>
      <c r="E192" s="40"/>
      <c r="F192" s="40" t="str">
        <f t="shared" si="2"/>
        <v>POLIWRATH</v>
      </c>
      <c r="G192" s="40" t="s">
        <v>1462</v>
      </c>
      <c r="H192" s="40" t="s">
        <v>1463</v>
      </c>
      <c r="I192" s="40" t="s">
        <v>1464</v>
      </c>
      <c r="J192" s="40" t="s">
        <v>1465</v>
      </c>
      <c r="K192" s="40" t="s">
        <v>1463</v>
      </c>
      <c r="L192" s="40" t="s">
        <v>1463</v>
      </c>
      <c r="M192" s="40" t="s">
        <v>1463</v>
      </c>
      <c r="N192" s="40" t="s">
        <v>1466</v>
      </c>
      <c r="O192" s="40" t="s">
        <v>1467</v>
      </c>
      <c r="P192" s="40" t="s">
        <v>1467</v>
      </c>
      <c r="Q192" s="40" t="s">
        <v>1463</v>
      </c>
    </row>
    <row r="193">
      <c r="A193" s="39" t="str">
        <f t="shared" si="1"/>
        <v>6, 63</v>
      </c>
      <c r="B193" s="39" t="s">
        <v>1098</v>
      </c>
      <c r="C193" s="39">
        <v>63.0</v>
      </c>
      <c r="D193" s="40" t="s">
        <v>578</v>
      </c>
      <c r="E193" s="40"/>
      <c r="F193" s="40" t="str">
        <f t="shared" si="2"/>
        <v>ABRA</v>
      </c>
      <c r="G193" s="40" t="s">
        <v>1468</v>
      </c>
      <c r="H193" s="40" t="s">
        <v>1469</v>
      </c>
      <c r="I193" s="40" t="s">
        <v>1469</v>
      </c>
      <c r="J193" s="40" t="s">
        <v>1469</v>
      </c>
      <c r="K193" s="40" t="s">
        <v>1469</v>
      </c>
      <c r="L193" s="40" t="s">
        <v>1469</v>
      </c>
      <c r="M193" s="40" t="s">
        <v>1469</v>
      </c>
      <c r="N193" s="40" t="s">
        <v>1470</v>
      </c>
      <c r="O193" s="40" t="s">
        <v>1471</v>
      </c>
      <c r="P193" s="40" t="s">
        <v>1472</v>
      </c>
      <c r="Q193" s="40" t="s">
        <v>1469</v>
      </c>
    </row>
    <row r="194">
      <c r="A194" s="39" t="str">
        <f t="shared" si="1"/>
        <v>6, 64</v>
      </c>
      <c r="B194" s="39" t="s">
        <v>1098</v>
      </c>
      <c r="C194" s="39">
        <v>64.0</v>
      </c>
      <c r="D194" s="40" t="s">
        <v>578</v>
      </c>
      <c r="E194" s="40"/>
      <c r="F194" s="40" t="str">
        <f t="shared" si="2"/>
        <v>KADABRA</v>
      </c>
      <c r="G194" s="40" t="s">
        <v>1473</v>
      </c>
      <c r="H194" s="40" t="s">
        <v>1474</v>
      </c>
      <c r="I194" s="40" t="s">
        <v>1474</v>
      </c>
      <c r="J194" s="40" t="s">
        <v>1474</v>
      </c>
      <c r="K194" s="40" t="s">
        <v>1474</v>
      </c>
      <c r="L194" s="40" t="s">
        <v>1474</v>
      </c>
      <c r="M194" s="40" t="s">
        <v>1474</v>
      </c>
      <c r="N194" s="40" t="s">
        <v>1475</v>
      </c>
      <c r="O194" s="40" t="s">
        <v>1476</v>
      </c>
      <c r="P194" s="40" t="s">
        <v>1476</v>
      </c>
      <c r="Q194" s="40" t="s">
        <v>1474</v>
      </c>
    </row>
    <row r="195">
      <c r="A195" s="39" t="str">
        <f t="shared" si="1"/>
        <v>6, 65</v>
      </c>
      <c r="B195" s="39" t="s">
        <v>1098</v>
      </c>
      <c r="C195" s="39">
        <v>65.0</v>
      </c>
      <c r="D195" s="40" t="s">
        <v>578</v>
      </c>
      <c r="E195" s="40"/>
      <c r="F195" s="40" t="str">
        <f t="shared" si="2"/>
        <v>ALAKAZAM</v>
      </c>
      <c r="G195" s="40" t="s">
        <v>1477</v>
      </c>
      <c r="H195" s="40" t="s">
        <v>1478</v>
      </c>
      <c r="I195" s="40" t="s">
        <v>1478</v>
      </c>
      <c r="J195" s="40" t="s">
        <v>1479</v>
      </c>
      <c r="K195" s="40" t="s">
        <v>1478</v>
      </c>
      <c r="L195" s="40" t="s">
        <v>1478</v>
      </c>
      <c r="M195" s="40" t="s">
        <v>1478</v>
      </c>
      <c r="N195" s="40" t="s">
        <v>1480</v>
      </c>
      <c r="O195" s="40" t="s">
        <v>1481</v>
      </c>
      <c r="P195" s="40" t="s">
        <v>1481</v>
      </c>
      <c r="Q195" s="40" t="s">
        <v>1478</v>
      </c>
    </row>
    <row r="196">
      <c r="A196" s="39" t="str">
        <f t="shared" si="1"/>
        <v>6, 66</v>
      </c>
      <c r="B196" s="39" t="s">
        <v>1098</v>
      </c>
      <c r="C196" s="39">
        <v>66.0</v>
      </c>
      <c r="D196" s="40" t="s">
        <v>578</v>
      </c>
      <c r="E196" s="40"/>
      <c r="F196" s="40" t="str">
        <f t="shared" si="2"/>
        <v>MACHOP</v>
      </c>
      <c r="G196" s="40" t="s">
        <v>1482</v>
      </c>
      <c r="H196" s="40" t="s">
        <v>1483</v>
      </c>
      <c r="I196" s="40" t="s">
        <v>1484</v>
      </c>
      <c r="J196" s="40" t="s">
        <v>1485</v>
      </c>
      <c r="K196" s="40" t="s">
        <v>1483</v>
      </c>
      <c r="L196" s="40" t="s">
        <v>1483</v>
      </c>
      <c r="M196" s="40" t="s">
        <v>1483</v>
      </c>
      <c r="N196" s="40" t="s">
        <v>1486</v>
      </c>
      <c r="O196" s="40" t="s">
        <v>1487</v>
      </c>
      <c r="P196" s="40" t="s">
        <v>1487</v>
      </c>
      <c r="Q196" s="40" t="s">
        <v>1483</v>
      </c>
    </row>
    <row r="197">
      <c r="A197" s="39" t="str">
        <f t="shared" si="1"/>
        <v>6, 67</v>
      </c>
      <c r="B197" s="39" t="s">
        <v>1098</v>
      </c>
      <c r="C197" s="39">
        <v>67.0</v>
      </c>
      <c r="D197" s="40" t="s">
        <v>578</v>
      </c>
      <c r="E197" s="40"/>
      <c r="F197" s="40" t="str">
        <f t="shared" si="2"/>
        <v>MACHOKE</v>
      </c>
      <c r="G197" s="40" t="s">
        <v>1488</v>
      </c>
      <c r="H197" s="40" t="s">
        <v>1489</v>
      </c>
      <c r="I197" s="40" t="s">
        <v>1490</v>
      </c>
      <c r="J197" s="40" t="s">
        <v>1491</v>
      </c>
      <c r="K197" s="40" t="s">
        <v>1489</v>
      </c>
      <c r="L197" s="40" t="s">
        <v>1489</v>
      </c>
      <c r="M197" s="40" t="s">
        <v>1489</v>
      </c>
      <c r="N197" s="40" t="s">
        <v>1492</v>
      </c>
      <c r="O197" s="40" t="s">
        <v>1493</v>
      </c>
      <c r="P197" s="40" t="s">
        <v>1493</v>
      </c>
      <c r="Q197" s="40" t="s">
        <v>1489</v>
      </c>
    </row>
    <row r="198">
      <c r="A198" s="39" t="str">
        <f t="shared" si="1"/>
        <v>6, 68</v>
      </c>
      <c r="B198" s="39" t="s">
        <v>1098</v>
      </c>
      <c r="C198" s="39">
        <v>68.0</v>
      </c>
      <c r="D198" s="40" t="s">
        <v>578</v>
      </c>
      <c r="E198" s="40"/>
      <c r="F198" s="40" t="str">
        <f t="shared" si="2"/>
        <v>MACHAMP</v>
      </c>
      <c r="G198" s="40" t="s">
        <v>1494</v>
      </c>
      <c r="H198" s="40" t="s">
        <v>1495</v>
      </c>
      <c r="I198" s="40" t="s">
        <v>1496</v>
      </c>
      <c r="J198" s="40" t="s">
        <v>1497</v>
      </c>
      <c r="K198" s="40" t="s">
        <v>1495</v>
      </c>
      <c r="L198" s="40" t="s">
        <v>1495</v>
      </c>
      <c r="M198" s="40" t="s">
        <v>1495</v>
      </c>
      <c r="N198" s="40" t="s">
        <v>1498</v>
      </c>
      <c r="O198" s="40" t="s">
        <v>1499</v>
      </c>
      <c r="P198" s="40" t="s">
        <v>1499</v>
      </c>
      <c r="Q198" s="40" t="s">
        <v>1495</v>
      </c>
    </row>
    <row r="199">
      <c r="A199" s="39" t="str">
        <f t="shared" si="1"/>
        <v>6, 69</v>
      </c>
      <c r="B199" s="39" t="s">
        <v>1098</v>
      </c>
      <c r="C199" s="39">
        <v>69.0</v>
      </c>
      <c r="D199" s="40" t="s">
        <v>578</v>
      </c>
      <c r="E199" s="40"/>
      <c r="F199" s="40" t="str">
        <f t="shared" si="2"/>
        <v>BELLSPROUT</v>
      </c>
      <c r="G199" s="40" t="s">
        <v>1500</v>
      </c>
      <c r="H199" s="40" t="s">
        <v>1501</v>
      </c>
      <c r="I199" s="40" t="s">
        <v>1502</v>
      </c>
      <c r="J199" s="40" t="s">
        <v>1503</v>
      </c>
      <c r="K199" s="40" t="s">
        <v>1501</v>
      </c>
      <c r="L199" s="40" t="s">
        <v>1501</v>
      </c>
      <c r="M199" s="40" t="s">
        <v>1501</v>
      </c>
      <c r="N199" s="40" t="s">
        <v>1504</v>
      </c>
      <c r="O199" s="40" t="s">
        <v>1505</v>
      </c>
      <c r="P199" s="40" t="s">
        <v>1505</v>
      </c>
      <c r="Q199" s="40" t="s">
        <v>1501</v>
      </c>
    </row>
    <row r="200">
      <c r="A200" s="39" t="str">
        <f t="shared" si="1"/>
        <v>6, 70</v>
      </c>
      <c r="B200" s="39" t="s">
        <v>1098</v>
      </c>
      <c r="C200" s="39">
        <v>70.0</v>
      </c>
      <c r="D200" s="40" t="s">
        <v>578</v>
      </c>
      <c r="E200" s="40"/>
      <c r="F200" s="40" t="str">
        <f t="shared" si="2"/>
        <v>WEEPINBELL</v>
      </c>
      <c r="G200" s="40" t="s">
        <v>1506</v>
      </c>
      <c r="H200" s="40" t="s">
        <v>1507</v>
      </c>
      <c r="I200" s="40" t="s">
        <v>1508</v>
      </c>
      <c r="J200" s="40" t="s">
        <v>1509</v>
      </c>
      <c r="K200" s="40" t="s">
        <v>1507</v>
      </c>
      <c r="L200" s="40" t="s">
        <v>1507</v>
      </c>
      <c r="M200" s="40" t="s">
        <v>1507</v>
      </c>
      <c r="N200" s="40" t="s">
        <v>1510</v>
      </c>
      <c r="O200" s="40" t="s">
        <v>1511</v>
      </c>
      <c r="P200" s="40" t="s">
        <v>1511</v>
      </c>
      <c r="Q200" s="40" t="s">
        <v>1507</v>
      </c>
    </row>
    <row r="201">
      <c r="A201" s="39" t="str">
        <f t="shared" si="1"/>
        <v>6, 71</v>
      </c>
      <c r="B201" s="39" t="s">
        <v>1098</v>
      </c>
      <c r="C201" s="39">
        <v>71.0</v>
      </c>
      <c r="D201" s="40" t="s">
        <v>578</v>
      </c>
      <c r="E201" s="40"/>
      <c r="F201" s="40" t="str">
        <f t="shared" si="2"/>
        <v>VICTREEBEL</v>
      </c>
      <c r="G201" s="40" t="s">
        <v>1512</v>
      </c>
      <c r="H201" s="40" t="s">
        <v>1513</v>
      </c>
      <c r="I201" s="40" t="s">
        <v>1514</v>
      </c>
      <c r="J201" s="40" t="s">
        <v>1515</v>
      </c>
      <c r="K201" s="40" t="s">
        <v>1513</v>
      </c>
      <c r="L201" s="40" t="s">
        <v>1513</v>
      </c>
      <c r="M201" s="40" t="s">
        <v>1513</v>
      </c>
      <c r="N201" s="40" t="s">
        <v>1516</v>
      </c>
      <c r="O201" s="40" t="s">
        <v>1517</v>
      </c>
      <c r="P201" s="40" t="s">
        <v>1517</v>
      </c>
      <c r="Q201" s="40" t="s">
        <v>1513</v>
      </c>
    </row>
    <row r="202">
      <c r="A202" s="39" t="str">
        <f t="shared" si="1"/>
        <v>6, 72</v>
      </c>
      <c r="B202" s="39" t="s">
        <v>1098</v>
      </c>
      <c r="C202" s="39">
        <v>72.0</v>
      </c>
      <c r="D202" s="40" t="s">
        <v>578</v>
      </c>
      <c r="E202" s="40"/>
      <c r="F202" s="40" t="str">
        <f t="shared" si="2"/>
        <v>TENTACOOL</v>
      </c>
      <c r="G202" s="40" t="s">
        <v>1518</v>
      </c>
      <c r="H202" s="40" t="s">
        <v>1519</v>
      </c>
      <c r="I202" s="40" t="s">
        <v>1519</v>
      </c>
      <c r="J202" s="40" t="s">
        <v>1520</v>
      </c>
      <c r="K202" s="40" t="s">
        <v>1519</v>
      </c>
      <c r="L202" s="40" t="s">
        <v>1519</v>
      </c>
      <c r="M202" s="40" t="s">
        <v>1519</v>
      </c>
      <c r="N202" s="40" t="s">
        <v>1521</v>
      </c>
      <c r="O202" s="40" t="s">
        <v>1522</v>
      </c>
      <c r="P202" s="40" t="s">
        <v>1523</v>
      </c>
      <c r="Q202" s="40" t="s">
        <v>1519</v>
      </c>
    </row>
    <row r="203">
      <c r="A203" s="39" t="str">
        <f t="shared" si="1"/>
        <v>6, 73</v>
      </c>
      <c r="B203" s="39" t="s">
        <v>1098</v>
      </c>
      <c r="C203" s="39">
        <v>73.0</v>
      </c>
      <c r="D203" s="40" t="s">
        <v>578</v>
      </c>
      <c r="E203" s="40"/>
      <c r="F203" s="40" t="str">
        <f t="shared" si="2"/>
        <v>TENTACRUEL</v>
      </c>
      <c r="G203" s="40" t="s">
        <v>1524</v>
      </c>
      <c r="H203" s="40" t="s">
        <v>1525</v>
      </c>
      <c r="I203" s="40" t="s">
        <v>1525</v>
      </c>
      <c r="J203" s="40" t="s">
        <v>1526</v>
      </c>
      <c r="K203" s="40" t="s">
        <v>1525</v>
      </c>
      <c r="L203" s="40" t="s">
        <v>1525</v>
      </c>
      <c r="M203" s="40" t="s">
        <v>1525</v>
      </c>
      <c r="N203" s="40" t="s">
        <v>1527</v>
      </c>
      <c r="O203" s="40" t="s">
        <v>1528</v>
      </c>
      <c r="P203" s="40" t="s">
        <v>1528</v>
      </c>
      <c r="Q203" s="40" t="s">
        <v>1525</v>
      </c>
    </row>
    <row r="204">
      <c r="A204" s="39" t="str">
        <f t="shared" si="1"/>
        <v>6, 74</v>
      </c>
      <c r="B204" s="39" t="s">
        <v>1098</v>
      </c>
      <c r="C204" s="39">
        <v>74.0</v>
      </c>
      <c r="D204" s="40" t="s">
        <v>578</v>
      </c>
      <c r="E204" s="40"/>
      <c r="F204" s="40" t="str">
        <f t="shared" si="2"/>
        <v>GEODUDE</v>
      </c>
      <c r="G204" s="40" t="s">
        <v>1529</v>
      </c>
      <c r="H204" s="40" t="s">
        <v>1530</v>
      </c>
      <c r="I204" s="40" t="s">
        <v>1531</v>
      </c>
      <c r="J204" s="40" t="s">
        <v>1532</v>
      </c>
      <c r="K204" s="40" t="s">
        <v>1530</v>
      </c>
      <c r="L204" s="40" t="s">
        <v>1530</v>
      </c>
      <c r="M204" s="40" t="s">
        <v>1530</v>
      </c>
      <c r="N204" s="40" t="s">
        <v>1533</v>
      </c>
      <c r="O204" s="40" t="s">
        <v>1534</v>
      </c>
      <c r="P204" s="40" t="s">
        <v>1534</v>
      </c>
      <c r="Q204" s="40" t="s">
        <v>1530</v>
      </c>
    </row>
    <row r="205">
      <c r="A205" s="39" t="str">
        <f t="shared" si="1"/>
        <v>6, 75</v>
      </c>
      <c r="B205" s="39" t="s">
        <v>1098</v>
      </c>
      <c r="C205" s="39">
        <v>75.0</v>
      </c>
      <c r="D205" s="40" t="s">
        <v>578</v>
      </c>
      <c r="E205" s="40"/>
      <c r="F205" s="40" t="str">
        <f t="shared" si="2"/>
        <v>GRAVELER</v>
      </c>
      <c r="G205" s="40" t="s">
        <v>1535</v>
      </c>
      <c r="H205" s="40" t="s">
        <v>1536</v>
      </c>
      <c r="I205" s="40" t="s">
        <v>1537</v>
      </c>
      <c r="J205" s="40" t="s">
        <v>1538</v>
      </c>
      <c r="K205" s="40" t="s">
        <v>1536</v>
      </c>
      <c r="L205" s="40" t="s">
        <v>1536</v>
      </c>
      <c r="M205" s="40" t="s">
        <v>1536</v>
      </c>
      <c r="N205" s="40" t="s">
        <v>1539</v>
      </c>
      <c r="O205" s="40" t="s">
        <v>1540</v>
      </c>
      <c r="P205" s="40" t="s">
        <v>1540</v>
      </c>
      <c r="Q205" s="40" t="s">
        <v>1536</v>
      </c>
    </row>
    <row r="206">
      <c r="A206" s="39" t="str">
        <f t="shared" si="1"/>
        <v>6, 76</v>
      </c>
      <c r="B206" s="39" t="s">
        <v>1098</v>
      </c>
      <c r="C206" s="39">
        <v>76.0</v>
      </c>
      <c r="D206" s="40" t="s">
        <v>578</v>
      </c>
      <c r="E206" s="40"/>
      <c r="F206" s="40" t="str">
        <f t="shared" si="2"/>
        <v>GOLEM</v>
      </c>
      <c r="G206" s="40" t="s">
        <v>1541</v>
      </c>
      <c r="H206" s="40" t="s">
        <v>1542</v>
      </c>
      <c r="I206" s="40" t="s">
        <v>1543</v>
      </c>
      <c r="J206" s="40" t="s">
        <v>1544</v>
      </c>
      <c r="K206" s="40" t="s">
        <v>1542</v>
      </c>
      <c r="L206" s="40" t="s">
        <v>1542</v>
      </c>
      <c r="M206" s="40" t="s">
        <v>1542</v>
      </c>
      <c r="N206" s="40" t="s">
        <v>1545</v>
      </c>
      <c r="O206" s="40" t="s">
        <v>1546</v>
      </c>
      <c r="P206" s="40" t="s">
        <v>1546</v>
      </c>
      <c r="Q206" s="40" t="s">
        <v>1542</v>
      </c>
    </row>
    <row r="207">
      <c r="A207" s="39" t="str">
        <f t="shared" si="1"/>
        <v>6, 77</v>
      </c>
      <c r="B207" s="39" t="s">
        <v>1098</v>
      </c>
      <c r="C207" s="39">
        <v>77.0</v>
      </c>
      <c r="D207" s="40" t="s">
        <v>578</v>
      </c>
      <c r="E207" s="40"/>
      <c r="F207" s="40" t="str">
        <f t="shared" si="2"/>
        <v>PONYTA</v>
      </c>
      <c r="G207" s="40" t="s">
        <v>1547</v>
      </c>
      <c r="H207" s="40" t="s">
        <v>1548</v>
      </c>
      <c r="I207" s="40" t="s">
        <v>1548</v>
      </c>
      <c r="J207" s="40" t="s">
        <v>1549</v>
      </c>
      <c r="K207" s="40" t="s">
        <v>1548</v>
      </c>
      <c r="L207" s="40" t="s">
        <v>1548</v>
      </c>
      <c r="M207" s="40" t="s">
        <v>1548</v>
      </c>
      <c r="N207" s="40" t="s">
        <v>1550</v>
      </c>
      <c r="O207" s="40" t="s">
        <v>1551</v>
      </c>
      <c r="P207" s="40" t="s">
        <v>1552</v>
      </c>
      <c r="Q207" s="40" t="s">
        <v>1548</v>
      </c>
    </row>
    <row r="208">
      <c r="A208" s="39" t="str">
        <f t="shared" si="1"/>
        <v>6, 78</v>
      </c>
      <c r="B208" s="39" t="s">
        <v>1098</v>
      </c>
      <c r="C208" s="39">
        <v>78.0</v>
      </c>
      <c r="D208" s="40" t="s">
        <v>578</v>
      </c>
      <c r="E208" s="40"/>
      <c r="F208" s="40" t="str">
        <f t="shared" si="2"/>
        <v>RAPIDASH</v>
      </c>
      <c r="G208" s="40" t="s">
        <v>1553</v>
      </c>
      <c r="H208" s="40" t="s">
        <v>1554</v>
      </c>
      <c r="I208" s="40" t="s">
        <v>1555</v>
      </c>
      <c r="J208" s="40" t="s">
        <v>1556</v>
      </c>
      <c r="K208" s="40" t="s">
        <v>1554</v>
      </c>
      <c r="L208" s="40" t="s">
        <v>1554</v>
      </c>
      <c r="M208" s="40" t="s">
        <v>1554</v>
      </c>
      <c r="N208" s="40" t="s">
        <v>1557</v>
      </c>
      <c r="O208" s="40" t="s">
        <v>1558</v>
      </c>
      <c r="P208" s="40" t="s">
        <v>1559</v>
      </c>
      <c r="Q208" s="40" t="s">
        <v>1554</v>
      </c>
    </row>
    <row r="209">
      <c r="A209" s="39" t="str">
        <f t="shared" si="1"/>
        <v>6, 79</v>
      </c>
      <c r="B209" s="39" t="s">
        <v>1098</v>
      </c>
      <c r="C209" s="39">
        <v>79.0</v>
      </c>
      <c r="D209" s="40" t="s">
        <v>578</v>
      </c>
      <c r="E209" s="40"/>
      <c r="F209" s="40" t="str">
        <f t="shared" si="2"/>
        <v>SLOWPOKE</v>
      </c>
      <c r="G209" s="40" t="s">
        <v>1560</v>
      </c>
      <c r="H209" s="40" t="s">
        <v>1561</v>
      </c>
      <c r="I209" s="40" t="s">
        <v>1562</v>
      </c>
      <c r="J209" s="40" t="s">
        <v>1563</v>
      </c>
      <c r="K209" s="40" t="s">
        <v>1561</v>
      </c>
      <c r="L209" s="40" t="s">
        <v>1561</v>
      </c>
      <c r="M209" s="40" t="s">
        <v>1561</v>
      </c>
      <c r="N209" s="40" t="s">
        <v>1564</v>
      </c>
      <c r="O209" s="40" t="s">
        <v>1565</v>
      </c>
      <c r="P209" s="40" t="s">
        <v>1566</v>
      </c>
      <c r="Q209" s="40" t="s">
        <v>1561</v>
      </c>
    </row>
    <row r="210">
      <c r="A210" s="39" t="str">
        <f t="shared" si="1"/>
        <v>6, 80</v>
      </c>
      <c r="B210" s="39" t="s">
        <v>1098</v>
      </c>
      <c r="C210" s="39">
        <v>80.0</v>
      </c>
      <c r="D210" s="40" t="s">
        <v>578</v>
      </c>
      <c r="E210" s="40"/>
      <c r="F210" s="40" t="str">
        <f t="shared" si="2"/>
        <v>SLOWBRO</v>
      </c>
      <c r="G210" s="40" t="s">
        <v>1567</v>
      </c>
      <c r="H210" s="40" t="s">
        <v>1568</v>
      </c>
      <c r="I210" s="40" t="s">
        <v>1569</v>
      </c>
      <c r="J210" s="40" t="s">
        <v>1570</v>
      </c>
      <c r="K210" s="40" t="s">
        <v>1568</v>
      </c>
      <c r="L210" s="40" t="s">
        <v>1568</v>
      </c>
      <c r="M210" s="40" t="s">
        <v>1568</v>
      </c>
      <c r="N210" s="40" t="s">
        <v>1571</v>
      </c>
      <c r="O210" s="40" t="s">
        <v>1572</v>
      </c>
      <c r="P210" s="40" t="s">
        <v>1573</v>
      </c>
      <c r="Q210" s="40" t="s">
        <v>1568</v>
      </c>
    </row>
    <row r="211">
      <c r="A211" s="39" t="str">
        <f t="shared" si="1"/>
        <v>6, 81</v>
      </c>
      <c r="B211" s="39" t="s">
        <v>1098</v>
      </c>
      <c r="C211" s="39">
        <v>81.0</v>
      </c>
      <c r="D211" s="40" t="s">
        <v>578</v>
      </c>
      <c r="E211" s="40"/>
      <c r="F211" s="40" t="str">
        <f t="shared" si="2"/>
        <v>MAGNEMITE</v>
      </c>
      <c r="G211" s="40" t="s">
        <v>1574</v>
      </c>
      <c r="H211" s="40" t="s">
        <v>1575</v>
      </c>
      <c r="I211" s="40" t="s">
        <v>1576</v>
      </c>
      <c r="J211" s="40" t="s">
        <v>1577</v>
      </c>
      <c r="K211" s="40" t="s">
        <v>1575</v>
      </c>
      <c r="L211" s="40" t="s">
        <v>1575</v>
      </c>
      <c r="M211" s="40" t="s">
        <v>1575</v>
      </c>
      <c r="N211" s="40" t="s">
        <v>1578</v>
      </c>
      <c r="O211" s="40" t="s">
        <v>1579</v>
      </c>
      <c r="P211" s="40" t="s">
        <v>1579</v>
      </c>
      <c r="Q211" s="40" t="s">
        <v>1575</v>
      </c>
    </row>
    <row r="212">
      <c r="A212" s="39" t="str">
        <f t="shared" si="1"/>
        <v>6, 82</v>
      </c>
      <c r="B212" s="39" t="s">
        <v>1098</v>
      </c>
      <c r="C212" s="39">
        <v>82.0</v>
      </c>
      <c r="D212" s="40" t="s">
        <v>578</v>
      </c>
      <c r="E212" s="40"/>
      <c r="F212" s="40" t="str">
        <f t="shared" si="2"/>
        <v>MAGNETON</v>
      </c>
      <c r="G212" s="40" t="s">
        <v>1580</v>
      </c>
      <c r="H212" s="40" t="s">
        <v>1581</v>
      </c>
      <c r="I212" s="40" t="s">
        <v>1581</v>
      </c>
      <c r="J212" s="40" t="s">
        <v>1581</v>
      </c>
      <c r="K212" s="40" t="s">
        <v>1581</v>
      </c>
      <c r="L212" s="40" t="s">
        <v>1581</v>
      </c>
      <c r="M212" s="40" t="s">
        <v>1581</v>
      </c>
      <c r="N212" s="40" t="s">
        <v>1582</v>
      </c>
      <c r="O212" s="40" t="s">
        <v>1583</v>
      </c>
      <c r="P212" s="40" t="s">
        <v>1583</v>
      </c>
      <c r="Q212" s="40" t="s">
        <v>1581</v>
      </c>
    </row>
    <row r="213">
      <c r="A213" s="39" t="str">
        <f t="shared" si="1"/>
        <v>6, 83</v>
      </c>
      <c r="B213" s="39" t="s">
        <v>1098</v>
      </c>
      <c r="C213" s="39">
        <v>83.0</v>
      </c>
      <c r="D213" s="40" t="s">
        <v>578</v>
      </c>
      <c r="E213" s="40"/>
      <c r="F213" s="40" t="str">
        <f t="shared" si="2"/>
        <v>FARFETCH’D</v>
      </c>
      <c r="G213" s="40" t="s">
        <v>1584</v>
      </c>
      <c r="H213" s="40" t="s">
        <v>1585</v>
      </c>
      <c r="I213" s="40" t="s">
        <v>1586</v>
      </c>
      <c r="J213" s="40" t="s">
        <v>1587</v>
      </c>
      <c r="K213" s="40" t="s">
        <v>1585</v>
      </c>
      <c r="L213" s="40" t="s">
        <v>1588</v>
      </c>
      <c r="M213" s="40" t="s">
        <v>1585</v>
      </c>
      <c r="N213" s="40" t="s">
        <v>1589</v>
      </c>
      <c r="O213" s="40" t="s">
        <v>1590</v>
      </c>
      <c r="P213" s="40" t="s">
        <v>1591</v>
      </c>
      <c r="Q213" s="40" t="s">
        <v>1585</v>
      </c>
    </row>
    <row r="214">
      <c r="A214" s="39" t="str">
        <f t="shared" si="1"/>
        <v>6, 84</v>
      </c>
      <c r="B214" s="39" t="s">
        <v>1098</v>
      </c>
      <c r="C214" s="39">
        <v>84.0</v>
      </c>
      <c r="D214" s="40" t="s">
        <v>578</v>
      </c>
      <c r="E214" s="40"/>
      <c r="F214" s="40" t="str">
        <f t="shared" si="2"/>
        <v>DODUO</v>
      </c>
      <c r="G214" s="40" t="s">
        <v>1592</v>
      </c>
      <c r="H214" s="40" t="s">
        <v>1593</v>
      </c>
      <c r="I214" s="40" t="s">
        <v>1593</v>
      </c>
      <c r="J214" s="40" t="s">
        <v>1594</v>
      </c>
      <c r="K214" s="40" t="s">
        <v>1593</v>
      </c>
      <c r="L214" s="40" t="s">
        <v>1593</v>
      </c>
      <c r="M214" s="40" t="s">
        <v>1593</v>
      </c>
      <c r="N214" s="40" t="s">
        <v>1595</v>
      </c>
      <c r="O214" s="40" t="s">
        <v>1596</v>
      </c>
      <c r="P214" s="40" t="s">
        <v>1596</v>
      </c>
      <c r="Q214" s="40" t="s">
        <v>1593</v>
      </c>
    </row>
    <row r="215">
      <c r="A215" s="39" t="str">
        <f t="shared" si="1"/>
        <v>6, 85</v>
      </c>
      <c r="B215" s="39" t="s">
        <v>1098</v>
      </c>
      <c r="C215" s="39">
        <v>85.0</v>
      </c>
      <c r="D215" s="40" t="s">
        <v>578</v>
      </c>
      <c r="E215" s="40"/>
      <c r="F215" s="40" t="str">
        <f t="shared" si="2"/>
        <v>DODRIO</v>
      </c>
      <c r="G215" s="40" t="s">
        <v>1597</v>
      </c>
      <c r="H215" s="40" t="s">
        <v>1598</v>
      </c>
      <c r="I215" s="40" t="s">
        <v>1598</v>
      </c>
      <c r="J215" s="40" t="s">
        <v>1599</v>
      </c>
      <c r="K215" s="40" t="s">
        <v>1598</v>
      </c>
      <c r="L215" s="40" t="s">
        <v>1598</v>
      </c>
      <c r="M215" s="40" t="s">
        <v>1598</v>
      </c>
      <c r="N215" s="40" t="s">
        <v>1600</v>
      </c>
      <c r="O215" s="40" t="s">
        <v>1601</v>
      </c>
      <c r="P215" s="40" t="s">
        <v>1601</v>
      </c>
      <c r="Q215" s="40" t="s">
        <v>1598</v>
      </c>
    </row>
    <row r="216">
      <c r="A216" s="39" t="str">
        <f t="shared" si="1"/>
        <v>6, 86</v>
      </c>
      <c r="B216" s="39" t="s">
        <v>1098</v>
      </c>
      <c r="C216" s="39">
        <v>86.0</v>
      </c>
      <c r="D216" s="40" t="s">
        <v>578</v>
      </c>
      <c r="E216" s="40"/>
      <c r="F216" s="40" t="str">
        <f t="shared" si="2"/>
        <v>SEEL</v>
      </c>
      <c r="G216" s="40" t="s">
        <v>1602</v>
      </c>
      <c r="H216" s="40" t="s">
        <v>1603</v>
      </c>
      <c r="I216" s="40" t="s">
        <v>1604</v>
      </c>
      <c r="J216" s="40" t="s">
        <v>1605</v>
      </c>
      <c r="K216" s="40" t="s">
        <v>1603</v>
      </c>
      <c r="L216" s="40" t="s">
        <v>1603</v>
      </c>
      <c r="M216" s="40" t="s">
        <v>1603</v>
      </c>
      <c r="N216" s="40" t="s">
        <v>1606</v>
      </c>
      <c r="O216" s="40" t="s">
        <v>1607</v>
      </c>
      <c r="P216" s="40" t="s">
        <v>1608</v>
      </c>
      <c r="Q216" s="40" t="s">
        <v>1603</v>
      </c>
    </row>
    <row r="217">
      <c r="A217" s="39" t="str">
        <f t="shared" si="1"/>
        <v>6, 87</v>
      </c>
      <c r="B217" s="39" t="s">
        <v>1098</v>
      </c>
      <c r="C217" s="39">
        <v>87.0</v>
      </c>
      <c r="D217" s="40" t="s">
        <v>578</v>
      </c>
      <c r="E217" s="40"/>
      <c r="F217" s="40" t="str">
        <f t="shared" si="2"/>
        <v>DEWGONG</v>
      </c>
      <c r="G217" s="40" t="s">
        <v>1609</v>
      </c>
      <c r="H217" s="40" t="s">
        <v>1610</v>
      </c>
      <c r="I217" s="40" t="s">
        <v>1611</v>
      </c>
      <c r="J217" s="40" t="s">
        <v>1612</v>
      </c>
      <c r="K217" s="40" t="s">
        <v>1610</v>
      </c>
      <c r="L217" s="40" t="s">
        <v>1610</v>
      </c>
      <c r="M217" s="40" t="s">
        <v>1610</v>
      </c>
      <c r="N217" s="40" t="s">
        <v>1613</v>
      </c>
      <c r="O217" s="40" t="s">
        <v>1614</v>
      </c>
      <c r="P217" s="40" t="s">
        <v>1615</v>
      </c>
      <c r="Q217" s="40" t="s">
        <v>1610</v>
      </c>
    </row>
    <row r="218">
      <c r="A218" s="39" t="str">
        <f t="shared" si="1"/>
        <v>6, 88</v>
      </c>
      <c r="B218" s="39" t="s">
        <v>1098</v>
      </c>
      <c r="C218" s="39">
        <v>88.0</v>
      </c>
      <c r="D218" s="40" t="s">
        <v>578</v>
      </c>
      <c r="E218" s="40"/>
      <c r="F218" s="40" t="str">
        <f t="shared" si="2"/>
        <v>GRIMER</v>
      </c>
      <c r="G218" s="40" t="s">
        <v>1616</v>
      </c>
      <c r="H218" s="40" t="s">
        <v>1617</v>
      </c>
      <c r="I218" s="40" t="s">
        <v>1618</v>
      </c>
      <c r="J218" s="40" t="s">
        <v>1619</v>
      </c>
      <c r="K218" s="40" t="s">
        <v>1617</v>
      </c>
      <c r="L218" s="40" t="s">
        <v>1617</v>
      </c>
      <c r="M218" s="40" t="s">
        <v>1617</v>
      </c>
      <c r="N218" s="40" t="s">
        <v>1620</v>
      </c>
      <c r="O218" s="40" t="s">
        <v>1621</v>
      </c>
      <c r="P218" s="40" t="s">
        <v>1621</v>
      </c>
      <c r="Q218" s="40" t="s">
        <v>1617</v>
      </c>
    </row>
    <row r="219">
      <c r="A219" s="39" t="str">
        <f t="shared" si="1"/>
        <v>6, 89</v>
      </c>
      <c r="B219" s="39" t="s">
        <v>1098</v>
      </c>
      <c r="C219" s="39">
        <v>89.0</v>
      </c>
      <c r="D219" s="40" t="s">
        <v>578</v>
      </c>
      <c r="E219" s="40"/>
      <c r="F219" s="40" t="str">
        <f t="shared" si="2"/>
        <v>MUK</v>
      </c>
      <c r="G219" s="40" t="s">
        <v>1622</v>
      </c>
      <c r="H219" s="40" t="s">
        <v>1623</v>
      </c>
      <c r="I219" s="40" t="s">
        <v>1624</v>
      </c>
      <c r="J219" s="40" t="s">
        <v>1625</v>
      </c>
      <c r="K219" s="40" t="s">
        <v>1623</v>
      </c>
      <c r="L219" s="40" t="s">
        <v>1623</v>
      </c>
      <c r="M219" s="40" t="s">
        <v>1623</v>
      </c>
      <c r="N219" s="40" t="s">
        <v>1626</v>
      </c>
      <c r="O219" s="40" t="s">
        <v>1627</v>
      </c>
      <c r="P219" s="40" t="s">
        <v>1627</v>
      </c>
      <c r="Q219" s="40" t="s">
        <v>1623</v>
      </c>
    </row>
    <row r="220">
      <c r="A220" s="39" t="str">
        <f t="shared" si="1"/>
        <v>6, 90</v>
      </c>
      <c r="B220" s="39" t="s">
        <v>1098</v>
      </c>
      <c r="C220" s="39">
        <v>90.0</v>
      </c>
      <c r="D220" s="40" t="s">
        <v>578</v>
      </c>
      <c r="E220" s="40"/>
      <c r="F220" s="40" t="str">
        <f t="shared" si="2"/>
        <v>SHELLDER</v>
      </c>
      <c r="G220" s="40" t="s">
        <v>1628</v>
      </c>
      <c r="H220" s="40" t="s">
        <v>1629</v>
      </c>
      <c r="I220" s="40" t="s">
        <v>1630</v>
      </c>
      <c r="J220" s="40" t="s">
        <v>1631</v>
      </c>
      <c r="K220" s="40" t="s">
        <v>1629</v>
      </c>
      <c r="L220" s="40" t="s">
        <v>1629</v>
      </c>
      <c r="M220" s="40" t="s">
        <v>1629</v>
      </c>
      <c r="N220" s="40" t="s">
        <v>1632</v>
      </c>
      <c r="O220" s="40" t="s">
        <v>1633</v>
      </c>
      <c r="P220" s="40" t="s">
        <v>1634</v>
      </c>
      <c r="Q220" s="40" t="s">
        <v>1629</v>
      </c>
    </row>
    <row r="221">
      <c r="A221" s="39" t="str">
        <f t="shared" si="1"/>
        <v>6, 91</v>
      </c>
      <c r="B221" s="39" t="s">
        <v>1098</v>
      </c>
      <c r="C221" s="39">
        <v>91.0</v>
      </c>
      <c r="D221" s="40" t="s">
        <v>578</v>
      </c>
      <c r="E221" s="40"/>
      <c r="F221" s="40" t="str">
        <f t="shared" si="2"/>
        <v>CLOYSTER</v>
      </c>
      <c r="G221" s="40" t="s">
        <v>1635</v>
      </c>
      <c r="H221" s="40" t="s">
        <v>1636</v>
      </c>
      <c r="I221" s="40" t="s">
        <v>1637</v>
      </c>
      <c r="J221" s="40" t="s">
        <v>1638</v>
      </c>
      <c r="K221" s="40" t="s">
        <v>1636</v>
      </c>
      <c r="L221" s="40" t="s">
        <v>1636</v>
      </c>
      <c r="M221" s="40" t="s">
        <v>1636</v>
      </c>
      <c r="N221" s="40" t="s">
        <v>1639</v>
      </c>
      <c r="O221" s="40" t="s">
        <v>1640</v>
      </c>
      <c r="P221" s="40" t="s">
        <v>1641</v>
      </c>
      <c r="Q221" s="40" t="s">
        <v>1636</v>
      </c>
    </row>
    <row r="222">
      <c r="A222" s="39" t="str">
        <f t="shared" si="1"/>
        <v>6, 92</v>
      </c>
      <c r="B222" s="39" t="s">
        <v>1098</v>
      </c>
      <c r="C222" s="39">
        <v>92.0</v>
      </c>
      <c r="D222" s="40" t="s">
        <v>578</v>
      </c>
      <c r="E222" s="40"/>
      <c r="F222" s="40" t="str">
        <f t="shared" si="2"/>
        <v>GASTLY</v>
      </c>
      <c r="G222" s="40" t="s">
        <v>1642</v>
      </c>
      <c r="H222" s="40" t="s">
        <v>1643</v>
      </c>
      <c r="I222" s="40" t="s">
        <v>1644</v>
      </c>
      <c r="J222" s="40" t="s">
        <v>1645</v>
      </c>
      <c r="K222" s="40" t="s">
        <v>1643</v>
      </c>
      <c r="L222" s="40" t="s">
        <v>1643</v>
      </c>
      <c r="M222" s="40" t="s">
        <v>1643</v>
      </c>
      <c r="N222" s="40" t="s">
        <v>1646</v>
      </c>
      <c r="O222" s="40" t="s">
        <v>1647</v>
      </c>
      <c r="P222" s="40" t="s">
        <v>1647</v>
      </c>
      <c r="Q222" s="40" t="s">
        <v>1643</v>
      </c>
    </row>
    <row r="223">
      <c r="A223" s="39" t="str">
        <f t="shared" si="1"/>
        <v>6, 93</v>
      </c>
      <c r="B223" s="39" t="s">
        <v>1098</v>
      </c>
      <c r="C223" s="39">
        <v>93.0</v>
      </c>
      <c r="D223" s="40" t="s">
        <v>578</v>
      </c>
      <c r="E223" s="40"/>
      <c r="F223" s="40" t="str">
        <f t="shared" si="2"/>
        <v>HAUNTER</v>
      </c>
      <c r="G223" s="40" t="s">
        <v>1648</v>
      </c>
      <c r="H223" s="40" t="s">
        <v>1649</v>
      </c>
      <c r="I223" s="40" t="s">
        <v>1650</v>
      </c>
      <c r="J223" s="40" t="s">
        <v>1651</v>
      </c>
      <c r="K223" s="40" t="s">
        <v>1649</v>
      </c>
      <c r="L223" s="40" t="s">
        <v>1649</v>
      </c>
      <c r="M223" s="40" t="s">
        <v>1649</v>
      </c>
      <c r="N223" s="40" t="s">
        <v>1652</v>
      </c>
      <c r="O223" s="40" t="s">
        <v>1653</v>
      </c>
      <c r="P223" s="40" t="s">
        <v>1653</v>
      </c>
      <c r="Q223" s="40" t="s">
        <v>1649</v>
      </c>
    </row>
    <row r="224">
      <c r="A224" s="39" t="str">
        <f t="shared" si="1"/>
        <v>6, 94</v>
      </c>
      <c r="B224" s="39" t="s">
        <v>1098</v>
      </c>
      <c r="C224" s="39">
        <v>94.0</v>
      </c>
      <c r="D224" s="40" t="s">
        <v>578</v>
      </c>
      <c r="E224" s="40"/>
      <c r="F224" s="40" t="str">
        <f t="shared" si="2"/>
        <v>GENGAR</v>
      </c>
      <c r="G224" s="40" t="s">
        <v>1654</v>
      </c>
      <c r="H224" s="40" t="s">
        <v>1655</v>
      </c>
      <c r="I224" s="40" t="s">
        <v>1656</v>
      </c>
      <c r="J224" s="40" t="s">
        <v>1655</v>
      </c>
      <c r="K224" s="40" t="s">
        <v>1655</v>
      </c>
      <c r="L224" s="40" t="s">
        <v>1655</v>
      </c>
      <c r="M224" s="40" t="s">
        <v>1655</v>
      </c>
      <c r="N224" s="40" t="s">
        <v>1657</v>
      </c>
      <c r="O224" s="40" t="s">
        <v>1658</v>
      </c>
      <c r="P224" s="40" t="s">
        <v>1658</v>
      </c>
      <c r="Q224" s="40" t="s">
        <v>1655</v>
      </c>
    </row>
    <row r="225">
      <c r="A225" s="39" t="str">
        <f t="shared" si="1"/>
        <v>6, 95</v>
      </c>
      <c r="B225" s="39" t="s">
        <v>1098</v>
      </c>
      <c r="C225" s="39">
        <v>95.0</v>
      </c>
      <c r="D225" s="40" t="s">
        <v>578</v>
      </c>
      <c r="E225" s="40"/>
      <c r="F225" s="40" t="str">
        <f t="shared" si="2"/>
        <v>ONIX</v>
      </c>
      <c r="G225" s="40" t="s">
        <v>1659</v>
      </c>
      <c r="H225" s="40" t="s">
        <v>1660</v>
      </c>
      <c r="I225" s="40" t="s">
        <v>1660</v>
      </c>
      <c r="J225" s="40" t="s">
        <v>1660</v>
      </c>
      <c r="K225" s="40" t="s">
        <v>1660</v>
      </c>
      <c r="L225" s="40" t="s">
        <v>1660</v>
      </c>
      <c r="M225" s="40" t="s">
        <v>1660</v>
      </c>
      <c r="N225" s="40" t="s">
        <v>1661</v>
      </c>
      <c r="O225" s="40" t="s">
        <v>1662</v>
      </c>
      <c r="P225" s="40" t="s">
        <v>1662</v>
      </c>
      <c r="Q225" s="40" t="s">
        <v>1660</v>
      </c>
    </row>
    <row r="226">
      <c r="A226" s="39" t="str">
        <f t="shared" si="1"/>
        <v>6, 96</v>
      </c>
      <c r="B226" s="39" t="s">
        <v>1098</v>
      </c>
      <c r="C226" s="39">
        <v>96.0</v>
      </c>
      <c r="D226" s="40" t="s">
        <v>578</v>
      </c>
      <c r="E226" s="40"/>
      <c r="F226" s="40" t="str">
        <f t="shared" si="2"/>
        <v>DROWZEE</v>
      </c>
      <c r="G226" s="40" t="s">
        <v>1663</v>
      </c>
      <c r="H226" s="40" t="s">
        <v>1664</v>
      </c>
      <c r="I226" s="40" t="s">
        <v>1665</v>
      </c>
      <c r="J226" s="40" t="s">
        <v>1666</v>
      </c>
      <c r="K226" s="40" t="s">
        <v>1664</v>
      </c>
      <c r="L226" s="40" t="s">
        <v>1664</v>
      </c>
      <c r="M226" s="40" t="s">
        <v>1664</v>
      </c>
      <c r="N226" s="40" t="s">
        <v>1667</v>
      </c>
      <c r="O226" s="40" t="s">
        <v>1668</v>
      </c>
      <c r="P226" s="40" t="s">
        <v>1668</v>
      </c>
      <c r="Q226" s="40" t="s">
        <v>1664</v>
      </c>
    </row>
    <row r="227">
      <c r="A227" s="39" t="str">
        <f t="shared" si="1"/>
        <v>6, 97</v>
      </c>
      <c r="B227" s="39" t="s">
        <v>1098</v>
      </c>
      <c r="C227" s="39">
        <v>97.0</v>
      </c>
      <c r="D227" s="40" t="s">
        <v>578</v>
      </c>
      <c r="E227" s="40"/>
      <c r="F227" s="40" t="str">
        <f t="shared" si="2"/>
        <v>HYPNO</v>
      </c>
      <c r="G227" s="40" t="s">
        <v>1669</v>
      </c>
      <c r="H227" s="40" t="s">
        <v>1670</v>
      </c>
      <c r="I227" s="40" t="s">
        <v>1671</v>
      </c>
      <c r="J227" s="40" t="s">
        <v>1670</v>
      </c>
      <c r="K227" s="40" t="s">
        <v>1670</v>
      </c>
      <c r="L227" s="40" t="s">
        <v>1670</v>
      </c>
      <c r="M227" s="40" t="s">
        <v>1670</v>
      </c>
      <c r="N227" s="40" t="s">
        <v>1672</v>
      </c>
      <c r="O227" s="40" t="s">
        <v>1673</v>
      </c>
      <c r="P227" s="40" t="s">
        <v>1674</v>
      </c>
      <c r="Q227" s="40" t="s">
        <v>1670</v>
      </c>
    </row>
    <row r="228">
      <c r="A228" s="39" t="str">
        <f t="shared" si="1"/>
        <v>6, 98</v>
      </c>
      <c r="B228" s="39" t="s">
        <v>1098</v>
      </c>
      <c r="C228" s="39">
        <v>98.0</v>
      </c>
      <c r="D228" s="40" t="s">
        <v>578</v>
      </c>
      <c r="E228" s="40"/>
      <c r="F228" s="40" t="str">
        <f t="shared" si="2"/>
        <v>KRABBY</v>
      </c>
      <c r="G228" s="40" t="s">
        <v>1675</v>
      </c>
      <c r="H228" s="40" t="s">
        <v>1676</v>
      </c>
      <c r="I228" s="40" t="s">
        <v>1676</v>
      </c>
      <c r="J228" s="40" t="s">
        <v>1676</v>
      </c>
      <c r="K228" s="40" t="s">
        <v>1676</v>
      </c>
      <c r="L228" s="40" t="s">
        <v>1676</v>
      </c>
      <c r="M228" s="40" t="s">
        <v>1676</v>
      </c>
      <c r="N228" s="40" t="s">
        <v>1677</v>
      </c>
      <c r="O228" s="40" t="s">
        <v>1678</v>
      </c>
      <c r="P228" s="40" t="s">
        <v>1679</v>
      </c>
      <c r="Q228" s="40" t="s">
        <v>1676</v>
      </c>
    </row>
    <row r="229">
      <c r="A229" s="39" t="str">
        <f t="shared" si="1"/>
        <v>6, 99</v>
      </c>
      <c r="B229" s="39" t="s">
        <v>1098</v>
      </c>
      <c r="C229" s="39">
        <v>99.0</v>
      </c>
      <c r="D229" s="40" t="s">
        <v>578</v>
      </c>
      <c r="E229" s="40"/>
      <c r="F229" s="40" t="str">
        <f t="shared" si="2"/>
        <v>KINGLER</v>
      </c>
      <c r="G229" s="40" t="s">
        <v>1680</v>
      </c>
      <c r="H229" s="40" t="s">
        <v>1681</v>
      </c>
      <c r="I229" s="40" t="s">
        <v>1682</v>
      </c>
      <c r="J229" s="40" t="s">
        <v>1681</v>
      </c>
      <c r="K229" s="40" t="s">
        <v>1681</v>
      </c>
      <c r="L229" s="40" t="s">
        <v>1681</v>
      </c>
      <c r="M229" s="40" t="s">
        <v>1681</v>
      </c>
      <c r="N229" s="40" t="s">
        <v>1683</v>
      </c>
      <c r="O229" s="40" t="s">
        <v>1684</v>
      </c>
      <c r="P229" s="40" t="s">
        <v>1685</v>
      </c>
      <c r="Q229" s="40" t="s">
        <v>1681</v>
      </c>
    </row>
    <row r="230">
      <c r="A230" s="39" t="str">
        <f t="shared" si="1"/>
        <v>6, 100</v>
      </c>
      <c r="B230" s="39" t="s">
        <v>1098</v>
      </c>
      <c r="C230" s="39">
        <v>100.0</v>
      </c>
      <c r="D230" s="40" t="s">
        <v>578</v>
      </c>
      <c r="E230" s="40"/>
      <c r="F230" s="40" t="str">
        <f t="shared" si="2"/>
        <v>VOLTORB</v>
      </c>
      <c r="G230" s="40" t="s">
        <v>1686</v>
      </c>
      <c r="H230" s="40" t="s">
        <v>1687</v>
      </c>
      <c r="I230" s="40" t="s">
        <v>1688</v>
      </c>
      <c r="J230" s="40" t="s">
        <v>1689</v>
      </c>
      <c r="K230" s="40" t="s">
        <v>1687</v>
      </c>
      <c r="L230" s="40" t="s">
        <v>1687</v>
      </c>
      <c r="M230" s="40" t="s">
        <v>1687</v>
      </c>
      <c r="N230" s="40" t="s">
        <v>1690</v>
      </c>
      <c r="O230" s="40" t="s">
        <v>1691</v>
      </c>
      <c r="P230" s="40" t="s">
        <v>1692</v>
      </c>
      <c r="Q230" s="40" t="s">
        <v>1687</v>
      </c>
    </row>
    <row r="231">
      <c r="A231" s="39" t="str">
        <f t="shared" si="1"/>
        <v>6, 101</v>
      </c>
      <c r="B231" s="39" t="s">
        <v>1098</v>
      </c>
      <c r="C231" s="39">
        <v>101.0</v>
      </c>
      <c r="D231" s="40" t="s">
        <v>578</v>
      </c>
      <c r="E231" s="40"/>
      <c r="F231" s="40" t="str">
        <f t="shared" si="2"/>
        <v>ELECTRODE</v>
      </c>
      <c r="G231" s="40" t="s">
        <v>1693</v>
      </c>
      <c r="H231" s="40" t="s">
        <v>1694</v>
      </c>
      <c r="I231" s="40" t="s">
        <v>1694</v>
      </c>
      <c r="J231" s="40" t="s">
        <v>1695</v>
      </c>
      <c r="K231" s="40" t="s">
        <v>1694</v>
      </c>
      <c r="L231" s="40" t="s">
        <v>1694</v>
      </c>
      <c r="M231" s="40" t="s">
        <v>1694</v>
      </c>
      <c r="N231" s="40" t="s">
        <v>1696</v>
      </c>
      <c r="O231" s="40" t="s">
        <v>1697</v>
      </c>
      <c r="P231" s="40" t="s">
        <v>1698</v>
      </c>
      <c r="Q231" s="40" t="s">
        <v>1694</v>
      </c>
    </row>
    <row r="232">
      <c r="A232" s="39" t="str">
        <f t="shared" si="1"/>
        <v>6, 102</v>
      </c>
      <c r="B232" s="39" t="s">
        <v>1098</v>
      </c>
      <c r="C232" s="39">
        <v>102.0</v>
      </c>
      <c r="D232" s="40" t="s">
        <v>578</v>
      </c>
      <c r="E232" s="40"/>
      <c r="F232" s="40" t="str">
        <f t="shared" si="2"/>
        <v>EXEGGCUTE</v>
      </c>
      <c r="G232" s="40" t="s">
        <v>1699</v>
      </c>
      <c r="H232" s="40" t="s">
        <v>1700</v>
      </c>
      <c r="I232" s="40" t="s">
        <v>1701</v>
      </c>
      <c r="J232" s="40" t="s">
        <v>1702</v>
      </c>
      <c r="K232" s="40" t="s">
        <v>1700</v>
      </c>
      <c r="L232" s="40" t="s">
        <v>1700</v>
      </c>
      <c r="M232" s="40" t="s">
        <v>1700</v>
      </c>
      <c r="N232" s="40" t="s">
        <v>1703</v>
      </c>
      <c r="O232" s="40" t="s">
        <v>1704</v>
      </c>
      <c r="P232" s="40" t="s">
        <v>1704</v>
      </c>
      <c r="Q232" s="40" t="s">
        <v>1700</v>
      </c>
    </row>
    <row r="233">
      <c r="A233" s="39" t="str">
        <f t="shared" si="1"/>
        <v>6, 103</v>
      </c>
      <c r="B233" s="39" t="s">
        <v>1098</v>
      </c>
      <c r="C233" s="39">
        <v>103.0</v>
      </c>
      <c r="D233" s="40" t="s">
        <v>578</v>
      </c>
      <c r="E233" s="40"/>
      <c r="F233" s="40" t="str">
        <f t="shared" si="2"/>
        <v>EXEGGUTOR</v>
      </c>
      <c r="G233" s="40" t="s">
        <v>1705</v>
      </c>
      <c r="H233" s="40" t="s">
        <v>1706</v>
      </c>
      <c r="I233" s="40" t="s">
        <v>1707</v>
      </c>
      <c r="J233" s="40" t="s">
        <v>1708</v>
      </c>
      <c r="K233" s="40" t="s">
        <v>1706</v>
      </c>
      <c r="L233" s="40" t="s">
        <v>1706</v>
      </c>
      <c r="M233" s="40" t="s">
        <v>1706</v>
      </c>
      <c r="N233" s="40" t="s">
        <v>1709</v>
      </c>
      <c r="O233" s="40" t="s">
        <v>1710</v>
      </c>
      <c r="P233" s="40" t="s">
        <v>1711</v>
      </c>
      <c r="Q233" s="40" t="s">
        <v>1706</v>
      </c>
    </row>
    <row r="234">
      <c r="A234" s="39" t="str">
        <f t="shared" si="1"/>
        <v>6, 104</v>
      </c>
      <c r="B234" s="39" t="s">
        <v>1098</v>
      </c>
      <c r="C234" s="39">
        <v>104.0</v>
      </c>
      <c r="D234" s="40" t="s">
        <v>578</v>
      </c>
      <c r="E234" s="40"/>
      <c r="F234" s="40" t="str">
        <f t="shared" si="2"/>
        <v>CUBONE</v>
      </c>
      <c r="G234" s="40" t="s">
        <v>1712</v>
      </c>
      <c r="H234" s="40" t="s">
        <v>1713</v>
      </c>
      <c r="I234" s="40" t="s">
        <v>1714</v>
      </c>
      <c r="J234" s="40" t="s">
        <v>1715</v>
      </c>
      <c r="K234" s="40" t="s">
        <v>1713</v>
      </c>
      <c r="L234" s="40" t="s">
        <v>1713</v>
      </c>
      <c r="M234" s="40" t="s">
        <v>1713</v>
      </c>
      <c r="N234" s="40" t="s">
        <v>1716</v>
      </c>
      <c r="O234" s="40" t="s">
        <v>1717</v>
      </c>
      <c r="P234" s="40" t="s">
        <v>1717</v>
      </c>
      <c r="Q234" s="40" t="s">
        <v>1713</v>
      </c>
    </row>
    <row r="235">
      <c r="A235" s="39" t="str">
        <f t="shared" si="1"/>
        <v>6, 105</v>
      </c>
      <c r="B235" s="39" t="s">
        <v>1098</v>
      </c>
      <c r="C235" s="39">
        <v>105.0</v>
      </c>
      <c r="D235" s="40" t="s">
        <v>578</v>
      </c>
      <c r="E235" s="40"/>
      <c r="F235" s="40" t="str">
        <f t="shared" si="2"/>
        <v>MAROWAK</v>
      </c>
      <c r="G235" s="40" t="s">
        <v>1718</v>
      </c>
      <c r="H235" s="40" t="s">
        <v>1719</v>
      </c>
      <c r="I235" s="40" t="s">
        <v>1720</v>
      </c>
      <c r="J235" s="40" t="s">
        <v>1721</v>
      </c>
      <c r="K235" s="40" t="s">
        <v>1719</v>
      </c>
      <c r="L235" s="40" t="s">
        <v>1719</v>
      </c>
      <c r="M235" s="40" t="s">
        <v>1719</v>
      </c>
      <c r="N235" s="40" t="s">
        <v>1722</v>
      </c>
      <c r="O235" s="40" t="s">
        <v>1723</v>
      </c>
      <c r="P235" s="40" t="s">
        <v>1723</v>
      </c>
      <c r="Q235" s="40" t="s">
        <v>1719</v>
      </c>
    </row>
    <row r="236">
      <c r="A236" s="39" t="str">
        <f t="shared" si="1"/>
        <v>6, 106</v>
      </c>
      <c r="B236" s="39" t="s">
        <v>1098</v>
      </c>
      <c r="C236" s="39">
        <v>106.0</v>
      </c>
      <c r="D236" s="40" t="s">
        <v>578</v>
      </c>
      <c r="E236" s="40"/>
      <c r="F236" s="40" t="str">
        <f t="shared" si="2"/>
        <v>HITMONLEE</v>
      </c>
      <c r="G236" s="40" t="s">
        <v>1724</v>
      </c>
      <c r="H236" s="40" t="s">
        <v>1725</v>
      </c>
      <c r="I236" s="40" t="s">
        <v>1726</v>
      </c>
      <c r="J236" s="40" t="s">
        <v>1726</v>
      </c>
      <c r="K236" s="40" t="s">
        <v>1725</v>
      </c>
      <c r="L236" s="40" t="s">
        <v>1725</v>
      </c>
      <c r="M236" s="40" t="s">
        <v>1725</v>
      </c>
      <c r="N236" s="40" t="s">
        <v>1727</v>
      </c>
      <c r="O236" s="40" t="s">
        <v>1728</v>
      </c>
      <c r="P236" s="40" t="s">
        <v>1729</v>
      </c>
      <c r="Q236" s="40" t="s">
        <v>1725</v>
      </c>
    </row>
    <row r="237">
      <c r="A237" s="39" t="str">
        <f t="shared" si="1"/>
        <v>6, 107</v>
      </c>
      <c r="B237" s="39" t="s">
        <v>1098</v>
      </c>
      <c r="C237" s="39">
        <v>107.0</v>
      </c>
      <c r="D237" s="40" t="s">
        <v>578</v>
      </c>
      <c r="E237" s="40"/>
      <c r="F237" s="40" t="str">
        <f t="shared" si="2"/>
        <v>HITMONCHAN</v>
      </c>
      <c r="G237" s="40" t="s">
        <v>1730</v>
      </c>
      <c r="H237" s="40" t="s">
        <v>1731</v>
      </c>
      <c r="I237" s="40" t="s">
        <v>1732</v>
      </c>
      <c r="J237" s="40" t="s">
        <v>1733</v>
      </c>
      <c r="K237" s="40" t="s">
        <v>1731</v>
      </c>
      <c r="L237" s="40" t="s">
        <v>1731</v>
      </c>
      <c r="M237" s="40" t="s">
        <v>1731</v>
      </c>
      <c r="N237" s="40" t="s">
        <v>1734</v>
      </c>
      <c r="O237" s="40" t="s">
        <v>1735</v>
      </c>
      <c r="P237" s="40" t="s">
        <v>1735</v>
      </c>
      <c r="Q237" s="40" t="s">
        <v>1731</v>
      </c>
    </row>
    <row r="238">
      <c r="A238" s="39" t="str">
        <f t="shared" si="1"/>
        <v>6, 108</v>
      </c>
      <c r="B238" s="39" t="s">
        <v>1098</v>
      </c>
      <c r="C238" s="39">
        <v>108.0</v>
      </c>
      <c r="D238" s="40" t="s">
        <v>578</v>
      </c>
      <c r="E238" s="40"/>
      <c r="F238" s="40" t="str">
        <f t="shared" si="2"/>
        <v>LICKITUNG</v>
      </c>
      <c r="G238" s="40" t="s">
        <v>1736</v>
      </c>
      <c r="H238" s="40" t="s">
        <v>1737</v>
      </c>
      <c r="I238" s="40" t="s">
        <v>1738</v>
      </c>
      <c r="J238" s="40" t="s">
        <v>1739</v>
      </c>
      <c r="K238" s="40" t="s">
        <v>1737</v>
      </c>
      <c r="L238" s="40" t="s">
        <v>1737</v>
      </c>
      <c r="M238" s="40" t="s">
        <v>1737</v>
      </c>
      <c r="N238" s="40" t="s">
        <v>1740</v>
      </c>
      <c r="O238" s="40" t="s">
        <v>1741</v>
      </c>
      <c r="P238" s="40" t="s">
        <v>1742</v>
      </c>
      <c r="Q238" s="40" t="s">
        <v>1737</v>
      </c>
    </row>
    <row r="239">
      <c r="A239" s="39" t="str">
        <f t="shared" si="1"/>
        <v>6, 109</v>
      </c>
      <c r="B239" s="39" t="s">
        <v>1098</v>
      </c>
      <c r="C239" s="39">
        <v>109.0</v>
      </c>
      <c r="D239" s="40" t="s">
        <v>578</v>
      </c>
      <c r="E239" s="40"/>
      <c r="F239" s="40" t="str">
        <f t="shared" si="2"/>
        <v>KOFFING</v>
      </c>
      <c r="G239" s="40" t="s">
        <v>1743</v>
      </c>
      <c r="H239" s="40" t="s">
        <v>1744</v>
      </c>
      <c r="I239" s="40" t="s">
        <v>1745</v>
      </c>
      <c r="J239" s="40" t="s">
        <v>1746</v>
      </c>
      <c r="K239" s="40" t="s">
        <v>1744</v>
      </c>
      <c r="L239" s="40" t="s">
        <v>1744</v>
      </c>
      <c r="M239" s="40" t="s">
        <v>1744</v>
      </c>
      <c r="N239" s="40" t="s">
        <v>1747</v>
      </c>
      <c r="O239" s="40" t="s">
        <v>1748</v>
      </c>
      <c r="P239" s="40" t="s">
        <v>1749</v>
      </c>
      <c r="Q239" s="40" t="s">
        <v>1744</v>
      </c>
    </row>
    <row r="240">
      <c r="A240" s="39" t="str">
        <f t="shared" si="1"/>
        <v>6, 110</v>
      </c>
      <c r="B240" s="39" t="s">
        <v>1098</v>
      </c>
      <c r="C240" s="39">
        <v>110.0</v>
      </c>
      <c r="D240" s="40" t="s">
        <v>578</v>
      </c>
      <c r="E240" s="40"/>
      <c r="F240" s="40" t="str">
        <f t="shared" si="2"/>
        <v>WEEZING</v>
      </c>
      <c r="G240" s="40" t="s">
        <v>1750</v>
      </c>
      <c r="H240" s="40" t="s">
        <v>1751</v>
      </c>
      <c r="I240" s="40" t="s">
        <v>1752</v>
      </c>
      <c r="J240" s="40" t="s">
        <v>1753</v>
      </c>
      <c r="K240" s="40" t="s">
        <v>1751</v>
      </c>
      <c r="L240" s="40" t="s">
        <v>1751</v>
      </c>
      <c r="M240" s="40" t="s">
        <v>1751</v>
      </c>
      <c r="N240" s="40" t="s">
        <v>1754</v>
      </c>
      <c r="O240" s="40" t="s">
        <v>1755</v>
      </c>
      <c r="P240" s="40" t="s">
        <v>1756</v>
      </c>
      <c r="Q240" s="40" t="s">
        <v>1751</v>
      </c>
    </row>
    <row r="241">
      <c r="A241" s="39" t="str">
        <f t="shared" si="1"/>
        <v>6, 111</v>
      </c>
      <c r="B241" s="39" t="s">
        <v>1098</v>
      </c>
      <c r="C241" s="39">
        <v>111.0</v>
      </c>
      <c r="D241" s="40" t="s">
        <v>578</v>
      </c>
      <c r="E241" s="40"/>
      <c r="F241" s="40" t="str">
        <f t="shared" si="2"/>
        <v>RHYHORN</v>
      </c>
      <c r="G241" s="40" t="s">
        <v>1757</v>
      </c>
      <c r="H241" s="40" t="s">
        <v>1758</v>
      </c>
      <c r="I241" s="40" t="s">
        <v>1759</v>
      </c>
      <c r="J241" s="40" t="s">
        <v>1760</v>
      </c>
      <c r="K241" s="40" t="s">
        <v>1758</v>
      </c>
      <c r="L241" s="40" t="s">
        <v>1758</v>
      </c>
      <c r="M241" s="40" t="s">
        <v>1758</v>
      </c>
      <c r="N241" s="40" t="s">
        <v>1761</v>
      </c>
      <c r="O241" s="40" t="s">
        <v>1762</v>
      </c>
      <c r="P241" s="40" t="s">
        <v>1763</v>
      </c>
      <c r="Q241" s="40" t="s">
        <v>1758</v>
      </c>
    </row>
    <row r="242">
      <c r="A242" s="39" t="str">
        <f t="shared" si="1"/>
        <v>6, 112</v>
      </c>
      <c r="B242" s="39" t="s">
        <v>1098</v>
      </c>
      <c r="C242" s="39">
        <v>112.0</v>
      </c>
      <c r="D242" s="40" t="s">
        <v>578</v>
      </c>
      <c r="E242" s="40"/>
      <c r="F242" s="40" t="str">
        <f t="shared" si="2"/>
        <v>RHYDON</v>
      </c>
      <c r="G242" s="40" t="s">
        <v>1764</v>
      </c>
      <c r="H242" s="40" t="s">
        <v>1765</v>
      </c>
      <c r="I242" s="40" t="s">
        <v>1766</v>
      </c>
      <c r="J242" s="40" t="s">
        <v>1767</v>
      </c>
      <c r="K242" s="40" t="s">
        <v>1765</v>
      </c>
      <c r="L242" s="40" t="s">
        <v>1765</v>
      </c>
      <c r="M242" s="40" t="s">
        <v>1765</v>
      </c>
      <c r="N242" s="40" t="s">
        <v>1768</v>
      </c>
      <c r="O242" s="40" t="s">
        <v>1769</v>
      </c>
      <c r="P242" s="40" t="s">
        <v>1770</v>
      </c>
      <c r="Q242" s="40" t="s">
        <v>1765</v>
      </c>
    </row>
    <row r="243">
      <c r="A243" s="39" t="str">
        <f t="shared" si="1"/>
        <v>6, 113</v>
      </c>
      <c r="B243" s="39" t="s">
        <v>1098</v>
      </c>
      <c r="C243" s="39">
        <v>113.0</v>
      </c>
      <c r="D243" s="40" t="s">
        <v>578</v>
      </c>
      <c r="E243" s="40"/>
      <c r="F243" s="40" t="str">
        <f t="shared" si="2"/>
        <v>CHANSEY</v>
      </c>
      <c r="G243" s="40" t="s">
        <v>1771</v>
      </c>
      <c r="H243" s="40" t="s">
        <v>1772</v>
      </c>
      <c r="I243" s="40" t="s">
        <v>1773</v>
      </c>
      <c r="J243" s="40" t="s">
        <v>1774</v>
      </c>
      <c r="K243" s="40" t="s">
        <v>1772</v>
      </c>
      <c r="L243" s="40" t="s">
        <v>1772</v>
      </c>
      <c r="M243" s="40" t="s">
        <v>1772</v>
      </c>
      <c r="N243" s="40" t="s">
        <v>1775</v>
      </c>
      <c r="O243" s="40" t="s">
        <v>1776</v>
      </c>
      <c r="P243" s="40" t="s">
        <v>1776</v>
      </c>
      <c r="Q243" s="40" t="s">
        <v>1772</v>
      </c>
    </row>
    <row r="244">
      <c r="A244" s="39" t="str">
        <f t="shared" si="1"/>
        <v>6, 114</v>
      </c>
      <c r="B244" s="39" t="s">
        <v>1098</v>
      </c>
      <c r="C244" s="39">
        <v>114.0</v>
      </c>
      <c r="D244" s="40" t="s">
        <v>578</v>
      </c>
      <c r="E244" s="40"/>
      <c r="F244" s="40" t="str">
        <f t="shared" si="2"/>
        <v>TANGELA</v>
      </c>
      <c r="G244" s="40" t="s">
        <v>1777</v>
      </c>
      <c r="H244" s="40" t="s">
        <v>1778</v>
      </c>
      <c r="I244" s="40" t="s">
        <v>1779</v>
      </c>
      <c r="J244" s="40" t="s">
        <v>1778</v>
      </c>
      <c r="K244" s="40" t="s">
        <v>1778</v>
      </c>
      <c r="L244" s="40" t="s">
        <v>1778</v>
      </c>
      <c r="M244" s="40" t="s">
        <v>1778</v>
      </c>
      <c r="N244" s="40" t="s">
        <v>1780</v>
      </c>
      <c r="O244" s="40" t="s">
        <v>1781</v>
      </c>
      <c r="P244" s="40" t="s">
        <v>1781</v>
      </c>
      <c r="Q244" s="40" t="s">
        <v>1778</v>
      </c>
    </row>
    <row r="245">
      <c r="A245" s="39" t="str">
        <f t="shared" si="1"/>
        <v>6, 115</v>
      </c>
      <c r="B245" s="39" t="s">
        <v>1098</v>
      </c>
      <c r="C245" s="39">
        <v>115.0</v>
      </c>
      <c r="D245" s="40" t="s">
        <v>578</v>
      </c>
      <c r="E245" s="40"/>
      <c r="F245" s="40" t="str">
        <f t="shared" si="2"/>
        <v>KANGASKHAN</v>
      </c>
      <c r="G245" s="40" t="s">
        <v>1782</v>
      </c>
      <c r="H245" s="40" t="s">
        <v>1783</v>
      </c>
      <c r="I245" s="40" t="s">
        <v>1784</v>
      </c>
      <c r="J245" s="40" t="s">
        <v>1785</v>
      </c>
      <c r="K245" s="40" t="s">
        <v>1783</v>
      </c>
      <c r="L245" s="40" t="s">
        <v>1783</v>
      </c>
      <c r="M245" s="40" t="s">
        <v>1783</v>
      </c>
      <c r="N245" s="40" t="s">
        <v>1786</v>
      </c>
      <c r="O245" s="40" t="s">
        <v>1787</v>
      </c>
      <c r="P245" s="40" t="s">
        <v>1788</v>
      </c>
      <c r="Q245" s="40" t="s">
        <v>1783</v>
      </c>
    </row>
    <row r="246">
      <c r="A246" s="39" t="str">
        <f t="shared" si="1"/>
        <v>6, 116</v>
      </c>
      <c r="B246" s="39" t="s">
        <v>1098</v>
      </c>
      <c r="C246" s="39">
        <v>116.0</v>
      </c>
      <c r="D246" s="40" t="s">
        <v>578</v>
      </c>
      <c r="E246" s="40"/>
      <c r="F246" s="40" t="str">
        <f t="shared" si="2"/>
        <v>HORSEA</v>
      </c>
      <c r="G246" s="40" t="s">
        <v>1789</v>
      </c>
      <c r="H246" s="40" t="s">
        <v>1790</v>
      </c>
      <c r="I246" s="40" t="s">
        <v>1791</v>
      </c>
      <c r="J246" s="40" t="s">
        <v>1792</v>
      </c>
      <c r="K246" s="40" t="s">
        <v>1790</v>
      </c>
      <c r="L246" s="40" t="s">
        <v>1790</v>
      </c>
      <c r="M246" s="40" t="s">
        <v>1790</v>
      </c>
      <c r="N246" s="40" t="s">
        <v>1793</v>
      </c>
      <c r="O246" s="40" t="s">
        <v>1794</v>
      </c>
      <c r="P246" s="40" t="s">
        <v>1795</v>
      </c>
      <c r="Q246" s="40" t="s">
        <v>1790</v>
      </c>
    </row>
    <row r="247">
      <c r="A247" s="39" t="str">
        <f t="shared" si="1"/>
        <v>6, 117</v>
      </c>
      <c r="B247" s="39" t="s">
        <v>1098</v>
      </c>
      <c r="C247" s="39">
        <v>117.0</v>
      </c>
      <c r="D247" s="40" t="s">
        <v>578</v>
      </c>
      <c r="E247" s="40"/>
      <c r="F247" s="40" t="str">
        <f t="shared" si="2"/>
        <v>SEADRA</v>
      </c>
      <c r="G247" s="40" t="s">
        <v>1796</v>
      </c>
      <c r="H247" s="40" t="s">
        <v>1797</v>
      </c>
      <c r="I247" s="40" t="s">
        <v>1798</v>
      </c>
      <c r="J247" s="40" t="s">
        <v>1799</v>
      </c>
      <c r="K247" s="40" t="s">
        <v>1797</v>
      </c>
      <c r="L247" s="40" t="s">
        <v>1797</v>
      </c>
      <c r="M247" s="40" t="s">
        <v>1797</v>
      </c>
      <c r="N247" s="40" t="s">
        <v>1800</v>
      </c>
      <c r="O247" s="40" t="s">
        <v>1801</v>
      </c>
      <c r="P247" s="40" t="s">
        <v>1802</v>
      </c>
      <c r="Q247" s="40" t="s">
        <v>1797</v>
      </c>
    </row>
    <row r="248">
      <c r="A248" s="39" t="str">
        <f t="shared" si="1"/>
        <v>6, 118</v>
      </c>
      <c r="B248" s="39" t="s">
        <v>1098</v>
      </c>
      <c r="C248" s="39">
        <v>118.0</v>
      </c>
      <c r="D248" s="40" t="s">
        <v>578</v>
      </c>
      <c r="E248" s="40"/>
      <c r="F248" s="40" t="str">
        <f t="shared" si="2"/>
        <v>GOLDEEN</v>
      </c>
      <c r="G248" s="40" t="s">
        <v>1803</v>
      </c>
      <c r="H248" s="40" t="s">
        <v>1804</v>
      </c>
      <c r="I248" s="40" t="s">
        <v>1805</v>
      </c>
      <c r="J248" s="40" t="s">
        <v>1806</v>
      </c>
      <c r="K248" s="40" t="s">
        <v>1804</v>
      </c>
      <c r="L248" s="40" t="s">
        <v>1804</v>
      </c>
      <c r="M248" s="40" t="s">
        <v>1804</v>
      </c>
      <c r="N248" s="40" t="s">
        <v>1807</v>
      </c>
      <c r="O248" s="40" t="s">
        <v>1808</v>
      </c>
      <c r="P248" s="40" t="s">
        <v>1809</v>
      </c>
      <c r="Q248" s="40" t="s">
        <v>1804</v>
      </c>
    </row>
    <row r="249">
      <c r="A249" s="39" t="str">
        <f t="shared" si="1"/>
        <v>6, 119</v>
      </c>
      <c r="B249" s="39" t="s">
        <v>1098</v>
      </c>
      <c r="C249" s="39">
        <v>119.0</v>
      </c>
      <c r="D249" s="40" t="s">
        <v>578</v>
      </c>
      <c r="E249" s="40"/>
      <c r="F249" s="40" t="str">
        <f t="shared" si="2"/>
        <v>SEAKING</v>
      </c>
      <c r="G249" s="40" t="s">
        <v>1810</v>
      </c>
      <c r="H249" s="40" t="s">
        <v>1811</v>
      </c>
      <c r="I249" s="40" t="s">
        <v>1812</v>
      </c>
      <c r="J249" s="40" t="s">
        <v>1813</v>
      </c>
      <c r="K249" s="40" t="s">
        <v>1811</v>
      </c>
      <c r="L249" s="40" t="s">
        <v>1811</v>
      </c>
      <c r="M249" s="40" t="s">
        <v>1811</v>
      </c>
      <c r="N249" s="40" t="s">
        <v>1814</v>
      </c>
      <c r="O249" s="40" t="s">
        <v>1815</v>
      </c>
      <c r="P249" s="40" t="s">
        <v>1816</v>
      </c>
      <c r="Q249" s="40" t="s">
        <v>1811</v>
      </c>
    </row>
    <row r="250">
      <c r="A250" s="39" t="str">
        <f t="shared" si="1"/>
        <v>6, 120</v>
      </c>
      <c r="B250" s="39" t="s">
        <v>1098</v>
      </c>
      <c r="C250" s="39">
        <v>120.0</v>
      </c>
      <c r="D250" s="40" t="s">
        <v>578</v>
      </c>
      <c r="E250" s="40"/>
      <c r="F250" s="40" t="str">
        <f t="shared" si="2"/>
        <v>STARYU</v>
      </c>
      <c r="G250" s="40" t="s">
        <v>1817</v>
      </c>
      <c r="H250" s="40" t="s">
        <v>1818</v>
      </c>
      <c r="I250" s="40" t="s">
        <v>1819</v>
      </c>
      <c r="J250" s="40" t="s">
        <v>1820</v>
      </c>
      <c r="K250" s="40" t="s">
        <v>1818</v>
      </c>
      <c r="L250" s="40" t="s">
        <v>1818</v>
      </c>
      <c r="M250" s="40" t="s">
        <v>1818</v>
      </c>
      <c r="N250" s="40" t="s">
        <v>1821</v>
      </c>
      <c r="O250" s="40" t="s">
        <v>1822</v>
      </c>
      <c r="P250" s="40" t="s">
        <v>1822</v>
      </c>
      <c r="Q250" s="40" t="s">
        <v>1818</v>
      </c>
    </row>
    <row r="251">
      <c r="A251" s="39" t="str">
        <f t="shared" si="1"/>
        <v>6, 121</v>
      </c>
      <c r="B251" s="39" t="s">
        <v>1098</v>
      </c>
      <c r="C251" s="39">
        <v>121.0</v>
      </c>
      <c r="D251" s="40" t="s">
        <v>578</v>
      </c>
      <c r="E251" s="40"/>
      <c r="F251" s="40" t="str">
        <f t="shared" si="2"/>
        <v>STARMIE</v>
      </c>
      <c r="G251" s="40" t="s">
        <v>1823</v>
      </c>
      <c r="H251" s="40" t="s">
        <v>1824</v>
      </c>
      <c r="I251" s="40" t="s">
        <v>1825</v>
      </c>
      <c r="J251" s="40" t="s">
        <v>1824</v>
      </c>
      <c r="K251" s="40" t="s">
        <v>1824</v>
      </c>
      <c r="L251" s="40" t="s">
        <v>1824</v>
      </c>
      <c r="M251" s="40" t="s">
        <v>1824</v>
      </c>
      <c r="N251" s="40" t="s">
        <v>1826</v>
      </c>
      <c r="O251" s="40" t="s">
        <v>1827</v>
      </c>
      <c r="P251" s="40" t="s">
        <v>1828</v>
      </c>
      <c r="Q251" s="40" t="s">
        <v>1824</v>
      </c>
    </row>
    <row r="252">
      <c r="A252" s="39" t="str">
        <f t="shared" si="1"/>
        <v>6, 122</v>
      </c>
      <c r="B252" s="39" t="s">
        <v>1098</v>
      </c>
      <c r="C252" s="39">
        <v>122.0</v>
      </c>
      <c r="D252" s="40" t="s">
        <v>578</v>
      </c>
      <c r="E252" s="40"/>
      <c r="F252" s="40" t="str">
        <f t="shared" si="2"/>
        <v>MR. MIME</v>
      </c>
      <c r="G252" s="40" t="s">
        <v>1829</v>
      </c>
      <c r="H252" s="40" t="s">
        <v>1830</v>
      </c>
      <c r="I252" s="40" t="s">
        <v>1831</v>
      </c>
      <c r="J252" s="40" t="s">
        <v>1832</v>
      </c>
      <c r="K252" s="40" t="s">
        <v>1830</v>
      </c>
      <c r="L252" s="40" t="s">
        <v>1830</v>
      </c>
      <c r="M252" s="40" t="s">
        <v>1830</v>
      </c>
      <c r="N252" s="40" t="s">
        <v>1833</v>
      </c>
      <c r="O252" s="40" t="s">
        <v>1834</v>
      </c>
      <c r="P252" s="40" t="s">
        <v>1835</v>
      </c>
      <c r="Q252" s="40" t="s">
        <v>1830</v>
      </c>
    </row>
    <row r="253">
      <c r="A253" s="39" t="str">
        <f t="shared" si="1"/>
        <v>6, 123</v>
      </c>
      <c r="B253" s="39" t="s">
        <v>1098</v>
      </c>
      <c r="C253" s="39">
        <v>123.0</v>
      </c>
      <c r="D253" s="40" t="s">
        <v>578</v>
      </c>
      <c r="E253" s="40"/>
      <c r="F253" s="40" t="str">
        <f t="shared" si="2"/>
        <v>SCYTHER</v>
      </c>
      <c r="G253" s="40" t="s">
        <v>1836</v>
      </c>
      <c r="H253" s="40" t="s">
        <v>1837</v>
      </c>
      <c r="I253" s="40" t="s">
        <v>1838</v>
      </c>
      <c r="J253" s="40" t="s">
        <v>1839</v>
      </c>
      <c r="K253" s="40" t="s">
        <v>1837</v>
      </c>
      <c r="L253" s="40" t="s">
        <v>1837</v>
      </c>
      <c r="M253" s="40" t="s">
        <v>1837</v>
      </c>
      <c r="N253" s="40" t="s">
        <v>1840</v>
      </c>
      <c r="O253" s="40" t="s">
        <v>1841</v>
      </c>
      <c r="P253" s="40" t="s">
        <v>1842</v>
      </c>
      <c r="Q253" s="40" t="s">
        <v>1837</v>
      </c>
    </row>
    <row r="254">
      <c r="A254" s="39" t="str">
        <f t="shared" si="1"/>
        <v>6, 124</v>
      </c>
      <c r="B254" s="39" t="s">
        <v>1098</v>
      </c>
      <c r="C254" s="39">
        <v>124.0</v>
      </c>
      <c r="D254" s="40" t="s">
        <v>578</v>
      </c>
      <c r="E254" s="40"/>
      <c r="F254" s="40" t="str">
        <f t="shared" si="2"/>
        <v>JYNX</v>
      </c>
      <c r="G254" s="40" t="s">
        <v>1843</v>
      </c>
      <c r="H254" s="40" t="s">
        <v>1844</v>
      </c>
      <c r="I254" s="40" t="s">
        <v>1845</v>
      </c>
      <c r="J254" s="40" t="s">
        <v>1846</v>
      </c>
      <c r="K254" s="40" t="s">
        <v>1844</v>
      </c>
      <c r="L254" s="40" t="s">
        <v>1844</v>
      </c>
      <c r="M254" s="40" t="s">
        <v>1844</v>
      </c>
      <c r="N254" s="40" t="s">
        <v>1847</v>
      </c>
      <c r="O254" s="40" t="s">
        <v>1848</v>
      </c>
      <c r="P254" s="40" t="s">
        <v>1848</v>
      </c>
      <c r="Q254" s="40" t="s">
        <v>1844</v>
      </c>
    </row>
    <row r="255">
      <c r="A255" s="39" t="str">
        <f t="shared" si="1"/>
        <v>6, 125</v>
      </c>
      <c r="B255" s="39" t="s">
        <v>1098</v>
      </c>
      <c r="C255" s="39">
        <v>125.0</v>
      </c>
      <c r="D255" s="40" t="s">
        <v>578</v>
      </c>
      <c r="E255" s="40"/>
      <c r="F255" s="40" t="str">
        <f t="shared" si="2"/>
        <v>ELECTABUZZ</v>
      </c>
      <c r="G255" s="40" t="s">
        <v>1849</v>
      </c>
      <c r="H255" s="40" t="s">
        <v>1850</v>
      </c>
      <c r="I255" s="40" t="s">
        <v>1851</v>
      </c>
      <c r="J255" s="40" t="s">
        <v>1851</v>
      </c>
      <c r="K255" s="40" t="s">
        <v>1850</v>
      </c>
      <c r="L255" s="40" t="s">
        <v>1850</v>
      </c>
      <c r="M255" s="40" t="s">
        <v>1850</v>
      </c>
      <c r="N255" s="40" t="s">
        <v>1852</v>
      </c>
      <c r="O255" s="40" t="s">
        <v>1853</v>
      </c>
      <c r="P255" s="40" t="s">
        <v>1854</v>
      </c>
      <c r="Q255" s="40" t="s">
        <v>1850</v>
      </c>
    </row>
    <row r="256">
      <c r="A256" s="39" t="str">
        <f t="shared" si="1"/>
        <v>6, 126</v>
      </c>
      <c r="B256" s="39" t="s">
        <v>1098</v>
      </c>
      <c r="C256" s="39">
        <v>126.0</v>
      </c>
      <c r="D256" s="40" t="s">
        <v>578</v>
      </c>
      <c r="E256" s="40"/>
      <c r="F256" s="40" t="str">
        <f t="shared" si="2"/>
        <v>MAGMAR</v>
      </c>
      <c r="G256" s="40" t="s">
        <v>1855</v>
      </c>
      <c r="H256" s="40" t="s">
        <v>1856</v>
      </c>
      <c r="I256" s="40" t="s">
        <v>1856</v>
      </c>
      <c r="J256" s="40" t="s">
        <v>1856</v>
      </c>
      <c r="K256" s="40" t="s">
        <v>1856</v>
      </c>
      <c r="L256" s="40" t="s">
        <v>1856</v>
      </c>
      <c r="M256" s="40" t="s">
        <v>1856</v>
      </c>
      <c r="N256" s="40" t="s">
        <v>1857</v>
      </c>
      <c r="O256" s="40" t="s">
        <v>1858</v>
      </c>
      <c r="P256" s="40" t="s">
        <v>1859</v>
      </c>
      <c r="Q256" s="40" t="s">
        <v>1856</v>
      </c>
    </row>
    <row r="257">
      <c r="A257" s="39" t="str">
        <f t="shared" si="1"/>
        <v>6, 127</v>
      </c>
      <c r="B257" s="39" t="s">
        <v>1098</v>
      </c>
      <c r="C257" s="39">
        <v>127.0</v>
      </c>
      <c r="D257" s="40" t="s">
        <v>578</v>
      </c>
      <c r="E257" s="40"/>
      <c r="F257" s="40" t="str">
        <f t="shared" si="2"/>
        <v>PINSIR</v>
      </c>
      <c r="G257" s="40" t="s">
        <v>1860</v>
      </c>
      <c r="H257" s="40" t="s">
        <v>1861</v>
      </c>
      <c r="I257" s="40" t="s">
        <v>1862</v>
      </c>
      <c r="J257" s="40" t="s">
        <v>1861</v>
      </c>
      <c r="K257" s="40" t="s">
        <v>1861</v>
      </c>
      <c r="L257" s="40" t="s">
        <v>1861</v>
      </c>
      <c r="M257" s="40" t="s">
        <v>1861</v>
      </c>
      <c r="N257" s="40" t="s">
        <v>1863</v>
      </c>
      <c r="O257" s="40" t="s">
        <v>1864</v>
      </c>
      <c r="P257" s="40" t="s">
        <v>1865</v>
      </c>
      <c r="Q257" s="40" t="s">
        <v>1861</v>
      </c>
    </row>
    <row r="258">
      <c r="A258" s="39" t="str">
        <f t="shared" si="1"/>
        <v>6, 128</v>
      </c>
      <c r="B258" s="39" t="s">
        <v>1098</v>
      </c>
      <c r="C258" s="39">
        <v>128.0</v>
      </c>
      <c r="D258" s="40" t="s">
        <v>578</v>
      </c>
      <c r="E258" s="40"/>
      <c r="F258" s="40" t="str">
        <f t="shared" si="2"/>
        <v>TAUROS</v>
      </c>
      <c r="G258" s="40" t="s">
        <v>1866</v>
      </c>
      <c r="H258" s="40" t="s">
        <v>1867</v>
      </c>
      <c r="I258" s="40" t="s">
        <v>1867</v>
      </c>
      <c r="J258" s="40" t="s">
        <v>1867</v>
      </c>
      <c r="K258" s="40" t="s">
        <v>1867</v>
      </c>
      <c r="L258" s="40" t="s">
        <v>1867</v>
      </c>
      <c r="M258" s="40" t="s">
        <v>1867</v>
      </c>
      <c r="N258" s="40" t="s">
        <v>1868</v>
      </c>
      <c r="O258" s="40" t="s">
        <v>1869</v>
      </c>
      <c r="P258" s="40" t="s">
        <v>1870</v>
      </c>
      <c r="Q258" s="40" t="s">
        <v>1867</v>
      </c>
    </row>
    <row r="259">
      <c r="A259" s="39" t="str">
        <f t="shared" si="1"/>
        <v>6, 129</v>
      </c>
      <c r="B259" s="39" t="s">
        <v>1098</v>
      </c>
      <c r="C259" s="39">
        <v>129.0</v>
      </c>
      <c r="D259" s="40" t="s">
        <v>578</v>
      </c>
      <c r="E259" s="40"/>
      <c r="F259" s="40" t="str">
        <f t="shared" si="2"/>
        <v>MAGIKARP</v>
      </c>
      <c r="G259" s="40" t="s">
        <v>1871</v>
      </c>
      <c r="H259" s="40" t="s">
        <v>1872</v>
      </c>
      <c r="I259" s="40" t="s">
        <v>1873</v>
      </c>
      <c r="J259" s="40" t="s">
        <v>1874</v>
      </c>
      <c r="K259" s="40" t="s">
        <v>1872</v>
      </c>
      <c r="L259" s="40" t="s">
        <v>1872</v>
      </c>
      <c r="M259" s="40" t="s">
        <v>1872</v>
      </c>
      <c r="N259" s="40" t="s">
        <v>1875</v>
      </c>
      <c r="O259" s="40" t="s">
        <v>1876</v>
      </c>
      <c r="P259" s="40" t="s">
        <v>1877</v>
      </c>
      <c r="Q259" s="40" t="s">
        <v>1872</v>
      </c>
    </row>
    <row r="260">
      <c r="A260" s="39" t="str">
        <f t="shared" si="1"/>
        <v>6, 130</v>
      </c>
      <c r="B260" s="39" t="s">
        <v>1098</v>
      </c>
      <c r="C260" s="39">
        <v>130.0</v>
      </c>
      <c r="D260" s="40" t="s">
        <v>578</v>
      </c>
      <c r="E260" s="40"/>
      <c r="F260" s="40" t="str">
        <f t="shared" si="2"/>
        <v>GYARADOS</v>
      </c>
      <c r="G260" s="40" t="s">
        <v>1878</v>
      </c>
      <c r="H260" s="40" t="s">
        <v>1879</v>
      </c>
      <c r="I260" s="40" t="s">
        <v>1880</v>
      </c>
      <c r="J260" s="40" t="s">
        <v>1881</v>
      </c>
      <c r="K260" s="40" t="s">
        <v>1879</v>
      </c>
      <c r="L260" s="40" t="s">
        <v>1879</v>
      </c>
      <c r="M260" s="40" t="s">
        <v>1879</v>
      </c>
      <c r="N260" s="40" t="s">
        <v>1882</v>
      </c>
      <c r="O260" s="40" t="s">
        <v>1883</v>
      </c>
      <c r="P260" s="40" t="s">
        <v>1884</v>
      </c>
      <c r="Q260" s="40" t="s">
        <v>1879</v>
      </c>
    </row>
    <row r="261">
      <c r="A261" s="39" t="str">
        <f t="shared" si="1"/>
        <v>6, 131</v>
      </c>
      <c r="B261" s="39" t="s">
        <v>1098</v>
      </c>
      <c r="C261" s="39">
        <v>131.0</v>
      </c>
      <c r="D261" s="40" t="s">
        <v>578</v>
      </c>
      <c r="E261" s="40"/>
      <c r="F261" s="40" t="str">
        <f t="shared" si="2"/>
        <v>LAPRAS</v>
      </c>
      <c r="G261" s="40" t="s">
        <v>1885</v>
      </c>
      <c r="H261" s="40" t="s">
        <v>1886</v>
      </c>
      <c r="I261" s="40" t="s">
        <v>1887</v>
      </c>
      <c r="J261" s="40" t="s">
        <v>1886</v>
      </c>
      <c r="K261" s="40" t="s">
        <v>1886</v>
      </c>
      <c r="L261" s="40" t="s">
        <v>1886</v>
      </c>
      <c r="M261" s="40" t="s">
        <v>1886</v>
      </c>
      <c r="N261" s="40" t="s">
        <v>1888</v>
      </c>
      <c r="O261" s="40" t="s">
        <v>1889</v>
      </c>
      <c r="P261" s="40" t="s">
        <v>1889</v>
      </c>
      <c r="Q261" s="40" t="s">
        <v>1886</v>
      </c>
    </row>
    <row r="262">
      <c r="A262" s="39" t="str">
        <f t="shared" si="1"/>
        <v>6, 132</v>
      </c>
      <c r="B262" s="39" t="s">
        <v>1098</v>
      </c>
      <c r="C262" s="39">
        <v>132.0</v>
      </c>
      <c r="D262" s="40" t="s">
        <v>578</v>
      </c>
      <c r="E262" s="40"/>
      <c r="F262" s="40" t="str">
        <f t="shared" si="2"/>
        <v>DITTO</v>
      </c>
      <c r="G262" s="40" t="s">
        <v>1890</v>
      </c>
      <c r="H262" s="40" t="s">
        <v>1891</v>
      </c>
      <c r="I262" s="40" t="s">
        <v>1892</v>
      </c>
      <c r="J262" s="40" t="s">
        <v>1891</v>
      </c>
      <c r="K262" s="40" t="s">
        <v>1891</v>
      </c>
      <c r="L262" s="40" t="s">
        <v>1891</v>
      </c>
      <c r="M262" s="40" t="s">
        <v>1891</v>
      </c>
      <c r="N262" s="40" t="s">
        <v>1893</v>
      </c>
      <c r="O262" s="40" t="s">
        <v>1894</v>
      </c>
      <c r="P262" s="40" t="s">
        <v>1895</v>
      </c>
      <c r="Q262" s="40" t="s">
        <v>1891</v>
      </c>
    </row>
    <row r="263">
      <c r="A263" s="39" t="str">
        <f t="shared" si="1"/>
        <v>6, 133</v>
      </c>
      <c r="B263" s="39" t="s">
        <v>1098</v>
      </c>
      <c r="C263" s="39">
        <v>133.0</v>
      </c>
      <c r="D263" s="40" t="s">
        <v>578</v>
      </c>
      <c r="E263" s="40"/>
      <c r="F263" s="40" t="str">
        <f t="shared" si="2"/>
        <v>EEVEE</v>
      </c>
      <c r="G263" s="40" t="s">
        <v>1896</v>
      </c>
      <c r="H263" s="40" t="s">
        <v>1897</v>
      </c>
      <c r="I263" s="40" t="s">
        <v>1898</v>
      </c>
      <c r="J263" s="40" t="s">
        <v>1898</v>
      </c>
      <c r="K263" s="40" t="s">
        <v>1897</v>
      </c>
      <c r="L263" s="40" t="s">
        <v>1897</v>
      </c>
      <c r="M263" s="40" t="s">
        <v>1897</v>
      </c>
      <c r="N263" s="40" t="s">
        <v>1899</v>
      </c>
      <c r="O263" s="40" t="s">
        <v>1900</v>
      </c>
      <c r="P263" s="40" t="s">
        <v>1900</v>
      </c>
      <c r="Q263" s="40" t="s">
        <v>1897</v>
      </c>
    </row>
    <row r="264">
      <c r="A264" s="39" t="str">
        <f t="shared" si="1"/>
        <v>6, 134</v>
      </c>
      <c r="B264" s="39" t="s">
        <v>1098</v>
      </c>
      <c r="C264" s="39">
        <v>134.0</v>
      </c>
      <c r="D264" s="40" t="s">
        <v>578</v>
      </c>
      <c r="E264" s="40"/>
      <c r="F264" s="40" t="str">
        <f t="shared" si="2"/>
        <v>VAPOREON</v>
      </c>
      <c r="G264" s="40" t="s">
        <v>1901</v>
      </c>
      <c r="H264" s="40" t="s">
        <v>1902</v>
      </c>
      <c r="I264" s="40" t="s">
        <v>1903</v>
      </c>
      <c r="J264" s="40" t="s">
        <v>1904</v>
      </c>
      <c r="K264" s="40" t="s">
        <v>1902</v>
      </c>
      <c r="L264" s="40" t="s">
        <v>1902</v>
      </c>
      <c r="M264" s="40" t="s">
        <v>1902</v>
      </c>
      <c r="N264" s="40" t="s">
        <v>1905</v>
      </c>
      <c r="O264" s="40" t="s">
        <v>1906</v>
      </c>
      <c r="P264" s="40" t="s">
        <v>1906</v>
      </c>
      <c r="Q264" s="40" t="s">
        <v>1902</v>
      </c>
    </row>
    <row r="265">
      <c r="A265" s="39" t="str">
        <f t="shared" si="1"/>
        <v>6, 135</v>
      </c>
      <c r="B265" s="39" t="s">
        <v>1098</v>
      </c>
      <c r="C265" s="39">
        <v>135.0</v>
      </c>
      <c r="D265" s="40" t="s">
        <v>578</v>
      </c>
      <c r="E265" s="40"/>
      <c r="F265" s="40" t="str">
        <f t="shared" si="2"/>
        <v>JOLTEON</v>
      </c>
      <c r="G265" s="40" t="s">
        <v>1907</v>
      </c>
      <c r="H265" s="40" t="s">
        <v>1908</v>
      </c>
      <c r="I265" s="40" t="s">
        <v>1909</v>
      </c>
      <c r="J265" s="40" t="s">
        <v>1910</v>
      </c>
      <c r="K265" s="40" t="s">
        <v>1908</v>
      </c>
      <c r="L265" s="40" t="s">
        <v>1908</v>
      </c>
      <c r="M265" s="40" t="s">
        <v>1908</v>
      </c>
      <c r="N265" s="40" t="s">
        <v>1911</v>
      </c>
      <c r="O265" s="40" t="s">
        <v>1912</v>
      </c>
      <c r="P265" s="40" t="s">
        <v>1912</v>
      </c>
      <c r="Q265" s="40" t="s">
        <v>1908</v>
      </c>
    </row>
    <row r="266">
      <c r="A266" s="39" t="str">
        <f t="shared" si="1"/>
        <v>6, 136</v>
      </c>
      <c r="B266" s="39" t="s">
        <v>1098</v>
      </c>
      <c r="C266" s="39">
        <v>136.0</v>
      </c>
      <c r="D266" s="40" t="s">
        <v>578</v>
      </c>
      <c r="E266" s="40"/>
      <c r="F266" s="40" t="str">
        <f t="shared" si="2"/>
        <v>FLAREON</v>
      </c>
      <c r="G266" s="40" t="s">
        <v>1913</v>
      </c>
      <c r="H266" s="40" t="s">
        <v>1914</v>
      </c>
      <c r="I266" s="40" t="s">
        <v>1915</v>
      </c>
      <c r="J266" s="40" t="s">
        <v>1916</v>
      </c>
      <c r="K266" s="40" t="s">
        <v>1914</v>
      </c>
      <c r="L266" s="40" t="s">
        <v>1914</v>
      </c>
      <c r="M266" s="40" t="s">
        <v>1914</v>
      </c>
      <c r="N266" s="40" t="s">
        <v>1917</v>
      </c>
      <c r="O266" s="40" t="s">
        <v>1918</v>
      </c>
      <c r="P266" s="40" t="s">
        <v>1918</v>
      </c>
      <c r="Q266" s="40" t="s">
        <v>1914</v>
      </c>
    </row>
    <row r="267">
      <c r="A267" s="39" t="str">
        <f t="shared" si="1"/>
        <v>6, 137</v>
      </c>
      <c r="B267" s="39" t="s">
        <v>1098</v>
      </c>
      <c r="C267" s="39">
        <v>137.0</v>
      </c>
      <c r="D267" s="40" t="s">
        <v>578</v>
      </c>
      <c r="E267" s="40"/>
      <c r="F267" s="40" t="str">
        <f t="shared" si="2"/>
        <v>PORYGON</v>
      </c>
      <c r="G267" s="40" t="s">
        <v>1919</v>
      </c>
      <c r="H267" s="40" t="s">
        <v>1920</v>
      </c>
      <c r="I267" s="40" t="s">
        <v>1920</v>
      </c>
      <c r="J267" s="40" t="s">
        <v>1920</v>
      </c>
      <c r="K267" s="40" t="s">
        <v>1920</v>
      </c>
      <c r="L267" s="40" t="s">
        <v>1920</v>
      </c>
      <c r="M267" s="40" t="s">
        <v>1920</v>
      </c>
      <c r="N267" s="40" t="s">
        <v>1921</v>
      </c>
      <c r="O267" s="40" t="s">
        <v>1922</v>
      </c>
      <c r="P267" s="40" t="s">
        <v>1923</v>
      </c>
      <c r="Q267" s="40" t="s">
        <v>1920</v>
      </c>
    </row>
    <row r="268">
      <c r="A268" s="39" t="str">
        <f t="shared" si="1"/>
        <v>6, 138</v>
      </c>
      <c r="B268" s="39" t="s">
        <v>1098</v>
      </c>
      <c r="C268" s="39">
        <v>138.0</v>
      </c>
      <c r="D268" s="40" t="s">
        <v>578</v>
      </c>
      <c r="E268" s="40"/>
      <c r="F268" s="40" t="str">
        <f t="shared" si="2"/>
        <v>OMANYTE</v>
      </c>
      <c r="G268" s="40" t="s">
        <v>1924</v>
      </c>
      <c r="H268" s="40" t="s">
        <v>1925</v>
      </c>
      <c r="I268" s="40" t="s">
        <v>1926</v>
      </c>
      <c r="J268" s="40" t="s">
        <v>1927</v>
      </c>
      <c r="K268" s="40" t="s">
        <v>1925</v>
      </c>
      <c r="L268" s="40" t="s">
        <v>1925</v>
      </c>
      <c r="M268" s="40" t="s">
        <v>1925</v>
      </c>
      <c r="N268" s="40" t="s">
        <v>1928</v>
      </c>
      <c r="O268" s="40" t="s">
        <v>1929</v>
      </c>
      <c r="P268" s="40" t="s">
        <v>1930</v>
      </c>
      <c r="Q268" s="40" t="s">
        <v>1925</v>
      </c>
    </row>
    <row r="269">
      <c r="A269" s="39" t="str">
        <f t="shared" si="1"/>
        <v>6, 139</v>
      </c>
      <c r="B269" s="39" t="s">
        <v>1098</v>
      </c>
      <c r="C269" s="39">
        <v>139.0</v>
      </c>
      <c r="D269" s="40" t="s">
        <v>578</v>
      </c>
      <c r="E269" s="40"/>
      <c r="F269" s="40" t="str">
        <f t="shared" si="2"/>
        <v>OMASTAR</v>
      </c>
      <c r="G269" s="40" t="s">
        <v>1931</v>
      </c>
      <c r="H269" s="40" t="s">
        <v>1932</v>
      </c>
      <c r="I269" s="40" t="s">
        <v>1933</v>
      </c>
      <c r="J269" s="40" t="s">
        <v>1934</v>
      </c>
      <c r="K269" s="40" t="s">
        <v>1932</v>
      </c>
      <c r="L269" s="40" t="s">
        <v>1932</v>
      </c>
      <c r="M269" s="40" t="s">
        <v>1932</v>
      </c>
      <c r="N269" s="40" t="s">
        <v>1935</v>
      </c>
      <c r="O269" s="40" t="s">
        <v>1936</v>
      </c>
      <c r="P269" s="40" t="s">
        <v>1937</v>
      </c>
      <c r="Q269" s="40" t="s">
        <v>1932</v>
      </c>
    </row>
    <row r="270">
      <c r="A270" s="39" t="str">
        <f t="shared" si="1"/>
        <v>6, 140</v>
      </c>
      <c r="B270" s="39" t="s">
        <v>1098</v>
      </c>
      <c r="C270" s="39">
        <v>140.0</v>
      </c>
      <c r="D270" s="40" t="s">
        <v>578</v>
      </c>
      <c r="E270" s="40"/>
      <c r="F270" s="40" t="str">
        <f t="shared" si="2"/>
        <v>KABUTO</v>
      </c>
      <c r="G270" s="40" t="s">
        <v>1938</v>
      </c>
      <c r="H270" s="40" t="s">
        <v>1939</v>
      </c>
      <c r="I270" s="40" t="s">
        <v>1939</v>
      </c>
      <c r="J270" s="40" t="s">
        <v>1939</v>
      </c>
      <c r="K270" s="40" t="s">
        <v>1939</v>
      </c>
      <c r="L270" s="40" t="s">
        <v>1939</v>
      </c>
      <c r="M270" s="40" t="s">
        <v>1939</v>
      </c>
      <c r="N270" s="40" t="s">
        <v>1940</v>
      </c>
      <c r="O270" s="40" t="s">
        <v>1941</v>
      </c>
      <c r="P270" s="40" t="s">
        <v>1941</v>
      </c>
      <c r="Q270" s="40" t="s">
        <v>1939</v>
      </c>
    </row>
    <row r="271">
      <c r="A271" s="39" t="str">
        <f t="shared" si="1"/>
        <v>6, 141</v>
      </c>
      <c r="B271" s="39" t="s">
        <v>1098</v>
      </c>
      <c r="C271" s="39">
        <v>141.0</v>
      </c>
      <c r="D271" s="40" t="s">
        <v>578</v>
      </c>
      <c r="E271" s="40"/>
      <c r="F271" s="40" t="str">
        <f t="shared" si="2"/>
        <v>KABUTOPS</v>
      </c>
      <c r="G271" s="40" t="s">
        <v>1942</v>
      </c>
      <c r="H271" s="40" t="s">
        <v>1943</v>
      </c>
      <c r="I271" s="40" t="s">
        <v>1943</v>
      </c>
      <c r="J271" s="40" t="s">
        <v>1943</v>
      </c>
      <c r="K271" s="40" t="s">
        <v>1943</v>
      </c>
      <c r="L271" s="40" t="s">
        <v>1943</v>
      </c>
      <c r="M271" s="40" t="s">
        <v>1943</v>
      </c>
      <c r="N271" s="40" t="s">
        <v>1944</v>
      </c>
      <c r="O271" s="40" t="s">
        <v>1945</v>
      </c>
      <c r="P271" s="40" t="s">
        <v>1946</v>
      </c>
      <c r="Q271" s="40" t="s">
        <v>1943</v>
      </c>
    </row>
    <row r="272">
      <c r="A272" s="39" t="str">
        <f t="shared" si="1"/>
        <v>6, 142</v>
      </c>
      <c r="B272" s="39" t="s">
        <v>1098</v>
      </c>
      <c r="C272" s="39">
        <v>142.0</v>
      </c>
      <c r="D272" s="40" t="s">
        <v>578</v>
      </c>
      <c r="E272" s="40"/>
      <c r="F272" s="40" t="str">
        <f t="shared" si="2"/>
        <v>AERODACTYL</v>
      </c>
      <c r="G272" s="40" t="s">
        <v>1947</v>
      </c>
      <c r="H272" s="40" t="s">
        <v>1948</v>
      </c>
      <c r="I272" s="40" t="s">
        <v>1949</v>
      </c>
      <c r="J272" s="40" t="s">
        <v>1948</v>
      </c>
      <c r="K272" s="40" t="s">
        <v>1948</v>
      </c>
      <c r="L272" s="40" t="s">
        <v>1948</v>
      </c>
      <c r="M272" s="40" t="s">
        <v>1948</v>
      </c>
      <c r="N272" s="40" t="s">
        <v>1950</v>
      </c>
      <c r="O272" s="40" t="s">
        <v>1951</v>
      </c>
      <c r="P272" s="40" t="s">
        <v>1952</v>
      </c>
      <c r="Q272" s="40" t="s">
        <v>1948</v>
      </c>
    </row>
    <row r="273">
      <c r="A273" s="39" t="str">
        <f t="shared" si="1"/>
        <v>6, 143</v>
      </c>
      <c r="B273" s="39" t="s">
        <v>1098</v>
      </c>
      <c r="C273" s="39">
        <v>143.0</v>
      </c>
      <c r="D273" s="40" t="s">
        <v>578</v>
      </c>
      <c r="E273" s="40"/>
      <c r="F273" s="40" t="str">
        <f t="shared" si="2"/>
        <v>SNORLAX</v>
      </c>
      <c r="G273" s="40" t="s">
        <v>1953</v>
      </c>
      <c r="H273" s="40" t="s">
        <v>1954</v>
      </c>
      <c r="I273" s="40" t="s">
        <v>1955</v>
      </c>
      <c r="J273" s="40" t="s">
        <v>1956</v>
      </c>
      <c r="K273" s="40" t="s">
        <v>1954</v>
      </c>
      <c r="L273" s="40" t="s">
        <v>1954</v>
      </c>
      <c r="M273" s="40" t="s">
        <v>1954</v>
      </c>
      <c r="N273" s="40" t="s">
        <v>1957</v>
      </c>
      <c r="O273" s="40" t="s">
        <v>1958</v>
      </c>
      <c r="P273" s="40" t="s">
        <v>1959</v>
      </c>
      <c r="Q273" s="40" t="s">
        <v>1954</v>
      </c>
    </row>
    <row r="274">
      <c r="A274" s="39" t="str">
        <f t="shared" si="1"/>
        <v>6, 144</v>
      </c>
      <c r="B274" s="39" t="s">
        <v>1098</v>
      </c>
      <c r="C274" s="39">
        <v>144.0</v>
      </c>
      <c r="D274" s="40" t="s">
        <v>578</v>
      </c>
      <c r="E274" s="40"/>
      <c r="F274" s="40" t="str">
        <f t="shared" si="2"/>
        <v>ARTICUNO</v>
      </c>
      <c r="G274" s="40" t="s">
        <v>1960</v>
      </c>
      <c r="H274" s="40" t="s">
        <v>1961</v>
      </c>
      <c r="I274" s="40" t="s">
        <v>1962</v>
      </c>
      <c r="J274" s="40" t="s">
        <v>1963</v>
      </c>
      <c r="K274" s="40" t="s">
        <v>1961</v>
      </c>
      <c r="L274" s="40" t="s">
        <v>1961</v>
      </c>
      <c r="M274" s="40" t="s">
        <v>1961</v>
      </c>
      <c r="N274" s="40" t="s">
        <v>1964</v>
      </c>
      <c r="O274" s="40" t="s">
        <v>1965</v>
      </c>
      <c r="P274" s="40" t="s">
        <v>1966</v>
      </c>
      <c r="Q274" s="40" t="s">
        <v>1961</v>
      </c>
    </row>
    <row r="275">
      <c r="A275" s="39" t="str">
        <f t="shared" si="1"/>
        <v>6, 145</v>
      </c>
      <c r="B275" s="39" t="s">
        <v>1098</v>
      </c>
      <c r="C275" s="39">
        <v>145.0</v>
      </c>
      <c r="D275" s="40" t="s">
        <v>578</v>
      </c>
      <c r="E275" s="40"/>
      <c r="F275" s="40" t="str">
        <f t="shared" si="2"/>
        <v>ZAPDOS</v>
      </c>
      <c r="G275" s="40" t="s">
        <v>1967</v>
      </c>
      <c r="H275" s="40" t="s">
        <v>1968</v>
      </c>
      <c r="I275" s="40" t="s">
        <v>1969</v>
      </c>
      <c r="J275" s="40" t="s">
        <v>1968</v>
      </c>
      <c r="K275" s="40" t="s">
        <v>1968</v>
      </c>
      <c r="L275" s="40" t="s">
        <v>1968</v>
      </c>
      <c r="M275" s="40" t="s">
        <v>1968</v>
      </c>
      <c r="N275" s="40" t="s">
        <v>1970</v>
      </c>
      <c r="O275" s="40" t="s">
        <v>1971</v>
      </c>
      <c r="P275" s="40" t="s">
        <v>1972</v>
      </c>
      <c r="Q275" s="40" t="s">
        <v>1968</v>
      </c>
    </row>
    <row r="276">
      <c r="A276" s="39" t="str">
        <f t="shared" si="1"/>
        <v>6, 146</v>
      </c>
      <c r="B276" s="39" t="s">
        <v>1098</v>
      </c>
      <c r="C276" s="39">
        <v>146.0</v>
      </c>
      <c r="D276" s="40" t="s">
        <v>578</v>
      </c>
      <c r="E276" s="40"/>
      <c r="F276" s="40" t="str">
        <f t="shared" si="2"/>
        <v>MOLTRES</v>
      </c>
      <c r="G276" s="40" t="s">
        <v>1973</v>
      </c>
      <c r="H276" s="40" t="s">
        <v>1974</v>
      </c>
      <c r="I276" s="40" t="s">
        <v>1975</v>
      </c>
      <c r="J276" s="40" t="s">
        <v>1976</v>
      </c>
      <c r="K276" s="40" t="s">
        <v>1974</v>
      </c>
      <c r="L276" s="40" t="s">
        <v>1974</v>
      </c>
      <c r="M276" s="40" t="s">
        <v>1974</v>
      </c>
      <c r="N276" s="40" t="s">
        <v>1977</v>
      </c>
      <c r="O276" s="40" t="s">
        <v>1978</v>
      </c>
      <c r="P276" s="40" t="s">
        <v>1979</v>
      </c>
      <c r="Q276" s="40" t="s">
        <v>1974</v>
      </c>
    </row>
    <row r="277">
      <c r="A277" s="39" t="str">
        <f t="shared" si="1"/>
        <v>6, 147</v>
      </c>
      <c r="B277" s="39" t="s">
        <v>1098</v>
      </c>
      <c r="C277" s="39">
        <v>147.0</v>
      </c>
      <c r="D277" s="40" t="s">
        <v>578</v>
      </c>
      <c r="E277" s="40"/>
      <c r="F277" s="40" t="str">
        <f t="shared" si="2"/>
        <v>DRATINI</v>
      </c>
      <c r="G277" s="40" t="s">
        <v>1980</v>
      </c>
      <c r="H277" s="40" t="s">
        <v>1981</v>
      </c>
      <c r="I277" s="40" t="s">
        <v>1982</v>
      </c>
      <c r="J277" s="40" t="s">
        <v>1981</v>
      </c>
      <c r="K277" s="40" t="s">
        <v>1981</v>
      </c>
      <c r="L277" s="40" t="s">
        <v>1981</v>
      </c>
      <c r="M277" s="40" t="s">
        <v>1981</v>
      </c>
      <c r="N277" s="40" t="s">
        <v>1983</v>
      </c>
      <c r="O277" s="40" t="s">
        <v>1984</v>
      </c>
      <c r="P277" s="40" t="s">
        <v>1985</v>
      </c>
      <c r="Q277" s="40" t="s">
        <v>1981</v>
      </c>
    </row>
    <row r="278">
      <c r="A278" s="39" t="str">
        <f t="shared" si="1"/>
        <v>6, 148</v>
      </c>
      <c r="B278" s="39" t="s">
        <v>1098</v>
      </c>
      <c r="C278" s="39">
        <v>148.0</v>
      </c>
      <c r="D278" s="40" t="s">
        <v>578</v>
      </c>
      <c r="E278" s="40"/>
      <c r="F278" s="40" t="str">
        <f t="shared" si="2"/>
        <v>DRAGONAIR</v>
      </c>
      <c r="G278" s="40" t="s">
        <v>1986</v>
      </c>
      <c r="H278" s="40" t="s">
        <v>1987</v>
      </c>
      <c r="I278" s="40" t="s">
        <v>1988</v>
      </c>
      <c r="J278" s="40" t="s">
        <v>1989</v>
      </c>
      <c r="K278" s="40" t="s">
        <v>1987</v>
      </c>
      <c r="L278" s="40" t="s">
        <v>1987</v>
      </c>
      <c r="M278" s="40" t="s">
        <v>1987</v>
      </c>
      <c r="N278" s="40" t="s">
        <v>1990</v>
      </c>
      <c r="O278" s="40" t="s">
        <v>1991</v>
      </c>
      <c r="P278" s="40" t="s">
        <v>1992</v>
      </c>
      <c r="Q278" s="40" t="s">
        <v>1987</v>
      </c>
    </row>
    <row r="279">
      <c r="A279" s="39" t="str">
        <f t="shared" si="1"/>
        <v>6, 149</v>
      </c>
      <c r="B279" s="39" t="s">
        <v>1098</v>
      </c>
      <c r="C279" s="39">
        <v>149.0</v>
      </c>
      <c r="D279" s="40" t="s">
        <v>578</v>
      </c>
      <c r="E279" s="40"/>
      <c r="F279" s="40" t="str">
        <f t="shared" si="2"/>
        <v>DRAGONITE</v>
      </c>
      <c r="G279" s="40" t="s">
        <v>1993</v>
      </c>
      <c r="H279" s="40" t="s">
        <v>1994</v>
      </c>
      <c r="I279" s="40" t="s">
        <v>1995</v>
      </c>
      <c r="J279" s="40" t="s">
        <v>1996</v>
      </c>
      <c r="K279" s="40" t="s">
        <v>1994</v>
      </c>
      <c r="L279" s="40" t="s">
        <v>1994</v>
      </c>
      <c r="M279" s="40" t="s">
        <v>1994</v>
      </c>
      <c r="N279" s="40" t="s">
        <v>1997</v>
      </c>
      <c r="O279" s="40" t="s">
        <v>1998</v>
      </c>
      <c r="P279" s="40" t="s">
        <v>1999</v>
      </c>
      <c r="Q279" s="40" t="s">
        <v>1994</v>
      </c>
    </row>
    <row r="280">
      <c r="A280" s="39" t="str">
        <f t="shared" si="1"/>
        <v>6, 150</v>
      </c>
      <c r="B280" s="39" t="s">
        <v>1098</v>
      </c>
      <c r="C280" s="39">
        <v>150.0</v>
      </c>
      <c r="D280" s="40" t="s">
        <v>578</v>
      </c>
      <c r="E280" s="40"/>
      <c r="F280" s="40" t="str">
        <f t="shared" si="2"/>
        <v>MEWTWO</v>
      </c>
      <c r="G280" s="40" t="s">
        <v>2000</v>
      </c>
      <c r="H280" s="40" t="s">
        <v>2001</v>
      </c>
      <c r="I280" s="40" t="s">
        <v>2001</v>
      </c>
      <c r="J280" s="40" t="s">
        <v>2002</v>
      </c>
      <c r="K280" s="40" t="s">
        <v>2001</v>
      </c>
      <c r="L280" s="40" t="s">
        <v>2001</v>
      </c>
      <c r="M280" s="40" t="s">
        <v>2001</v>
      </c>
      <c r="N280" s="40" t="s">
        <v>2003</v>
      </c>
      <c r="O280" s="40" t="s">
        <v>2004</v>
      </c>
      <c r="P280" s="40" t="s">
        <v>2005</v>
      </c>
      <c r="Q280" s="40" t="s">
        <v>2001</v>
      </c>
    </row>
    <row r="281">
      <c r="A281" s="39" t="str">
        <f t="shared" si="1"/>
        <v>6, 151</v>
      </c>
      <c r="B281" s="39" t="s">
        <v>1098</v>
      </c>
      <c r="C281" s="39">
        <v>151.0</v>
      </c>
      <c r="D281" s="40" t="s">
        <v>578</v>
      </c>
      <c r="E281" s="40"/>
      <c r="F281" s="40" t="str">
        <f t="shared" si="2"/>
        <v>MEW</v>
      </c>
      <c r="G281" s="40" t="s">
        <v>2006</v>
      </c>
      <c r="H281" s="40" t="s">
        <v>2007</v>
      </c>
      <c r="I281" s="40" t="s">
        <v>2007</v>
      </c>
      <c r="J281" s="40" t="s">
        <v>2007</v>
      </c>
      <c r="K281" s="40" t="s">
        <v>2007</v>
      </c>
      <c r="L281" s="40" t="s">
        <v>2007</v>
      </c>
      <c r="M281" s="40" t="s">
        <v>2007</v>
      </c>
      <c r="N281" s="40" t="s">
        <v>2008</v>
      </c>
      <c r="O281" s="40" t="s">
        <v>2009</v>
      </c>
      <c r="P281" s="40" t="s">
        <v>2010</v>
      </c>
      <c r="Q281" s="40" t="s">
        <v>2007</v>
      </c>
    </row>
    <row r="282">
      <c r="A282" s="39" t="str">
        <f t="shared" si="1"/>
        <v>6, 152</v>
      </c>
      <c r="B282" s="39" t="s">
        <v>1098</v>
      </c>
      <c r="C282" s="39">
        <v>152.0</v>
      </c>
      <c r="D282" s="40" t="s">
        <v>578</v>
      </c>
      <c r="E282" s="40"/>
      <c r="F282" s="40" t="str">
        <f t="shared" si="2"/>
        <v>CHIKORITA</v>
      </c>
      <c r="G282" s="40" t="s">
        <v>2011</v>
      </c>
      <c r="H282" s="40" t="s">
        <v>2012</v>
      </c>
      <c r="I282" s="40" t="s">
        <v>2013</v>
      </c>
      <c r="J282" s="40" t="s">
        <v>2014</v>
      </c>
      <c r="K282" s="40" t="s">
        <v>2012</v>
      </c>
      <c r="L282" s="40" t="s">
        <v>2012</v>
      </c>
      <c r="M282" s="40" t="s">
        <v>2012</v>
      </c>
      <c r="N282" s="40" t="s">
        <v>2015</v>
      </c>
      <c r="O282" s="40" t="s">
        <v>2016</v>
      </c>
      <c r="P282" s="40" t="s">
        <v>2017</v>
      </c>
      <c r="Q282" s="40" t="s">
        <v>2012</v>
      </c>
    </row>
    <row r="283">
      <c r="A283" s="39" t="str">
        <f t="shared" si="1"/>
        <v>6, 153</v>
      </c>
      <c r="B283" s="39" t="s">
        <v>1098</v>
      </c>
      <c r="C283" s="39">
        <v>153.0</v>
      </c>
      <c r="D283" s="40" t="s">
        <v>578</v>
      </c>
      <c r="E283" s="40"/>
      <c r="F283" s="40" t="str">
        <f t="shared" si="2"/>
        <v>BAYLEEF</v>
      </c>
      <c r="G283" s="40" t="s">
        <v>2018</v>
      </c>
      <c r="H283" s="40" t="s">
        <v>2019</v>
      </c>
      <c r="I283" s="40" t="s">
        <v>2020</v>
      </c>
      <c r="J283" s="40" t="s">
        <v>2021</v>
      </c>
      <c r="K283" s="40" t="s">
        <v>2019</v>
      </c>
      <c r="L283" s="40" t="s">
        <v>2019</v>
      </c>
      <c r="M283" s="40" t="s">
        <v>2019</v>
      </c>
      <c r="N283" s="40" t="s">
        <v>2022</v>
      </c>
      <c r="O283" s="40" t="s">
        <v>2023</v>
      </c>
      <c r="P283" s="40" t="s">
        <v>2024</v>
      </c>
      <c r="Q283" s="40" t="s">
        <v>2019</v>
      </c>
    </row>
    <row r="284">
      <c r="A284" s="39" t="str">
        <f t="shared" si="1"/>
        <v>6, 154</v>
      </c>
      <c r="B284" s="39" t="s">
        <v>1098</v>
      </c>
      <c r="C284" s="39">
        <v>154.0</v>
      </c>
      <c r="D284" s="40" t="s">
        <v>578</v>
      </c>
      <c r="E284" s="40"/>
      <c r="F284" s="40" t="str">
        <f t="shared" si="2"/>
        <v>MEGANIUM</v>
      </c>
      <c r="G284" s="40" t="s">
        <v>2025</v>
      </c>
      <c r="H284" s="40" t="s">
        <v>2026</v>
      </c>
      <c r="I284" s="40" t="s">
        <v>2026</v>
      </c>
      <c r="J284" s="40" t="s">
        <v>2027</v>
      </c>
      <c r="K284" s="40" t="s">
        <v>2026</v>
      </c>
      <c r="L284" s="40" t="s">
        <v>2026</v>
      </c>
      <c r="M284" s="40" t="s">
        <v>2026</v>
      </c>
      <c r="N284" s="40" t="s">
        <v>2028</v>
      </c>
      <c r="O284" s="40" t="s">
        <v>2029</v>
      </c>
      <c r="P284" s="40" t="s">
        <v>2029</v>
      </c>
      <c r="Q284" s="40" t="s">
        <v>2026</v>
      </c>
    </row>
    <row r="285">
      <c r="A285" s="39" t="str">
        <f t="shared" si="1"/>
        <v>6, 155</v>
      </c>
      <c r="B285" s="39" t="s">
        <v>1098</v>
      </c>
      <c r="C285" s="39">
        <v>155.0</v>
      </c>
      <c r="D285" s="40" t="s">
        <v>578</v>
      </c>
      <c r="E285" s="40"/>
      <c r="F285" s="40" t="str">
        <f t="shared" si="2"/>
        <v>CYNDAQUIL</v>
      </c>
      <c r="G285" s="40" t="s">
        <v>2030</v>
      </c>
      <c r="H285" s="40" t="s">
        <v>2031</v>
      </c>
      <c r="I285" s="40" t="s">
        <v>2032</v>
      </c>
      <c r="J285" s="40" t="s">
        <v>2033</v>
      </c>
      <c r="K285" s="40" t="s">
        <v>2031</v>
      </c>
      <c r="L285" s="40" t="s">
        <v>2031</v>
      </c>
      <c r="M285" s="40" t="s">
        <v>2031</v>
      </c>
      <c r="N285" s="40" t="s">
        <v>2034</v>
      </c>
      <c r="O285" s="40" t="s">
        <v>2035</v>
      </c>
      <c r="P285" s="40" t="s">
        <v>2035</v>
      </c>
      <c r="Q285" s="40" t="s">
        <v>2031</v>
      </c>
    </row>
    <row r="286">
      <c r="A286" s="39" t="str">
        <f t="shared" si="1"/>
        <v>6, 156</v>
      </c>
      <c r="B286" s="39" t="s">
        <v>1098</v>
      </c>
      <c r="C286" s="39">
        <v>156.0</v>
      </c>
      <c r="D286" s="40" t="s">
        <v>578</v>
      </c>
      <c r="E286" s="40"/>
      <c r="F286" s="40" t="str">
        <f t="shared" si="2"/>
        <v>QUILAVA</v>
      </c>
      <c r="G286" s="40" t="s">
        <v>2036</v>
      </c>
      <c r="H286" s="40" t="s">
        <v>2037</v>
      </c>
      <c r="I286" s="40" t="s">
        <v>2038</v>
      </c>
      <c r="J286" s="40" t="s">
        <v>2039</v>
      </c>
      <c r="K286" s="40" t="s">
        <v>2037</v>
      </c>
      <c r="L286" s="40" t="s">
        <v>2037</v>
      </c>
      <c r="M286" s="40" t="s">
        <v>2037</v>
      </c>
      <c r="N286" s="40" t="s">
        <v>2040</v>
      </c>
      <c r="O286" s="40" t="s">
        <v>2041</v>
      </c>
      <c r="P286" s="40" t="s">
        <v>2041</v>
      </c>
      <c r="Q286" s="40" t="s">
        <v>2037</v>
      </c>
    </row>
    <row r="287">
      <c r="A287" s="39" t="str">
        <f t="shared" si="1"/>
        <v>6, 157</v>
      </c>
      <c r="B287" s="39" t="s">
        <v>1098</v>
      </c>
      <c r="C287" s="39">
        <v>157.0</v>
      </c>
      <c r="D287" s="40" t="s">
        <v>578</v>
      </c>
      <c r="E287" s="40"/>
      <c r="F287" s="40" t="str">
        <f t="shared" si="2"/>
        <v>TYPHLOSION</v>
      </c>
      <c r="G287" s="40" t="s">
        <v>2042</v>
      </c>
      <c r="H287" s="40" t="s">
        <v>2043</v>
      </c>
      <c r="I287" s="40" t="s">
        <v>2043</v>
      </c>
      <c r="J287" s="40" t="s">
        <v>2044</v>
      </c>
      <c r="K287" s="40" t="s">
        <v>2043</v>
      </c>
      <c r="L287" s="40" t="s">
        <v>2043</v>
      </c>
      <c r="M287" s="40" t="s">
        <v>2043</v>
      </c>
      <c r="N287" s="40" t="s">
        <v>2045</v>
      </c>
      <c r="O287" s="40" t="s">
        <v>2046</v>
      </c>
      <c r="P287" s="40" t="s">
        <v>2047</v>
      </c>
      <c r="Q287" s="40" t="s">
        <v>2043</v>
      </c>
    </row>
    <row r="288">
      <c r="A288" s="39" t="str">
        <f t="shared" si="1"/>
        <v>6, 158</v>
      </c>
      <c r="B288" s="39" t="s">
        <v>1098</v>
      </c>
      <c r="C288" s="39">
        <v>158.0</v>
      </c>
      <c r="D288" s="40" t="s">
        <v>578</v>
      </c>
      <c r="E288" s="40"/>
      <c r="F288" s="40" t="str">
        <f t="shared" si="2"/>
        <v>TOTODILE</v>
      </c>
      <c r="G288" s="40" t="s">
        <v>2048</v>
      </c>
      <c r="H288" s="40" t="s">
        <v>2049</v>
      </c>
      <c r="I288" s="40" t="s">
        <v>2050</v>
      </c>
      <c r="J288" s="40" t="s">
        <v>2051</v>
      </c>
      <c r="K288" s="40" t="s">
        <v>2049</v>
      </c>
      <c r="L288" s="40" t="s">
        <v>2049</v>
      </c>
      <c r="M288" s="40" t="s">
        <v>2049</v>
      </c>
      <c r="N288" s="40" t="s">
        <v>2052</v>
      </c>
      <c r="O288" s="40" t="s">
        <v>2053</v>
      </c>
      <c r="P288" s="40" t="s">
        <v>2054</v>
      </c>
      <c r="Q288" s="40" t="s">
        <v>2049</v>
      </c>
    </row>
    <row r="289">
      <c r="A289" s="39" t="str">
        <f t="shared" si="1"/>
        <v>6, 159</v>
      </c>
      <c r="B289" s="39" t="s">
        <v>1098</v>
      </c>
      <c r="C289" s="39">
        <v>159.0</v>
      </c>
      <c r="D289" s="40" t="s">
        <v>578</v>
      </c>
      <c r="E289" s="40"/>
      <c r="F289" s="40" t="str">
        <f t="shared" si="2"/>
        <v>CROCONAW</v>
      </c>
      <c r="G289" s="40" t="s">
        <v>2055</v>
      </c>
      <c r="H289" s="40" t="s">
        <v>2056</v>
      </c>
      <c r="I289" s="40" t="s">
        <v>2057</v>
      </c>
      <c r="J289" s="40" t="s">
        <v>2058</v>
      </c>
      <c r="K289" s="40" t="s">
        <v>2056</v>
      </c>
      <c r="L289" s="40" t="s">
        <v>2056</v>
      </c>
      <c r="M289" s="40" t="s">
        <v>2056</v>
      </c>
      <c r="N289" s="40" t="s">
        <v>2059</v>
      </c>
      <c r="O289" s="40" t="s">
        <v>2060</v>
      </c>
      <c r="P289" s="40" t="s">
        <v>2061</v>
      </c>
      <c r="Q289" s="40" t="s">
        <v>2056</v>
      </c>
    </row>
    <row r="290">
      <c r="A290" s="39" t="str">
        <f t="shared" si="1"/>
        <v>6, 160</v>
      </c>
      <c r="B290" s="39" t="s">
        <v>1098</v>
      </c>
      <c r="C290" s="39">
        <v>160.0</v>
      </c>
      <c r="D290" s="40" t="s">
        <v>578</v>
      </c>
      <c r="E290" s="40"/>
      <c r="F290" s="40" t="str">
        <f t="shared" si="2"/>
        <v>FERALIGATR</v>
      </c>
      <c r="G290" s="40" t="s">
        <v>2062</v>
      </c>
      <c r="H290" s="40" t="s">
        <v>2063</v>
      </c>
      <c r="I290" s="40" t="s">
        <v>2064</v>
      </c>
      <c r="J290" s="40" t="s">
        <v>2065</v>
      </c>
      <c r="K290" s="40" t="s">
        <v>2063</v>
      </c>
      <c r="L290" s="40" t="s">
        <v>2063</v>
      </c>
      <c r="M290" s="40" t="s">
        <v>2063</v>
      </c>
      <c r="N290" s="40" t="s">
        <v>2066</v>
      </c>
      <c r="O290" s="40" t="s">
        <v>2067</v>
      </c>
      <c r="P290" s="40" t="s">
        <v>2068</v>
      </c>
      <c r="Q290" s="40" t="s">
        <v>2063</v>
      </c>
    </row>
    <row r="291">
      <c r="A291" s="39" t="str">
        <f t="shared" si="1"/>
        <v>6, 161</v>
      </c>
      <c r="B291" s="39" t="s">
        <v>1098</v>
      </c>
      <c r="C291" s="39">
        <v>161.0</v>
      </c>
      <c r="D291" s="40" t="s">
        <v>578</v>
      </c>
      <c r="E291" s="40"/>
      <c r="F291" s="40" t="str">
        <f t="shared" si="2"/>
        <v>SENTRET</v>
      </c>
      <c r="G291" s="40" t="s">
        <v>2069</v>
      </c>
      <c r="H291" s="40" t="s">
        <v>2070</v>
      </c>
      <c r="I291" s="40" t="s">
        <v>2071</v>
      </c>
      <c r="J291" s="40" t="s">
        <v>2072</v>
      </c>
      <c r="K291" s="40" t="s">
        <v>2070</v>
      </c>
      <c r="L291" s="40" t="s">
        <v>2070</v>
      </c>
      <c r="M291" s="40" t="s">
        <v>2070</v>
      </c>
      <c r="N291" s="40" t="s">
        <v>2073</v>
      </c>
      <c r="O291" s="40" t="s">
        <v>2074</v>
      </c>
      <c r="P291" s="40" t="s">
        <v>2074</v>
      </c>
      <c r="Q291" s="40" t="s">
        <v>2070</v>
      </c>
    </row>
    <row r="292">
      <c r="A292" s="39" t="str">
        <f t="shared" si="1"/>
        <v>6, 162</v>
      </c>
      <c r="B292" s="39" t="s">
        <v>1098</v>
      </c>
      <c r="C292" s="39">
        <v>162.0</v>
      </c>
      <c r="D292" s="40" t="s">
        <v>578</v>
      </c>
      <c r="E292" s="40"/>
      <c r="F292" s="40" t="str">
        <f t="shared" si="2"/>
        <v>FURRET</v>
      </c>
      <c r="G292" s="40" t="s">
        <v>2075</v>
      </c>
      <c r="H292" s="40" t="s">
        <v>2076</v>
      </c>
      <c r="I292" s="40" t="s">
        <v>2077</v>
      </c>
      <c r="J292" s="40" t="s">
        <v>2078</v>
      </c>
      <c r="K292" s="40" t="s">
        <v>2076</v>
      </c>
      <c r="L292" s="40" t="s">
        <v>2076</v>
      </c>
      <c r="M292" s="40" t="s">
        <v>2076</v>
      </c>
      <c r="N292" s="40" t="s">
        <v>2079</v>
      </c>
      <c r="O292" s="40" t="s">
        <v>2080</v>
      </c>
      <c r="P292" s="40" t="s">
        <v>2080</v>
      </c>
      <c r="Q292" s="40" t="s">
        <v>2076</v>
      </c>
    </row>
    <row r="293">
      <c r="A293" s="39" t="str">
        <f t="shared" si="1"/>
        <v>6, 163</v>
      </c>
      <c r="B293" s="39" t="s">
        <v>1098</v>
      </c>
      <c r="C293" s="39">
        <v>163.0</v>
      </c>
      <c r="D293" s="40" t="s">
        <v>578</v>
      </c>
      <c r="E293" s="40"/>
      <c r="F293" s="40" t="str">
        <f t="shared" si="2"/>
        <v>HOOTHOOT</v>
      </c>
      <c r="G293" s="40" t="s">
        <v>2081</v>
      </c>
      <c r="H293" s="40" t="s">
        <v>2082</v>
      </c>
      <c r="I293" s="40" t="s">
        <v>2082</v>
      </c>
      <c r="J293" s="40" t="s">
        <v>2082</v>
      </c>
      <c r="K293" s="40" t="s">
        <v>2082</v>
      </c>
      <c r="L293" s="40" t="s">
        <v>2082</v>
      </c>
      <c r="M293" s="40" t="s">
        <v>2082</v>
      </c>
      <c r="N293" s="40" t="s">
        <v>2083</v>
      </c>
      <c r="O293" s="40" t="s">
        <v>2084</v>
      </c>
      <c r="P293" s="40" t="s">
        <v>2084</v>
      </c>
      <c r="Q293" s="40" t="s">
        <v>2082</v>
      </c>
    </row>
    <row r="294">
      <c r="A294" s="39" t="str">
        <f t="shared" si="1"/>
        <v>6, 164</v>
      </c>
      <c r="B294" s="39" t="s">
        <v>1098</v>
      </c>
      <c r="C294" s="39">
        <v>164.0</v>
      </c>
      <c r="D294" s="40" t="s">
        <v>578</v>
      </c>
      <c r="E294" s="40"/>
      <c r="F294" s="40" t="str">
        <f t="shared" si="2"/>
        <v>NOCTOWL</v>
      </c>
      <c r="G294" s="40" t="s">
        <v>2085</v>
      </c>
      <c r="H294" s="40" t="s">
        <v>2086</v>
      </c>
      <c r="I294" s="40" t="s">
        <v>2087</v>
      </c>
      <c r="J294" s="40" t="s">
        <v>2088</v>
      </c>
      <c r="K294" s="40" t="s">
        <v>2086</v>
      </c>
      <c r="L294" s="40" t="s">
        <v>2086</v>
      </c>
      <c r="M294" s="40" t="s">
        <v>2086</v>
      </c>
      <c r="N294" s="40" t="s">
        <v>2089</v>
      </c>
      <c r="O294" s="40" t="s">
        <v>2090</v>
      </c>
      <c r="P294" s="40" t="s">
        <v>2091</v>
      </c>
      <c r="Q294" s="40" t="s">
        <v>2086</v>
      </c>
    </row>
    <row r="295">
      <c r="A295" s="39" t="str">
        <f t="shared" si="1"/>
        <v>6, 165</v>
      </c>
      <c r="B295" s="39" t="s">
        <v>1098</v>
      </c>
      <c r="C295" s="39">
        <v>165.0</v>
      </c>
      <c r="D295" s="40" t="s">
        <v>578</v>
      </c>
      <c r="E295" s="40"/>
      <c r="F295" s="40" t="str">
        <f t="shared" si="2"/>
        <v>LEDYBA</v>
      </c>
      <c r="G295" s="40" t="s">
        <v>2092</v>
      </c>
      <c r="H295" s="40" t="s">
        <v>2093</v>
      </c>
      <c r="I295" s="40" t="s">
        <v>2094</v>
      </c>
      <c r="J295" s="40" t="s">
        <v>2093</v>
      </c>
      <c r="K295" s="40" t="s">
        <v>2093</v>
      </c>
      <c r="L295" s="40" t="s">
        <v>2093</v>
      </c>
      <c r="M295" s="40" t="s">
        <v>2093</v>
      </c>
      <c r="N295" s="40" t="s">
        <v>2095</v>
      </c>
      <c r="O295" s="40" t="s">
        <v>2096</v>
      </c>
      <c r="P295" s="40" t="s">
        <v>2097</v>
      </c>
      <c r="Q295" s="40" t="s">
        <v>2093</v>
      </c>
    </row>
    <row r="296">
      <c r="A296" s="39" t="str">
        <f t="shared" si="1"/>
        <v>6, 166</v>
      </c>
      <c r="B296" s="39" t="s">
        <v>1098</v>
      </c>
      <c r="C296" s="39">
        <v>166.0</v>
      </c>
      <c r="D296" s="40" t="s">
        <v>578</v>
      </c>
      <c r="E296" s="40"/>
      <c r="F296" s="40" t="str">
        <f t="shared" si="2"/>
        <v>LEDIAN</v>
      </c>
      <c r="G296" s="40" t="s">
        <v>2098</v>
      </c>
      <c r="H296" s="40" t="s">
        <v>2099</v>
      </c>
      <c r="I296" s="40" t="s">
        <v>2100</v>
      </c>
      <c r="J296" s="40" t="s">
        <v>2099</v>
      </c>
      <c r="K296" s="40" t="s">
        <v>2099</v>
      </c>
      <c r="L296" s="40" t="s">
        <v>2099</v>
      </c>
      <c r="M296" s="40" t="s">
        <v>2099</v>
      </c>
      <c r="N296" s="40" t="s">
        <v>2101</v>
      </c>
      <c r="O296" s="40" t="s">
        <v>2102</v>
      </c>
      <c r="P296" s="40" t="s">
        <v>2103</v>
      </c>
      <c r="Q296" s="40" t="s">
        <v>2099</v>
      </c>
    </row>
    <row r="297">
      <c r="A297" s="39" t="str">
        <f t="shared" si="1"/>
        <v>6, 167</v>
      </c>
      <c r="B297" s="39" t="s">
        <v>1098</v>
      </c>
      <c r="C297" s="39">
        <v>167.0</v>
      </c>
      <c r="D297" s="40" t="s">
        <v>578</v>
      </c>
      <c r="E297" s="40"/>
      <c r="F297" s="40" t="str">
        <f t="shared" si="2"/>
        <v>SPINARAK</v>
      </c>
      <c r="G297" s="40" t="s">
        <v>2104</v>
      </c>
      <c r="H297" s="40" t="s">
        <v>2105</v>
      </c>
      <c r="I297" s="40" t="s">
        <v>2106</v>
      </c>
      <c r="J297" s="40" t="s">
        <v>2107</v>
      </c>
      <c r="K297" s="40" t="s">
        <v>2105</v>
      </c>
      <c r="L297" s="40" t="s">
        <v>2105</v>
      </c>
      <c r="M297" s="40" t="s">
        <v>2105</v>
      </c>
      <c r="N297" s="40" t="s">
        <v>2108</v>
      </c>
      <c r="O297" s="40" t="s">
        <v>2109</v>
      </c>
      <c r="P297" s="40" t="s">
        <v>2110</v>
      </c>
      <c r="Q297" s="40" t="s">
        <v>2105</v>
      </c>
    </row>
    <row r="298">
      <c r="A298" s="39" t="str">
        <f t="shared" si="1"/>
        <v>6, 168</v>
      </c>
      <c r="B298" s="39" t="s">
        <v>1098</v>
      </c>
      <c r="C298" s="39">
        <v>168.0</v>
      </c>
      <c r="D298" s="40" t="s">
        <v>578</v>
      </c>
      <c r="E298" s="40"/>
      <c r="F298" s="40" t="str">
        <f t="shared" si="2"/>
        <v>ARIADOS</v>
      </c>
      <c r="G298" s="40" t="s">
        <v>2111</v>
      </c>
      <c r="H298" s="40" t="s">
        <v>2112</v>
      </c>
      <c r="I298" s="40" t="s">
        <v>2113</v>
      </c>
      <c r="J298" s="40" t="s">
        <v>2112</v>
      </c>
      <c r="K298" s="40" t="s">
        <v>2112</v>
      </c>
      <c r="L298" s="40" t="s">
        <v>2112</v>
      </c>
      <c r="M298" s="40" t="s">
        <v>2112</v>
      </c>
      <c r="N298" s="40" t="s">
        <v>2114</v>
      </c>
      <c r="O298" s="40" t="s">
        <v>2115</v>
      </c>
      <c r="P298" s="40" t="s">
        <v>2115</v>
      </c>
      <c r="Q298" s="40" t="s">
        <v>2112</v>
      </c>
    </row>
    <row r="299">
      <c r="A299" s="39" t="str">
        <f t="shared" si="1"/>
        <v>6, 169</v>
      </c>
      <c r="B299" s="39" t="s">
        <v>1098</v>
      </c>
      <c r="C299" s="39">
        <v>169.0</v>
      </c>
      <c r="D299" s="40" t="s">
        <v>578</v>
      </c>
      <c r="E299" s="40"/>
      <c r="F299" s="40" t="str">
        <f t="shared" si="2"/>
        <v>CROBAT</v>
      </c>
      <c r="G299" s="40" t="s">
        <v>2116</v>
      </c>
      <c r="H299" s="40" t="s">
        <v>2117</v>
      </c>
      <c r="I299" s="40" t="s">
        <v>2118</v>
      </c>
      <c r="J299" s="40" t="s">
        <v>2119</v>
      </c>
      <c r="K299" s="40" t="s">
        <v>2117</v>
      </c>
      <c r="L299" s="40" t="s">
        <v>2117</v>
      </c>
      <c r="M299" s="40" t="s">
        <v>2117</v>
      </c>
      <c r="N299" s="40" t="s">
        <v>2120</v>
      </c>
      <c r="O299" s="40" t="s">
        <v>2121</v>
      </c>
      <c r="P299" s="40" t="s">
        <v>2121</v>
      </c>
      <c r="Q299" s="40" t="s">
        <v>2117</v>
      </c>
    </row>
    <row r="300">
      <c r="A300" s="39" t="str">
        <f t="shared" si="1"/>
        <v>6, 170</v>
      </c>
      <c r="B300" s="39" t="s">
        <v>1098</v>
      </c>
      <c r="C300" s="39">
        <v>170.0</v>
      </c>
      <c r="D300" s="40" t="s">
        <v>578</v>
      </c>
      <c r="E300" s="40"/>
      <c r="F300" s="40" t="str">
        <f t="shared" si="2"/>
        <v>CHINCHOU</v>
      </c>
      <c r="G300" s="40" t="s">
        <v>2122</v>
      </c>
      <c r="H300" s="40" t="s">
        <v>2123</v>
      </c>
      <c r="I300" s="40" t="s">
        <v>2124</v>
      </c>
      <c r="J300" s="40" t="s">
        <v>2125</v>
      </c>
      <c r="K300" s="40" t="s">
        <v>2123</v>
      </c>
      <c r="L300" s="40" t="s">
        <v>2123</v>
      </c>
      <c r="M300" s="40" t="s">
        <v>2123</v>
      </c>
      <c r="N300" s="40" t="s">
        <v>2126</v>
      </c>
      <c r="O300" s="40" t="s">
        <v>2127</v>
      </c>
      <c r="P300" s="40" t="s">
        <v>2128</v>
      </c>
      <c r="Q300" s="40" t="s">
        <v>2123</v>
      </c>
    </row>
    <row r="301">
      <c r="A301" s="39" t="str">
        <f t="shared" si="1"/>
        <v>6, 171</v>
      </c>
      <c r="B301" s="39" t="s">
        <v>1098</v>
      </c>
      <c r="C301" s="39">
        <v>171.0</v>
      </c>
      <c r="D301" s="40" t="s">
        <v>578</v>
      </c>
      <c r="E301" s="40"/>
      <c r="F301" s="40" t="str">
        <f t="shared" si="2"/>
        <v>LANTURN</v>
      </c>
      <c r="G301" s="40" t="s">
        <v>2129</v>
      </c>
      <c r="H301" s="40" t="s">
        <v>2130</v>
      </c>
      <c r="I301" s="40" t="s">
        <v>2130</v>
      </c>
      <c r="J301" s="40" t="s">
        <v>2130</v>
      </c>
      <c r="K301" s="40" t="s">
        <v>2130</v>
      </c>
      <c r="L301" s="40" t="s">
        <v>2130</v>
      </c>
      <c r="M301" s="40" t="s">
        <v>2130</v>
      </c>
      <c r="N301" s="40" t="s">
        <v>2131</v>
      </c>
      <c r="O301" s="40" t="s">
        <v>2132</v>
      </c>
      <c r="P301" s="40" t="s">
        <v>2133</v>
      </c>
      <c r="Q301" s="40" t="s">
        <v>2130</v>
      </c>
    </row>
    <row r="302">
      <c r="A302" s="39" t="str">
        <f t="shared" si="1"/>
        <v>6, 172</v>
      </c>
      <c r="B302" s="39" t="s">
        <v>1098</v>
      </c>
      <c r="C302" s="39">
        <v>172.0</v>
      </c>
      <c r="D302" s="40" t="s">
        <v>578</v>
      </c>
      <c r="E302" s="40"/>
      <c r="F302" s="40" t="str">
        <f t="shared" si="2"/>
        <v>PICHU</v>
      </c>
      <c r="G302" s="40" t="s">
        <v>2134</v>
      </c>
      <c r="H302" s="40" t="s">
        <v>2135</v>
      </c>
      <c r="I302" s="40" t="s">
        <v>2135</v>
      </c>
      <c r="J302" s="40" t="s">
        <v>2135</v>
      </c>
      <c r="K302" s="40" t="s">
        <v>2135</v>
      </c>
      <c r="L302" s="40" t="s">
        <v>2135</v>
      </c>
      <c r="M302" s="40" t="s">
        <v>2135</v>
      </c>
      <c r="N302" s="40" t="s">
        <v>2136</v>
      </c>
      <c r="O302" s="40" t="s">
        <v>2137</v>
      </c>
      <c r="P302" s="40" t="s">
        <v>2137</v>
      </c>
      <c r="Q302" s="40" t="s">
        <v>2135</v>
      </c>
    </row>
    <row r="303">
      <c r="A303" s="39" t="str">
        <f t="shared" si="1"/>
        <v>6, 173</v>
      </c>
      <c r="B303" s="39" t="s">
        <v>1098</v>
      </c>
      <c r="C303" s="39">
        <v>173.0</v>
      </c>
      <c r="D303" s="40" t="s">
        <v>578</v>
      </c>
      <c r="E303" s="40"/>
      <c r="F303" s="40" t="str">
        <f t="shared" si="2"/>
        <v>CLEFFA</v>
      </c>
      <c r="G303" s="40" t="s">
        <v>2138</v>
      </c>
      <c r="H303" s="40" t="s">
        <v>2139</v>
      </c>
      <c r="I303" s="40" t="s">
        <v>2140</v>
      </c>
      <c r="J303" s="40" t="s">
        <v>2141</v>
      </c>
      <c r="K303" s="40" t="s">
        <v>2139</v>
      </c>
      <c r="L303" s="40" t="s">
        <v>2139</v>
      </c>
      <c r="M303" s="40" t="s">
        <v>2139</v>
      </c>
      <c r="N303" s="40" t="s">
        <v>2142</v>
      </c>
      <c r="O303" s="40" t="s">
        <v>2143</v>
      </c>
      <c r="P303" s="40" t="s">
        <v>2144</v>
      </c>
      <c r="Q303" s="40" t="s">
        <v>2139</v>
      </c>
    </row>
    <row r="304">
      <c r="A304" s="39" t="str">
        <f t="shared" si="1"/>
        <v>6, 174</v>
      </c>
      <c r="B304" s="39" t="s">
        <v>1098</v>
      </c>
      <c r="C304" s="39">
        <v>174.0</v>
      </c>
      <c r="D304" s="40" t="s">
        <v>578</v>
      </c>
      <c r="E304" s="40"/>
      <c r="F304" s="40" t="str">
        <f t="shared" si="2"/>
        <v>IGGLYBUFF</v>
      </c>
      <c r="G304" s="40" t="s">
        <v>2145</v>
      </c>
      <c r="H304" s="40" t="s">
        <v>2146</v>
      </c>
      <c r="I304" s="40" t="s">
        <v>2147</v>
      </c>
      <c r="J304" s="40" t="s">
        <v>2148</v>
      </c>
      <c r="K304" s="40" t="s">
        <v>2146</v>
      </c>
      <c r="L304" s="40" t="s">
        <v>2146</v>
      </c>
      <c r="M304" s="40" t="s">
        <v>2146</v>
      </c>
      <c r="N304" s="40" t="s">
        <v>2149</v>
      </c>
      <c r="O304" s="40" t="s">
        <v>2150</v>
      </c>
      <c r="P304" s="40" t="s">
        <v>2151</v>
      </c>
      <c r="Q304" s="40" t="s">
        <v>2146</v>
      </c>
    </row>
    <row r="305">
      <c r="A305" s="39" t="str">
        <f t="shared" si="1"/>
        <v>6, 175</v>
      </c>
      <c r="B305" s="39" t="s">
        <v>1098</v>
      </c>
      <c r="C305" s="39">
        <v>175.0</v>
      </c>
      <c r="D305" s="40" t="s">
        <v>578</v>
      </c>
      <c r="E305" s="40"/>
      <c r="F305" s="40" t="str">
        <f t="shared" si="2"/>
        <v>TOGEPI</v>
      </c>
      <c r="G305" s="40" t="s">
        <v>2152</v>
      </c>
      <c r="H305" s="40" t="s">
        <v>2153</v>
      </c>
      <c r="I305" s="40" t="s">
        <v>2153</v>
      </c>
      <c r="J305" s="40" t="s">
        <v>2153</v>
      </c>
      <c r="K305" s="40" t="s">
        <v>2153</v>
      </c>
      <c r="L305" s="40" t="s">
        <v>2153</v>
      </c>
      <c r="M305" s="40" t="s">
        <v>2153</v>
      </c>
      <c r="N305" s="40" t="s">
        <v>2154</v>
      </c>
      <c r="O305" s="40" t="s">
        <v>2155</v>
      </c>
      <c r="P305" s="40" t="s">
        <v>2155</v>
      </c>
      <c r="Q305" s="40" t="s">
        <v>2153</v>
      </c>
    </row>
    <row r="306">
      <c r="A306" s="39" t="str">
        <f t="shared" si="1"/>
        <v>6, 176</v>
      </c>
      <c r="B306" s="39" t="s">
        <v>1098</v>
      </c>
      <c r="C306" s="39">
        <v>176.0</v>
      </c>
      <c r="D306" s="40" t="s">
        <v>578</v>
      </c>
      <c r="E306" s="40"/>
      <c r="F306" s="40" t="str">
        <f t="shared" si="2"/>
        <v>TOGETIC</v>
      </c>
      <c r="G306" s="40" t="s">
        <v>2156</v>
      </c>
      <c r="H306" s="40" t="s">
        <v>2157</v>
      </c>
      <c r="I306" s="40" t="s">
        <v>2157</v>
      </c>
      <c r="J306" s="40" t="s">
        <v>2157</v>
      </c>
      <c r="K306" s="40" t="s">
        <v>2157</v>
      </c>
      <c r="L306" s="40" t="s">
        <v>2157</v>
      </c>
      <c r="M306" s="40" t="s">
        <v>2157</v>
      </c>
      <c r="N306" s="40" t="s">
        <v>2158</v>
      </c>
      <c r="O306" s="40" t="s">
        <v>2159</v>
      </c>
      <c r="P306" s="40" t="s">
        <v>2159</v>
      </c>
      <c r="Q306" s="40" t="s">
        <v>2157</v>
      </c>
    </row>
    <row r="307">
      <c r="A307" s="39" t="str">
        <f t="shared" si="1"/>
        <v>6, 177</v>
      </c>
      <c r="B307" s="39" t="s">
        <v>1098</v>
      </c>
      <c r="C307" s="39">
        <v>177.0</v>
      </c>
      <c r="D307" s="40" t="s">
        <v>578</v>
      </c>
      <c r="E307" s="40"/>
      <c r="F307" s="40" t="str">
        <f t="shared" si="2"/>
        <v>NATU</v>
      </c>
      <c r="G307" s="40" t="s">
        <v>2160</v>
      </c>
      <c r="H307" s="40" t="s">
        <v>2161</v>
      </c>
      <c r="I307" s="40" t="s">
        <v>2161</v>
      </c>
      <c r="J307" s="40" t="s">
        <v>2161</v>
      </c>
      <c r="K307" s="40" t="s">
        <v>2161</v>
      </c>
      <c r="L307" s="40" t="s">
        <v>2161</v>
      </c>
      <c r="M307" s="40" t="s">
        <v>2161</v>
      </c>
      <c r="N307" s="40" t="s">
        <v>2162</v>
      </c>
      <c r="O307" s="40" t="s">
        <v>2163</v>
      </c>
      <c r="P307" s="40" t="s">
        <v>2163</v>
      </c>
      <c r="Q307" s="40" t="s">
        <v>2161</v>
      </c>
    </row>
    <row r="308">
      <c r="A308" s="39" t="str">
        <f t="shared" si="1"/>
        <v>6, 178</v>
      </c>
      <c r="B308" s="39" t="s">
        <v>1098</v>
      </c>
      <c r="C308" s="39">
        <v>178.0</v>
      </c>
      <c r="D308" s="40" t="s">
        <v>578</v>
      </c>
      <c r="E308" s="40"/>
      <c r="F308" s="40" t="str">
        <f t="shared" si="2"/>
        <v>XATU</v>
      </c>
      <c r="G308" s="40" t="s">
        <v>2164</v>
      </c>
      <c r="H308" s="40" t="s">
        <v>2165</v>
      </c>
      <c r="I308" s="40" t="s">
        <v>2165</v>
      </c>
      <c r="J308" s="40" t="s">
        <v>2165</v>
      </c>
      <c r="K308" s="40" t="s">
        <v>2165</v>
      </c>
      <c r="L308" s="40" t="s">
        <v>2165</v>
      </c>
      <c r="M308" s="40" t="s">
        <v>2165</v>
      </c>
      <c r="N308" s="40" t="s">
        <v>2166</v>
      </c>
      <c r="O308" s="40" t="s">
        <v>2167</v>
      </c>
      <c r="P308" s="40" t="s">
        <v>2168</v>
      </c>
      <c r="Q308" s="40" t="s">
        <v>2165</v>
      </c>
    </row>
    <row r="309">
      <c r="A309" s="39" t="str">
        <f t="shared" si="1"/>
        <v>6, 179</v>
      </c>
      <c r="B309" s="39" t="s">
        <v>1098</v>
      </c>
      <c r="C309" s="39">
        <v>179.0</v>
      </c>
      <c r="D309" s="40" t="s">
        <v>578</v>
      </c>
      <c r="E309" s="40"/>
      <c r="F309" s="40" t="str">
        <f t="shared" si="2"/>
        <v>MAREEP</v>
      </c>
      <c r="G309" s="40" t="s">
        <v>2169</v>
      </c>
      <c r="H309" s="40" t="s">
        <v>2170</v>
      </c>
      <c r="I309" s="40" t="s">
        <v>2171</v>
      </c>
      <c r="J309" s="40" t="s">
        <v>2172</v>
      </c>
      <c r="K309" s="40" t="s">
        <v>2170</v>
      </c>
      <c r="L309" s="40" t="s">
        <v>2170</v>
      </c>
      <c r="M309" s="40" t="s">
        <v>2170</v>
      </c>
      <c r="N309" s="40" t="s">
        <v>2173</v>
      </c>
      <c r="O309" s="40" t="s">
        <v>2174</v>
      </c>
      <c r="P309" s="40" t="s">
        <v>2174</v>
      </c>
      <c r="Q309" s="40" t="s">
        <v>2170</v>
      </c>
    </row>
    <row r="310">
      <c r="A310" s="39" t="str">
        <f t="shared" si="1"/>
        <v>6, 180</v>
      </c>
      <c r="B310" s="39" t="s">
        <v>1098</v>
      </c>
      <c r="C310" s="39">
        <v>180.0</v>
      </c>
      <c r="D310" s="40" t="s">
        <v>578</v>
      </c>
      <c r="E310" s="40"/>
      <c r="F310" s="40" t="str">
        <f t="shared" si="2"/>
        <v>FLAAFFY</v>
      </c>
      <c r="G310" s="40" t="s">
        <v>2175</v>
      </c>
      <c r="H310" s="40" t="s">
        <v>2176</v>
      </c>
      <c r="I310" s="40" t="s">
        <v>2177</v>
      </c>
      <c r="J310" s="40" t="s">
        <v>2178</v>
      </c>
      <c r="K310" s="40" t="s">
        <v>2176</v>
      </c>
      <c r="L310" s="40" t="s">
        <v>2176</v>
      </c>
      <c r="M310" s="40" t="s">
        <v>2176</v>
      </c>
      <c r="N310" s="40" t="s">
        <v>2179</v>
      </c>
      <c r="O310" s="40" t="s">
        <v>2180</v>
      </c>
      <c r="P310" s="40" t="s">
        <v>2180</v>
      </c>
      <c r="Q310" s="40" t="s">
        <v>2176</v>
      </c>
    </row>
    <row r="311">
      <c r="A311" s="39" t="str">
        <f t="shared" si="1"/>
        <v>6, 181</v>
      </c>
      <c r="B311" s="39" t="s">
        <v>1098</v>
      </c>
      <c r="C311" s="39">
        <v>181.0</v>
      </c>
      <c r="D311" s="40" t="s">
        <v>578</v>
      </c>
      <c r="E311" s="40"/>
      <c r="F311" s="40" t="str">
        <f t="shared" si="2"/>
        <v>AMPHAROS</v>
      </c>
      <c r="G311" s="40" t="s">
        <v>2181</v>
      </c>
      <c r="H311" s="40" t="s">
        <v>2182</v>
      </c>
      <c r="I311" s="40" t="s">
        <v>2183</v>
      </c>
      <c r="J311" s="40" t="s">
        <v>2182</v>
      </c>
      <c r="K311" s="40" t="s">
        <v>2182</v>
      </c>
      <c r="L311" s="40" t="s">
        <v>2182</v>
      </c>
      <c r="M311" s="40" t="s">
        <v>2182</v>
      </c>
      <c r="N311" s="40" t="s">
        <v>2184</v>
      </c>
      <c r="O311" s="40" t="s">
        <v>2185</v>
      </c>
      <c r="P311" s="40" t="s">
        <v>2186</v>
      </c>
      <c r="Q311" s="40" t="s">
        <v>2182</v>
      </c>
    </row>
    <row r="312">
      <c r="A312" s="39" t="str">
        <f t="shared" si="1"/>
        <v>6, 182</v>
      </c>
      <c r="B312" s="39" t="s">
        <v>1098</v>
      </c>
      <c r="C312" s="39">
        <v>182.0</v>
      </c>
      <c r="D312" s="40" t="s">
        <v>578</v>
      </c>
      <c r="E312" s="40"/>
      <c r="F312" s="40" t="str">
        <f t="shared" si="2"/>
        <v>BELLOSSOM</v>
      </c>
      <c r="G312" s="40" t="s">
        <v>2187</v>
      </c>
      <c r="H312" s="40" t="s">
        <v>2188</v>
      </c>
      <c r="I312" s="40" t="s">
        <v>2189</v>
      </c>
      <c r="J312" s="40" t="s">
        <v>2190</v>
      </c>
      <c r="K312" s="40" t="s">
        <v>2188</v>
      </c>
      <c r="L312" s="40" t="s">
        <v>2188</v>
      </c>
      <c r="M312" s="40" t="s">
        <v>2188</v>
      </c>
      <c r="N312" s="40" t="s">
        <v>2191</v>
      </c>
      <c r="O312" s="40" t="s">
        <v>2192</v>
      </c>
      <c r="P312" s="40" t="s">
        <v>2193</v>
      </c>
      <c r="Q312" s="40" t="s">
        <v>2188</v>
      </c>
    </row>
    <row r="313">
      <c r="A313" s="39" t="str">
        <f t="shared" si="1"/>
        <v>6, 183</v>
      </c>
      <c r="B313" s="39" t="s">
        <v>1098</v>
      </c>
      <c r="C313" s="39">
        <v>183.0</v>
      </c>
      <c r="D313" s="40" t="s">
        <v>578</v>
      </c>
      <c r="E313" s="40"/>
      <c r="F313" s="40" t="str">
        <f t="shared" si="2"/>
        <v>MARILL</v>
      </c>
      <c r="G313" s="40" t="s">
        <v>2194</v>
      </c>
      <c r="H313" s="40" t="s">
        <v>2195</v>
      </c>
      <c r="I313" s="40" t="s">
        <v>2195</v>
      </c>
      <c r="J313" s="40" t="s">
        <v>2195</v>
      </c>
      <c r="K313" s="40" t="s">
        <v>2195</v>
      </c>
      <c r="L313" s="40" t="s">
        <v>2195</v>
      </c>
      <c r="M313" s="40" t="s">
        <v>2195</v>
      </c>
      <c r="N313" s="40" t="s">
        <v>2196</v>
      </c>
      <c r="O313" s="40" t="s">
        <v>2197</v>
      </c>
      <c r="P313" s="40" t="s">
        <v>2198</v>
      </c>
      <c r="Q313" s="40" t="s">
        <v>2195</v>
      </c>
    </row>
    <row r="314">
      <c r="A314" s="39" t="str">
        <f t="shared" si="1"/>
        <v>6, 184</v>
      </c>
      <c r="B314" s="39" t="s">
        <v>1098</v>
      </c>
      <c r="C314" s="39">
        <v>184.0</v>
      </c>
      <c r="D314" s="40" t="s">
        <v>578</v>
      </c>
      <c r="E314" s="40"/>
      <c r="F314" s="40" t="str">
        <f t="shared" si="2"/>
        <v>AZUMARILL</v>
      </c>
      <c r="G314" s="40" t="s">
        <v>2199</v>
      </c>
      <c r="H314" s="40" t="s">
        <v>2200</v>
      </c>
      <c r="I314" s="40" t="s">
        <v>2200</v>
      </c>
      <c r="J314" s="40" t="s">
        <v>2200</v>
      </c>
      <c r="K314" s="40" t="s">
        <v>2200</v>
      </c>
      <c r="L314" s="40" t="s">
        <v>2200</v>
      </c>
      <c r="M314" s="40" t="s">
        <v>2200</v>
      </c>
      <c r="N314" s="40" t="s">
        <v>2201</v>
      </c>
      <c r="O314" s="40" t="s">
        <v>2202</v>
      </c>
      <c r="P314" s="40" t="s">
        <v>2203</v>
      </c>
      <c r="Q314" s="40" t="s">
        <v>2200</v>
      </c>
    </row>
    <row r="315">
      <c r="A315" s="39" t="str">
        <f t="shared" si="1"/>
        <v>6, 185</v>
      </c>
      <c r="B315" s="39" t="s">
        <v>1098</v>
      </c>
      <c r="C315" s="39">
        <v>185.0</v>
      </c>
      <c r="D315" s="40" t="s">
        <v>578</v>
      </c>
      <c r="E315" s="40"/>
      <c r="F315" s="40" t="str">
        <f t="shared" si="2"/>
        <v>SUDOWOODO</v>
      </c>
      <c r="G315" s="40" t="s">
        <v>2204</v>
      </c>
      <c r="H315" s="40" t="s">
        <v>2205</v>
      </c>
      <c r="I315" s="40" t="s">
        <v>2206</v>
      </c>
      <c r="J315" s="40" t="s">
        <v>2207</v>
      </c>
      <c r="K315" s="40" t="s">
        <v>2205</v>
      </c>
      <c r="L315" s="40" t="s">
        <v>2205</v>
      </c>
      <c r="M315" s="40" t="s">
        <v>2205</v>
      </c>
      <c r="N315" s="40" t="s">
        <v>2208</v>
      </c>
      <c r="O315" s="40" t="s">
        <v>2209</v>
      </c>
      <c r="P315" s="40" t="s">
        <v>2210</v>
      </c>
      <c r="Q315" s="40" t="s">
        <v>2205</v>
      </c>
    </row>
    <row r="316">
      <c r="A316" s="39" t="str">
        <f t="shared" si="1"/>
        <v>6, 186</v>
      </c>
      <c r="B316" s="39" t="s">
        <v>1098</v>
      </c>
      <c r="C316" s="39">
        <v>186.0</v>
      </c>
      <c r="D316" s="40" t="s">
        <v>578</v>
      </c>
      <c r="E316" s="40"/>
      <c r="F316" s="40" t="str">
        <f t="shared" si="2"/>
        <v>POLITOED</v>
      </c>
      <c r="G316" s="40" t="s">
        <v>2211</v>
      </c>
      <c r="H316" s="40" t="s">
        <v>2212</v>
      </c>
      <c r="I316" s="40" t="s">
        <v>2213</v>
      </c>
      <c r="J316" s="40" t="s">
        <v>2214</v>
      </c>
      <c r="K316" s="40" t="s">
        <v>2212</v>
      </c>
      <c r="L316" s="40" t="s">
        <v>2212</v>
      </c>
      <c r="M316" s="40" t="s">
        <v>2212</v>
      </c>
      <c r="N316" s="40" t="s">
        <v>2215</v>
      </c>
      <c r="O316" s="40" t="s">
        <v>2216</v>
      </c>
      <c r="P316" s="40" t="s">
        <v>2216</v>
      </c>
      <c r="Q316" s="40" t="s">
        <v>2212</v>
      </c>
    </row>
    <row r="317">
      <c r="A317" s="39" t="str">
        <f t="shared" si="1"/>
        <v>6, 187</v>
      </c>
      <c r="B317" s="39" t="s">
        <v>1098</v>
      </c>
      <c r="C317" s="39">
        <v>187.0</v>
      </c>
      <c r="D317" s="40" t="s">
        <v>578</v>
      </c>
      <c r="E317" s="40"/>
      <c r="F317" s="40" t="str">
        <f t="shared" si="2"/>
        <v>HOPPIP</v>
      </c>
      <c r="G317" s="40" t="s">
        <v>2217</v>
      </c>
      <c r="H317" s="40" t="s">
        <v>2218</v>
      </c>
      <c r="I317" s="40" t="s">
        <v>2219</v>
      </c>
      <c r="J317" s="40" t="s">
        <v>2220</v>
      </c>
      <c r="K317" s="40" t="s">
        <v>2218</v>
      </c>
      <c r="L317" s="40" t="s">
        <v>2218</v>
      </c>
      <c r="M317" s="40" t="s">
        <v>2218</v>
      </c>
      <c r="N317" s="40" t="s">
        <v>2221</v>
      </c>
      <c r="O317" s="40" t="s">
        <v>2222</v>
      </c>
      <c r="P317" s="40" t="s">
        <v>2222</v>
      </c>
      <c r="Q317" s="40" t="s">
        <v>2218</v>
      </c>
    </row>
    <row r="318">
      <c r="A318" s="39" t="str">
        <f t="shared" si="1"/>
        <v>6, 188</v>
      </c>
      <c r="B318" s="39" t="s">
        <v>1098</v>
      </c>
      <c r="C318" s="39">
        <v>188.0</v>
      </c>
      <c r="D318" s="40" t="s">
        <v>578</v>
      </c>
      <c r="E318" s="40"/>
      <c r="F318" s="40" t="str">
        <f t="shared" si="2"/>
        <v>SKIPLOOM</v>
      </c>
      <c r="G318" s="40" t="s">
        <v>2223</v>
      </c>
      <c r="H318" s="40" t="s">
        <v>2224</v>
      </c>
      <c r="I318" s="40" t="s">
        <v>2225</v>
      </c>
      <c r="J318" s="40" t="s">
        <v>2226</v>
      </c>
      <c r="K318" s="40" t="s">
        <v>2224</v>
      </c>
      <c r="L318" s="40" t="s">
        <v>2224</v>
      </c>
      <c r="M318" s="40" t="s">
        <v>2224</v>
      </c>
      <c r="N318" s="40" t="s">
        <v>2227</v>
      </c>
      <c r="O318" s="40" t="s">
        <v>2228</v>
      </c>
      <c r="P318" s="40" t="s">
        <v>2228</v>
      </c>
      <c r="Q318" s="40" t="s">
        <v>2224</v>
      </c>
    </row>
    <row r="319">
      <c r="A319" s="39" t="str">
        <f t="shared" si="1"/>
        <v>6, 189</v>
      </c>
      <c r="B319" s="39" t="s">
        <v>1098</v>
      </c>
      <c r="C319" s="39">
        <v>189.0</v>
      </c>
      <c r="D319" s="40" t="s">
        <v>578</v>
      </c>
      <c r="E319" s="40"/>
      <c r="F319" s="40" t="str">
        <f t="shared" si="2"/>
        <v>JUMPLUFF</v>
      </c>
      <c r="G319" s="40" t="s">
        <v>2229</v>
      </c>
      <c r="H319" s="40" t="s">
        <v>2230</v>
      </c>
      <c r="I319" s="40" t="s">
        <v>2231</v>
      </c>
      <c r="J319" s="40" t="s">
        <v>2232</v>
      </c>
      <c r="K319" s="40" t="s">
        <v>2230</v>
      </c>
      <c r="L319" s="40" t="s">
        <v>2230</v>
      </c>
      <c r="M319" s="40" t="s">
        <v>2230</v>
      </c>
      <c r="N319" s="40" t="s">
        <v>2233</v>
      </c>
      <c r="O319" s="40" t="s">
        <v>2234</v>
      </c>
      <c r="P319" s="40" t="s">
        <v>2234</v>
      </c>
      <c r="Q319" s="40" t="s">
        <v>2230</v>
      </c>
    </row>
    <row r="320">
      <c r="A320" s="39" t="str">
        <f t="shared" si="1"/>
        <v>6, 190</v>
      </c>
      <c r="B320" s="39" t="s">
        <v>1098</v>
      </c>
      <c r="C320" s="39">
        <v>190.0</v>
      </c>
      <c r="D320" s="40" t="s">
        <v>578</v>
      </c>
      <c r="E320" s="40"/>
      <c r="F320" s="40" t="str">
        <f t="shared" si="2"/>
        <v>AIPOM</v>
      </c>
      <c r="G320" s="40" t="s">
        <v>2235</v>
      </c>
      <c r="H320" s="40" t="s">
        <v>2236</v>
      </c>
      <c r="I320" s="40" t="s">
        <v>2237</v>
      </c>
      <c r="J320" s="40" t="s">
        <v>2238</v>
      </c>
      <c r="K320" s="40" t="s">
        <v>2236</v>
      </c>
      <c r="L320" s="40" t="s">
        <v>2236</v>
      </c>
      <c r="M320" s="40" t="s">
        <v>2236</v>
      </c>
      <c r="N320" s="40" t="s">
        <v>2239</v>
      </c>
      <c r="O320" s="40" t="s">
        <v>2240</v>
      </c>
      <c r="P320" s="40" t="s">
        <v>2241</v>
      </c>
      <c r="Q320" s="40" t="s">
        <v>2236</v>
      </c>
    </row>
    <row r="321">
      <c r="A321" s="39" t="str">
        <f t="shared" si="1"/>
        <v>6, 191</v>
      </c>
      <c r="B321" s="39" t="s">
        <v>1098</v>
      </c>
      <c r="C321" s="39">
        <v>191.0</v>
      </c>
      <c r="D321" s="40" t="s">
        <v>578</v>
      </c>
      <c r="E321" s="40"/>
      <c r="F321" s="40" t="str">
        <f t="shared" si="2"/>
        <v>SUNKERN</v>
      </c>
      <c r="G321" s="40" t="s">
        <v>2242</v>
      </c>
      <c r="H321" s="40" t="s">
        <v>2243</v>
      </c>
      <c r="I321" s="40" t="s">
        <v>2244</v>
      </c>
      <c r="J321" s="40" t="s">
        <v>2245</v>
      </c>
      <c r="K321" s="40" t="s">
        <v>2243</v>
      </c>
      <c r="L321" s="40" t="s">
        <v>2243</v>
      </c>
      <c r="M321" s="40" t="s">
        <v>2243</v>
      </c>
      <c r="N321" s="40" t="s">
        <v>2246</v>
      </c>
      <c r="O321" s="40" t="s">
        <v>2247</v>
      </c>
      <c r="P321" s="40" t="s">
        <v>2248</v>
      </c>
      <c r="Q321" s="40" t="s">
        <v>2243</v>
      </c>
    </row>
    <row r="322">
      <c r="A322" s="39" t="str">
        <f t="shared" si="1"/>
        <v>6, 192</v>
      </c>
      <c r="B322" s="39" t="s">
        <v>1098</v>
      </c>
      <c r="C322" s="39">
        <v>192.0</v>
      </c>
      <c r="D322" s="40" t="s">
        <v>578</v>
      </c>
      <c r="E322" s="40"/>
      <c r="F322" s="40" t="str">
        <f t="shared" si="2"/>
        <v>SUNFLORA</v>
      </c>
      <c r="G322" s="40" t="s">
        <v>2249</v>
      </c>
      <c r="H322" s="40" t="s">
        <v>2250</v>
      </c>
      <c r="I322" s="40" t="s">
        <v>2251</v>
      </c>
      <c r="J322" s="40" t="s">
        <v>2252</v>
      </c>
      <c r="K322" s="40" t="s">
        <v>2250</v>
      </c>
      <c r="L322" s="40" t="s">
        <v>2250</v>
      </c>
      <c r="M322" s="40" t="s">
        <v>2250</v>
      </c>
      <c r="N322" s="40" t="s">
        <v>2253</v>
      </c>
      <c r="O322" s="40" t="s">
        <v>2254</v>
      </c>
      <c r="P322" s="40" t="s">
        <v>2254</v>
      </c>
      <c r="Q322" s="40" t="s">
        <v>2250</v>
      </c>
    </row>
    <row r="323">
      <c r="A323" s="39" t="str">
        <f t="shared" si="1"/>
        <v>6, 193</v>
      </c>
      <c r="B323" s="39" t="s">
        <v>1098</v>
      </c>
      <c r="C323" s="39">
        <v>193.0</v>
      </c>
      <c r="D323" s="40" t="s">
        <v>578</v>
      </c>
      <c r="E323" s="40"/>
      <c r="F323" s="40" t="str">
        <f t="shared" si="2"/>
        <v>YANMA</v>
      </c>
      <c r="G323" s="40" t="s">
        <v>2255</v>
      </c>
      <c r="H323" s="40" t="s">
        <v>2256</v>
      </c>
      <c r="I323" s="40" t="s">
        <v>2256</v>
      </c>
      <c r="J323" s="40" t="s">
        <v>2256</v>
      </c>
      <c r="K323" s="40" t="s">
        <v>2256</v>
      </c>
      <c r="L323" s="40" t="s">
        <v>2256</v>
      </c>
      <c r="M323" s="40" t="s">
        <v>2256</v>
      </c>
      <c r="N323" s="40" t="s">
        <v>2257</v>
      </c>
      <c r="O323" s="40" t="s">
        <v>2258</v>
      </c>
      <c r="P323" s="40" t="s">
        <v>2258</v>
      </c>
      <c r="Q323" s="40" t="s">
        <v>2256</v>
      </c>
    </row>
    <row r="324">
      <c r="A324" s="39" t="str">
        <f t="shared" si="1"/>
        <v>6, 194</v>
      </c>
      <c r="B324" s="39" t="s">
        <v>1098</v>
      </c>
      <c r="C324" s="39">
        <v>194.0</v>
      </c>
      <c r="D324" s="40" t="s">
        <v>578</v>
      </c>
      <c r="E324" s="40"/>
      <c r="F324" s="40" t="str">
        <f t="shared" si="2"/>
        <v>WOOPER</v>
      </c>
      <c r="G324" s="40" t="s">
        <v>2259</v>
      </c>
      <c r="H324" s="40" t="s">
        <v>2260</v>
      </c>
      <c r="I324" s="40" t="s">
        <v>2261</v>
      </c>
      <c r="J324" s="40" t="s">
        <v>2262</v>
      </c>
      <c r="K324" s="40" t="s">
        <v>2260</v>
      </c>
      <c r="L324" s="40" t="s">
        <v>2260</v>
      </c>
      <c r="M324" s="40" t="s">
        <v>2260</v>
      </c>
      <c r="N324" s="40" t="s">
        <v>2263</v>
      </c>
      <c r="O324" s="40" t="s">
        <v>2264</v>
      </c>
      <c r="P324" s="40" t="s">
        <v>2265</v>
      </c>
      <c r="Q324" s="40" t="s">
        <v>2260</v>
      </c>
    </row>
    <row r="325">
      <c r="A325" s="39" t="str">
        <f t="shared" si="1"/>
        <v>6, 195</v>
      </c>
      <c r="B325" s="39" t="s">
        <v>1098</v>
      </c>
      <c r="C325" s="39">
        <v>195.0</v>
      </c>
      <c r="D325" s="40" t="s">
        <v>578</v>
      </c>
      <c r="E325" s="40"/>
      <c r="F325" s="40" t="str">
        <f t="shared" si="2"/>
        <v>QUAGSIRE</v>
      </c>
      <c r="G325" s="40" t="s">
        <v>2266</v>
      </c>
      <c r="H325" s="40" t="s">
        <v>2267</v>
      </c>
      <c r="I325" s="40" t="s">
        <v>2268</v>
      </c>
      <c r="J325" s="40" t="s">
        <v>2269</v>
      </c>
      <c r="K325" s="40" t="s">
        <v>2267</v>
      </c>
      <c r="L325" s="40" t="s">
        <v>2267</v>
      </c>
      <c r="M325" s="40" t="s">
        <v>2267</v>
      </c>
      <c r="N325" s="40" t="s">
        <v>2270</v>
      </c>
      <c r="O325" s="40" t="s">
        <v>2271</v>
      </c>
      <c r="P325" s="40" t="s">
        <v>2271</v>
      </c>
      <c r="Q325" s="40" t="s">
        <v>2267</v>
      </c>
    </row>
    <row r="326">
      <c r="A326" s="39" t="str">
        <f t="shared" si="1"/>
        <v>6, 196</v>
      </c>
      <c r="B326" s="39" t="s">
        <v>1098</v>
      </c>
      <c r="C326" s="39">
        <v>196.0</v>
      </c>
      <c r="D326" s="40" t="s">
        <v>578</v>
      </c>
      <c r="E326" s="40"/>
      <c r="F326" s="40" t="str">
        <f t="shared" si="2"/>
        <v>ESPEON</v>
      </c>
      <c r="G326" s="40" t="s">
        <v>2272</v>
      </c>
      <c r="H326" s="40" t="s">
        <v>2273</v>
      </c>
      <c r="I326" s="40" t="s">
        <v>2274</v>
      </c>
      <c r="J326" s="40" t="s">
        <v>2275</v>
      </c>
      <c r="K326" s="40" t="s">
        <v>2273</v>
      </c>
      <c r="L326" s="40" t="s">
        <v>2273</v>
      </c>
      <c r="M326" s="40" t="s">
        <v>2273</v>
      </c>
      <c r="N326" s="40" t="s">
        <v>2276</v>
      </c>
      <c r="O326" s="40" t="s">
        <v>2277</v>
      </c>
      <c r="P326" s="40" t="s">
        <v>2278</v>
      </c>
      <c r="Q326" s="40" t="s">
        <v>2273</v>
      </c>
    </row>
    <row r="327">
      <c r="A327" s="39" t="str">
        <f t="shared" si="1"/>
        <v>6, 197</v>
      </c>
      <c r="B327" s="39" t="s">
        <v>1098</v>
      </c>
      <c r="C327" s="39">
        <v>197.0</v>
      </c>
      <c r="D327" s="40" t="s">
        <v>578</v>
      </c>
      <c r="E327" s="40"/>
      <c r="F327" s="40" t="str">
        <f t="shared" si="2"/>
        <v>UMBREON</v>
      </c>
      <c r="G327" s="40" t="s">
        <v>2279</v>
      </c>
      <c r="H327" s="40" t="s">
        <v>2280</v>
      </c>
      <c r="I327" s="40" t="s">
        <v>2281</v>
      </c>
      <c r="J327" s="40" t="s">
        <v>2282</v>
      </c>
      <c r="K327" s="40" t="s">
        <v>2280</v>
      </c>
      <c r="L327" s="40" t="s">
        <v>2280</v>
      </c>
      <c r="M327" s="40" t="s">
        <v>2280</v>
      </c>
      <c r="N327" s="40" t="s">
        <v>2283</v>
      </c>
      <c r="O327" s="40" t="s">
        <v>2284</v>
      </c>
      <c r="P327" s="40" t="s">
        <v>2284</v>
      </c>
      <c r="Q327" s="40" t="s">
        <v>2280</v>
      </c>
    </row>
    <row r="328">
      <c r="A328" s="39" t="str">
        <f t="shared" si="1"/>
        <v>6, 198</v>
      </c>
      <c r="B328" s="39" t="s">
        <v>1098</v>
      </c>
      <c r="C328" s="39">
        <v>198.0</v>
      </c>
      <c r="D328" s="40" t="s">
        <v>578</v>
      </c>
      <c r="E328" s="40"/>
      <c r="F328" s="40" t="str">
        <f t="shared" si="2"/>
        <v>MURKROW</v>
      </c>
      <c r="G328" s="40" t="s">
        <v>2285</v>
      </c>
      <c r="H328" s="40" t="s">
        <v>2286</v>
      </c>
      <c r="I328" s="40" t="s">
        <v>2287</v>
      </c>
      <c r="J328" s="40" t="s">
        <v>2288</v>
      </c>
      <c r="K328" s="40" t="s">
        <v>2286</v>
      </c>
      <c r="L328" s="40" t="s">
        <v>2286</v>
      </c>
      <c r="M328" s="40" t="s">
        <v>2286</v>
      </c>
      <c r="N328" s="40" t="s">
        <v>2289</v>
      </c>
      <c r="O328" s="40" t="s">
        <v>2290</v>
      </c>
      <c r="P328" s="40" t="s">
        <v>2291</v>
      </c>
      <c r="Q328" s="40" t="s">
        <v>2286</v>
      </c>
    </row>
    <row r="329">
      <c r="A329" s="39" t="str">
        <f t="shared" si="1"/>
        <v>6, 199</v>
      </c>
      <c r="B329" s="39" t="s">
        <v>1098</v>
      </c>
      <c r="C329" s="39">
        <v>199.0</v>
      </c>
      <c r="D329" s="40" t="s">
        <v>578</v>
      </c>
      <c r="E329" s="40"/>
      <c r="F329" s="40" t="str">
        <f t="shared" si="2"/>
        <v>SLOWKING</v>
      </c>
      <c r="G329" s="40" t="s">
        <v>2292</v>
      </c>
      <c r="H329" s="40" t="s">
        <v>2293</v>
      </c>
      <c r="I329" s="40" t="s">
        <v>2294</v>
      </c>
      <c r="J329" s="40" t="s">
        <v>2295</v>
      </c>
      <c r="K329" s="40" t="s">
        <v>2293</v>
      </c>
      <c r="L329" s="40" t="s">
        <v>2293</v>
      </c>
      <c r="M329" s="40" t="s">
        <v>2293</v>
      </c>
      <c r="N329" s="40" t="s">
        <v>2296</v>
      </c>
      <c r="O329" s="40" t="s">
        <v>2297</v>
      </c>
      <c r="P329" s="40" t="s">
        <v>2297</v>
      </c>
      <c r="Q329" s="40" t="s">
        <v>2293</v>
      </c>
    </row>
    <row r="330">
      <c r="A330" s="39" t="str">
        <f t="shared" si="1"/>
        <v>6, 200</v>
      </c>
      <c r="B330" s="39" t="s">
        <v>1098</v>
      </c>
      <c r="C330" s="39">
        <v>200.0</v>
      </c>
      <c r="D330" s="40" t="s">
        <v>578</v>
      </c>
      <c r="E330" s="40"/>
      <c r="F330" s="40" t="str">
        <f t="shared" si="2"/>
        <v>MISDREAVUS</v>
      </c>
      <c r="G330" s="40" t="s">
        <v>2298</v>
      </c>
      <c r="H330" s="40" t="s">
        <v>2299</v>
      </c>
      <c r="I330" s="40" t="s">
        <v>2300</v>
      </c>
      <c r="J330" s="40" t="s">
        <v>2301</v>
      </c>
      <c r="K330" s="40" t="s">
        <v>2299</v>
      </c>
      <c r="L330" s="40" t="s">
        <v>2299</v>
      </c>
      <c r="M330" s="40" t="s">
        <v>2299</v>
      </c>
      <c r="N330" s="40" t="s">
        <v>2302</v>
      </c>
      <c r="O330" s="40" t="s">
        <v>2303</v>
      </c>
      <c r="P330" s="40" t="s">
        <v>2304</v>
      </c>
      <c r="Q330" s="40" t="s">
        <v>2299</v>
      </c>
    </row>
    <row r="331">
      <c r="A331" s="39" t="str">
        <f t="shared" si="1"/>
        <v>6, 201</v>
      </c>
      <c r="B331" s="39" t="s">
        <v>1098</v>
      </c>
      <c r="C331" s="39">
        <v>201.0</v>
      </c>
      <c r="D331" s="40" t="s">
        <v>578</v>
      </c>
      <c r="E331" s="40"/>
      <c r="F331" s="40" t="str">
        <f t="shared" si="2"/>
        <v>UNOWN</v>
      </c>
      <c r="G331" s="40" t="s">
        <v>2305</v>
      </c>
      <c r="H331" s="40" t="s">
        <v>2306</v>
      </c>
      <c r="I331" s="40" t="s">
        <v>2307</v>
      </c>
      <c r="J331" s="40" t="s">
        <v>2308</v>
      </c>
      <c r="K331" s="40" t="s">
        <v>2306</v>
      </c>
      <c r="L331" s="40" t="s">
        <v>2306</v>
      </c>
      <c r="M331" s="40" t="s">
        <v>2306</v>
      </c>
      <c r="N331" s="40" t="s">
        <v>2309</v>
      </c>
      <c r="O331" s="40" t="s">
        <v>2310</v>
      </c>
      <c r="P331" s="40" t="s">
        <v>2311</v>
      </c>
      <c r="Q331" s="40" t="s">
        <v>2306</v>
      </c>
    </row>
    <row r="332">
      <c r="A332" s="39" t="str">
        <f t="shared" si="1"/>
        <v>6, 202</v>
      </c>
      <c r="B332" s="39" t="s">
        <v>1098</v>
      </c>
      <c r="C332" s="39">
        <v>202.0</v>
      </c>
      <c r="D332" s="40" t="s">
        <v>578</v>
      </c>
      <c r="E332" s="40"/>
      <c r="F332" s="40" t="str">
        <f t="shared" si="2"/>
        <v>WOBBUFFET</v>
      </c>
      <c r="G332" s="40" t="s">
        <v>2312</v>
      </c>
      <c r="H332" s="40" t="s">
        <v>2313</v>
      </c>
      <c r="I332" s="40" t="s">
        <v>2314</v>
      </c>
      <c r="J332" s="40" t="s">
        <v>2315</v>
      </c>
      <c r="K332" s="40" t="s">
        <v>2313</v>
      </c>
      <c r="L332" s="40" t="s">
        <v>2313</v>
      </c>
      <c r="M332" s="40" t="s">
        <v>2313</v>
      </c>
      <c r="N332" s="40" t="s">
        <v>2316</v>
      </c>
      <c r="O332" s="40" t="s">
        <v>2317</v>
      </c>
      <c r="P332" s="40" t="s">
        <v>2317</v>
      </c>
      <c r="Q332" s="40" t="s">
        <v>2313</v>
      </c>
    </row>
    <row r="333">
      <c r="A333" s="39" t="str">
        <f t="shared" si="1"/>
        <v>6, 203</v>
      </c>
      <c r="B333" s="39" t="s">
        <v>1098</v>
      </c>
      <c r="C333" s="39">
        <v>203.0</v>
      </c>
      <c r="D333" s="40" t="s">
        <v>578</v>
      </c>
      <c r="E333" s="40"/>
      <c r="F333" s="40" t="str">
        <f t="shared" si="2"/>
        <v>GIRAFARIG</v>
      </c>
      <c r="G333" s="40" t="s">
        <v>2318</v>
      </c>
      <c r="H333" s="40" t="s">
        <v>2319</v>
      </c>
      <c r="I333" s="40" t="s">
        <v>2319</v>
      </c>
      <c r="J333" s="40" t="s">
        <v>2319</v>
      </c>
      <c r="K333" s="40" t="s">
        <v>2319</v>
      </c>
      <c r="L333" s="40" t="s">
        <v>2319</v>
      </c>
      <c r="M333" s="40" t="s">
        <v>2319</v>
      </c>
      <c r="N333" s="40" t="s">
        <v>2320</v>
      </c>
      <c r="O333" s="40" t="s">
        <v>2321</v>
      </c>
      <c r="P333" s="40" t="s">
        <v>2321</v>
      </c>
      <c r="Q333" s="40" t="s">
        <v>2319</v>
      </c>
    </row>
    <row r="334">
      <c r="A334" s="39" t="str">
        <f t="shared" si="1"/>
        <v>6, 204</v>
      </c>
      <c r="B334" s="39" t="s">
        <v>1098</v>
      </c>
      <c r="C334" s="39">
        <v>204.0</v>
      </c>
      <c r="D334" s="40" t="s">
        <v>578</v>
      </c>
      <c r="E334" s="40"/>
      <c r="F334" s="40" t="str">
        <f t="shared" si="2"/>
        <v>PINECO</v>
      </c>
      <c r="G334" s="40" t="s">
        <v>2322</v>
      </c>
      <c r="H334" s="40" t="s">
        <v>2323</v>
      </c>
      <c r="I334" s="40" t="s">
        <v>2324</v>
      </c>
      <c r="J334" s="40" t="s">
        <v>2325</v>
      </c>
      <c r="K334" s="40" t="s">
        <v>2323</v>
      </c>
      <c r="L334" s="40" t="s">
        <v>2323</v>
      </c>
      <c r="M334" s="40" t="s">
        <v>2323</v>
      </c>
      <c r="N334" s="40" t="s">
        <v>2326</v>
      </c>
      <c r="O334" s="40" t="s">
        <v>2327</v>
      </c>
      <c r="P334" s="40" t="s">
        <v>2327</v>
      </c>
      <c r="Q334" s="40" t="s">
        <v>2323</v>
      </c>
    </row>
    <row r="335">
      <c r="A335" s="39" t="str">
        <f t="shared" si="1"/>
        <v>6, 205</v>
      </c>
      <c r="B335" s="39" t="s">
        <v>1098</v>
      </c>
      <c r="C335" s="39">
        <v>205.0</v>
      </c>
      <c r="D335" s="40" t="s">
        <v>578</v>
      </c>
      <c r="E335" s="40"/>
      <c r="F335" s="40" t="str">
        <f t="shared" si="2"/>
        <v>FORRETRESS</v>
      </c>
      <c r="G335" s="40" t="s">
        <v>2328</v>
      </c>
      <c r="H335" s="40" t="s">
        <v>2329</v>
      </c>
      <c r="I335" s="40" t="s">
        <v>2330</v>
      </c>
      <c r="J335" s="40" t="s">
        <v>2331</v>
      </c>
      <c r="K335" s="40" t="s">
        <v>2329</v>
      </c>
      <c r="L335" s="40" t="s">
        <v>2329</v>
      </c>
      <c r="M335" s="40" t="s">
        <v>2329</v>
      </c>
      <c r="N335" s="40" t="s">
        <v>2332</v>
      </c>
      <c r="O335" s="40" t="s">
        <v>2333</v>
      </c>
      <c r="P335" s="40" t="s">
        <v>2333</v>
      </c>
      <c r="Q335" s="40" t="s">
        <v>2329</v>
      </c>
    </row>
    <row r="336">
      <c r="A336" s="39" t="str">
        <f t="shared" si="1"/>
        <v>6, 206</v>
      </c>
      <c r="B336" s="39" t="s">
        <v>1098</v>
      </c>
      <c r="C336" s="39">
        <v>206.0</v>
      </c>
      <c r="D336" s="40" t="s">
        <v>578</v>
      </c>
      <c r="E336" s="40"/>
      <c r="F336" s="40" t="str">
        <f t="shared" si="2"/>
        <v>DUNSPARCE</v>
      </c>
      <c r="G336" s="40" t="s">
        <v>2334</v>
      </c>
      <c r="H336" s="40" t="s">
        <v>2335</v>
      </c>
      <c r="I336" s="40" t="s">
        <v>2336</v>
      </c>
      <c r="J336" s="40" t="s">
        <v>2337</v>
      </c>
      <c r="K336" s="40" t="s">
        <v>2335</v>
      </c>
      <c r="L336" s="40" t="s">
        <v>2335</v>
      </c>
      <c r="M336" s="40" t="s">
        <v>2335</v>
      </c>
      <c r="N336" s="40" t="s">
        <v>2338</v>
      </c>
      <c r="O336" s="40" t="s">
        <v>2339</v>
      </c>
      <c r="P336" s="40" t="s">
        <v>2340</v>
      </c>
      <c r="Q336" s="40" t="s">
        <v>2335</v>
      </c>
    </row>
    <row r="337">
      <c r="A337" s="39" t="str">
        <f t="shared" si="1"/>
        <v>6, 207</v>
      </c>
      <c r="B337" s="39" t="s">
        <v>1098</v>
      </c>
      <c r="C337" s="39">
        <v>207.0</v>
      </c>
      <c r="D337" s="40" t="s">
        <v>578</v>
      </c>
      <c r="E337" s="40"/>
      <c r="F337" s="40" t="str">
        <f t="shared" si="2"/>
        <v>GLIGAR</v>
      </c>
      <c r="G337" s="40" t="s">
        <v>2341</v>
      </c>
      <c r="H337" s="40" t="s">
        <v>2342</v>
      </c>
      <c r="I337" s="40" t="s">
        <v>2343</v>
      </c>
      <c r="J337" s="40" t="s">
        <v>2344</v>
      </c>
      <c r="K337" s="40" t="s">
        <v>2342</v>
      </c>
      <c r="L337" s="40" t="s">
        <v>2342</v>
      </c>
      <c r="M337" s="40" t="s">
        <v>2342</v>
      </c>
      <c r="N337" s="40" t="s">
        <v>2345</v>
      </c>
      <c r="O337" s="40" t="s">
        <v>2346</v>
      </c>
      <c r="P337" s="40" t="s">
        <v>2347</v>
      </c>
      <c r="Q337" s="40" t="s">
        <v>2342</v>
      </c>
    </row>
    <row r="338">
      <c r="A338" s="39" t="str">
        <f t="shared" si="1"/>
        <v>6, 208</v>
      </c>
      <c r="B338" s="39" t="s">
        <v>1098</v>
      </c>
      <c r="C338" s="39">
        <v>208.0</v>
      </c>
      <c r="D338" s="40" t="s">
        <v>578</v>
      </c>
      <c r="E338" s="40"/>
      <c r="F338" s="40" t="str">
        <f t="shared" si="2"/>
        <v>STEELIX</v>
      </c>
      <c r="G338" s="40" t="s">
        <v>2348</v>
      </c>
      <c r="H338" s="40" t="s">
        <v>2349</v>
      </c>
      <c r="I338" s="40" t="s">
        <v>2349</v>
      </c>
      <c r="J338" s="40" t="s">
        <v>2350</v>
      </c>
      <c r="K338" s="40" t="s">
        <v>2349</v>
      </c>
      <c r="L338" s="40" t="s">
        <v>2349</v>
      </c>
      <c r="M338" s="40" t="s">
        <v>2349</v>
      </c>
      <c r="N338" s="40" t="s">
        <v>2351</v>
      </c>
      <c r="O338" s="40" t="s">
        <v>2352</v>
      </c>
      <c r="P338" s="40" t="s">
        <v>2353</v>
      </c>
      <c r="Q338" s="40" t="s">
        <v>2349</v>
      </c>
    </row>
    <row r="339">
      <c r="A339" s="39" t="str">
        <f t="shared" si="1"/>
        <v>6, 209</v>
      </c>
      <c r="B339" s="39" t="s">
        <v>1098</v>
      </c>
      <c r="C339" s="39">
        <v>209.0</v>
      </c>
      <c r="D339" s="40" t="s">
        <v>578</v>
      </c>
      <c r="E339" s="40"/>
      <c r="F339" s="40" t="str">
        <f t="shared" si="2"/>
        <v>SNUBBULL</v>
      </c>
      <c r="G339" s="40" t="s">
        <v>2354</v>
      </c>
      <c r="H339" s="40" t="s">
        <v>2355</v>
      </c>
      <c r="I339" s="40" t="s">
        <v>2355</v>
      </c>
      <c r="J339" s="40" t="s">
        <v>2355</v>
      </c>
      <c r="K339" s="40" t="s">
        <v>2355</v>
      </c>
      <c r="L339" s="40" t="s">
        <v>2355</v>
      </c>
      <c r="M339" s="40" t="s">
        <v>2355</v>
      </c>
      <c r="N339" s="40" t="s">
        <v>677</v>
      </c>
      <c r="O339" s="40" t="s">
        <v>2356</v>
      </c>
      <c r="P339" s="40" t="s">
        <v>2357</v>
      </c>
      <c r="Q339" s="40" t="s">
        <v>2355</v>
      </c>
    </row>
    <row r="340">
      <c r="A340" s="39" t="str">
        <f t="shared" si="1"/>
        <v>6, 210</v>
      </c>
      <c r="B340" s="39" t="s">
        <v>1098</v>
      </c>
      <c r="C340" s="39">
        <v>210.0</v>
      </c>
      <c r="D340" s="40" t="s">
        <v>578</v>
      </c>
      <c r="E340" s="40"/>
      <c r="F340" s="40" t="str">
        <f t="shared" si="2"/>
        <v>GRANBULL</v>
      </c>
      <c r="G340" s="40" t="s">
        <v>2358</v>
      </c>
      <c r="H340" s="40" t="s">
        <v>2359</v>
      </c>
      <c r="I340" s="40" t="s">
        <v>2359</v>
      </c>
      <c r="J340" s="40" t="s">
        <v>2359</v>
      </c>
      <c r="K340" s="40" t="s">
        <v>2359</v>
      </c>
      <c r="L340" s="40" t="s">
        <v>2359</v>
      </c>
      <c r="M340" s="40" t="s">
        <v>2359</v>
      </c>
      <c r="N340" s="40" t="s">
        <v>2360</v>
      </c>
      <c r="O340" s="40" t="s">
        <v>2361</v>
      </c>
      <c r="P340" s="40" t="s">
        <v>2362</v>
      </c>
      <c r="Q340" s="40" t="s">
        <v>2359</v>
      </c>
    </row>
    <row r="341">
      <c r="A341" s="39" t="str">
        <f t="shared" si="1"/>
        <v>6, 211</v>
      </c>
      <c r="B341" s="39" t="s">
        <v>1098</v>
      </c>
      <c r="C341" s="39">
        <v>211.0</v>
      </c>
      <c r="D341" s="40" t="s">
        <v>578</v>
      </c>
      <c r="E341" s="40"/>
      <c r="F341" s="40" t="str">
        <f t="shared" si="2"/>
        <v>QWILFISH</v>
      </c>
      <c r="G341" s="40" t="s">
        <v>2363</v>
      </c>
      <c r="H341" s="40" t="s">
        <v>2364</v>
      </c>
      <c r="I341" s="40" t="s">
        <v>2364</v>
      </c>
      <c r="J341" s="40" t="s">
        <v>2365</v>
      </c>
      <c r="K341" s="40" t="s">
        <v>2364</v>
      </c>
      <c r="L341" s="40" t="s">
        <v>2364</v>
      </c>
      <c r="M341" s="40" t="s">
        <v>2364</v>
      </c>
      <c r="N341" s="40" t="s">
        <v>2366</v>
      </c>
      <c r="O341" s="40" t="s">
        <v>2367</v>
      </c>
      <c r="P341" s="40" t="s">
        <v>2368</v>
      </c>
      <c r="Q341" s="40" t="s">
        <v>2364</v>
      </c>
    </row>
    <row r="342">
      <c r="A342" s="39" t="str">
        <f t="shared" si="1"/>
        <v>6, 212</v>
      </c>
      <c r="B342" s="39" t="s">
        <v>1098</v>
      </c>
      <c r="C342" s="39">
        <v>212.0</v>
      </c>
      <c r="D342" s="40" t="s">
        <v>578</v>
      </c>
      <c r="E342" s="40"/>
      <c r="F342" s="40" t="str">
        <f t="shared" si="2"/>
        <v>SCIZOR</v>
      </c>
      <c r="G342" s="40" t="s">
        <v>2369</v>
      </c>
      <c r="H342" s="40" t="s">
        <v>2370</v>
      </c>
      <c r="I342" s="40" t="s">
        <v>2371</v>
      </c>
      <c r="J342" s="40" t="s">
        <v>2372</v>
      </c>
      <c r="K342" s="40" t="s">
        <v>2370</v>
      </c>
      <c r="L342" s="40" t="s">
        <v>2370</v>
      </c>
      <c r="M342" s="40" t="s">
        <v>2370</v>
      </c>
      <c r="N342" s="40" t="s">
        <v>2373</v>
      </c>
      <c r="O342" s="40" t="s">
        <v>2374</v>
      </c>
      <c r="P342" s="40" t="s">
        <v>2375</v>
      </c>
      <c r="Q342" s="40" t="s">
        <v>2370</v>
      </c>
    </row>
    <row r="343">
      <c r="A343" s="39" t="str">
        <f t="shared" si="1"/>
        <v>6, 213</v>
      </c>
      <c r="B343" s="39" t="s">
        <v>1098</v>
      </c>
      <c r="C343" s="39">
        <v>213.0</v>
      </c>
      <c r="D343" s="40" t="s">
        <v>578</v>
      </c>
      <c r="E343" s="40"/>
      <c r="F343" s="40" t="str">
        <f t="shared" si="2"/>
        <v>SHUCKLE</v>
      </c>
      <c r="G343" s="40" t="s">
        <v>2376</v>
      </c>
      <c r="H343" s="40" t="s">
        <v>2377</v>
      </c>
      <c r="I343" s="40" t="s">
        <v>2378</v>
      </c>
      <c r="J343" s="40" t="s">
        <v>2379</v>
      </c>
      <c r="K343" s="40" t="s">
        <v>2377</v>
      </c>
      <c r="L343" s="40" t="s">
        <v>2377</v>
      </c>
      <c r="M343" s="40" t="s">
        <v>2377</v>
      </c>
      <c r="N343" s="40" t="s">
        <v>2380</v>
      </c>
      <c r="O343" s="40" t="s">
        <v>2381</v>
      </c>
      <c r="P343" s="40" t="s">
        <v>2382</v>
      </c>
      <c r="Q343" s="40" t="s">
        <v>2377</v>
      </c>
    </row>
    <row r="344">
      <c r="A344" s="39" t="str">
        <f t="shared" si="1"/>
        <v>6, 214</v>
      </c>
      <c r="B344" s="39" t="s">
        <v>1098</v>
      </c>
      <c r="C344" s="39">
        <v>214.0</v>
      </c>
      <c r="D344" s="40" t="s">
        <v>578</v>
      </c>
      <c r="E344" s="40"/>
      <c r="F344" s="40" t="str">
        <f t="shared" si="2"/>
        <v>HERACROSS</v>
      </c>
      <c r="G344" s="40" t="s">
        <v>2383</v>
      </c>
      <c r="H344" s="40" t="s">
        <v>2384</v>
      </c>
      <c r="I344" s="40" t="s">
        <v>2385</v>
      </c>
      <c r="J344" s="40" t="s">
        <v>2386</v>
      </c>
      <c r="K344" s="40" t="s">
        <v>2384</v>
      </c>
      <c r="L344" s="40" t="s">
        <v>2384</v>
      </c>
      <c r="M344" s="40" t="s">
        <v>2384</v>
      </c>
      <c r="N344" s="40" t="s">
        <v>2387</v>
      </c>
      <c r="O344" s="40" t="s">
        <v>2388</v>
      </c>
      <c r="P344" s="40" t="s">
        <v>2389</v>
      </c>
      <c r="Q344" s="40" t="s">
        <v>2384</v>
      </c>
    </row>
    <row r="345">
      <c r="A345" s="39" t="str">
        <f t="shared" si="1"/>
        <v>6, 215</v>
      </c>
      <c r="B345" s="39" t="s">
        <v>1098</v>
      </c>
      <c r="C345" s="39">
        <v>215.0</v>
      </c>
      <c r="D345" s="40" t="s">
        <v>578</v>
      </c>
      <c r="E345" s="40"/>
      <c r="F345" s="40" t="str">
        <f t="shared" si="2"/>
        <v>SNEASEL</v>
      </c>
      <c r="G345" s="40" t="s">
        <v>2390</v>
      </c>
      <c r="H345" s="40" t="s">
        <v>2391</v>
      </c>
      <c r="I345" s="40" t="s">
        <v>2392</v>
      </c>
      <c r="J345" s="40" t="s">
        <v>2393</v>
      </c>
      <c r="K345" s="40" t="s">
        <v>2391</v>
      </c>
      <c r="L345" s="40" t="s">
        <v>2391</v>
      </c>
      <c r="M345" s="40" t="s">
        <v>2391</v>
      </c>
      <c r="N345" s="40" t="s">
        <v>2394</v>
      </c>
      <c r="O345" s="40" t="s">
        <v>2395</v>
      </c>
      <c r="P345" s="40" t="s">
        <v>2395</v>
      </c>
      <c r="Q345" s="40" t="s">
        <v>2391</v>
      </c>
    </row>
    <row r="346">
      <c r="A346" s="39" t="str">
        <f t="shared" si="1"/>
        <v>6, 216</v>
      </c>
      <c r="B346" s="39" t="s">
        <v>1098</v>
      </c>
      <c r="C346" s="39">
        <v>216.0</v>
      </c>
      <c r="D346" s="40" t="s">
        <v>578</v>
      </c>
      <c r="E346" s="40"/>
      <c r="F346" s="40" t="str">
        <f t="shared" si="2"/>
        <v>TEDDIURSA</v>
      </c>
      <c r="G346" s="40" t="s">
        <v>2396</v>
      </c>
      <c r="H346" s="40" t="s">
        <v>2397</v>
      </c>
      <c r="I346" s="40" t="s">
        <v>2397</v>
      </c>
      <c r="J346" s="40" t="s">
        <v>2397</v>
      </c>
      <c r="K346" s="40" t="s">
        <v>2397</v>
      </c>
      <c r="L346" s="40" t="s">
        <v>2397</v>
      </c>
      <c r="M346" s="40" t="s">
        <v>2397</v>
      </c>
      <c r="N346" s="40" t="s">
        <v>2398</v>
      </c>
      <c r="O346" s="40" t="s">
        <v>2399</v>
      </c>
      <c r="P346" s="40" t="s">
        <v>2400</v>
      </c>
      <c r="Q346" s="40" t="s">
        <v>2397</v>
      </c>
    </row>
    <row r="347">
      <c r="A347" s="39" t="str">
        <f t="shared" si="1"/>
        <v>6, 217</v>
      </c>
      <c r="B347" s="39" t="s">
        <v>1098</v>
      </c>
      <c r="C347" s="39">
        <v>217.0</v>
      </c>
      <c r="D347" s="40" t="s">
        <v>578</v>
      </c>
      <c r="E347" s="40"/>
      <c r="F347" s="40" t="str">
        <f t="shared" si="2"/>
        <v>URSARING</v>
      </c>
      <c r="G347" s="40" t="s">
        <v>2401</v>
      </c>
      <c r="H347" s="40" t="s">
        <v>2402</v>
      </c>
      <c r="I347" s="40" t="s">
        <v>2402</v>
      </c>
      <c r="J347" s="40" t="s">
        <v>2402</v>
      </c>
      <c r="K347" s="40" t="s">
        <v>2402</v>
      </c>
      <c r="L347" s="40" t="s">
        <v>2402</v>
      </c>
      <c r="M347" s="40" t="s">
        <v>2402</v>
      </c>
      <c r="N347" s="40" t="s">
        <v>2403</v>
      </c>
      <c r="O347" s="40" t="s">
        <v>2404</v>
      </c>
      <c r="P347" s="40" t="s">
        <v>2404</v>
      </c>
      <c r="Q347" s="40" t="s">
        <v>2402</v>
      </c>
    </row>
    <row r="348">
      <c r="A348" s="39" t="str">
        <f t="shared" si="1"/>
        <v>6, 218</v>
      </c>
      <c r="B348" s="39" t="s">
        <v>1098</v>
      </c>
      <c r="C348" s="39">
        <v>218.0</v>
      </c>
      <c r="D348" s="40" t="s">
        <v>578</v>
      </c>
      <c r="E348" s="40"/>
      <c r="F348" s="40" t="str">
        <f t="shared" si="2"/>
        <v>SLUGMA</v>
      </c>
      <c r="G348" s="40" t="s">
        <v>2405</v>
      </c>
      <c r="H348" s="40" t="s">
        <v>2406</v>
      </c>
      <c r="I348" s="40" t="s">
        <v>2407</v>
      </c>
      <c r="J348" s="40" t="s">
        <v>2408</v>
      </c>
      <c r="K348" s="40" t="s">
        <v>2406</v>
      </c>
      <c r="L348" s="40" t="s">
        <v>2406</v>
      </c>
      <c r="M348" s="40" t="s">
        <v>2406</v>
      </c>
      <c r="N348" s="40" t="s">
        <v>2409</v>
      </c>
      <c r="O348" s="40" t="s">
        <v>2410</v>
      </c>
      <c r="P348" s="40" t="s">
        <v>2411</v>
      </c>
      <c r="Q348" s="40" t="s">
        <v>2406</v>
      </c>
    </row>
    <row r="349">
      <c r="A349" s="39" t="str">
        <f t="shared" si="1"/>
        <v>6, 219</v>
      </c>
      <c r="B349" s="39" t="s">
        <v>1098</v>
      </c>
      <c r="C349" s="39">
        <v>219.0</v>
      </c>
      <c r="D349" s="40" t="s">
        <v>578</v>
      </c>
      <c r="E349" s="40"/>
      <c r="F349" s="40" t="str">
        <f t="shared" si="2"/>
        <v>MAGCARGO</v>
      </c>
      <c r="G349" s="40" t="s">
        <v>2412</v>
      </c>
      <c r="H349" s="40" t="s">
        <v>2413</v>
      </c>
      <c r="I349" s="40" t="s">
        <v>2414</v>
      </c>
      <c r="J349" s="40" t="s">
        <v>2413</v>
      </c>
      <c r="K349" s="40" t="s">
        <v>2413</v>
      </c>
      <c r="L349" s="40" t="s">
        <v>2413</v>
      </c>
      <c r="M349" s="40" t="s">
        <v>2413</v>
      </c>
      <c r="N349" s="40" t="s">
        <v>2415</v>
      </c>
      <c r="O349" s="40" t="s">
        <v>2416</v>
      </c>
      <c r="P349" s="40" t="s">
        <v>2417</v>
      </c>
      <c r="Q349" s="40" t="s">
        <v>2413</v>
      </c>
    </row>
    <row r="350">
      <c r="A350" s="39" t="str">
        <f t="shared" si="1"/>
        <v>6, 220</v>
      </c>
      <c r="B350" s="39" t="s">
        <v>1098</v>
      </c>
      <c r="C350" s="39">
        <v>220.0</v>
      </c>
      <c r="D350" s="40" t="s">
        <v>578</v>
      </c>
      <c r="E350" s="40"/>
      <c r="F350" s="40" t="str">
        <f t="shared" si="2"/>
        <v>SWINUB</v>
      </c>
      <c r="G350" s="40" t="s">
        <v>2418</v>
      </c>
      <c r="H350" s="40" t="s">
        <v>2419</v>
      </c>
      <c r="I350" s="40" t="s">
        <v>2420</v>
      </c>
      <c r="J350" s="40" t="s">
        <v>2421</v>
      </c>
      <c r="K350" s="40" t="s">
        <v>2419</v>
      </c>
      <c r="L350" s="40" t="s">
        <v>2419</v>
      </c>
      <c r="M350" s="40" t="s">
        <v>2419</v>
      </c>
      <c r="N350" s="40" t="s">
        <v>2422</v>
      </c>
      <c r="O350" s="40" t="s">
        <v>2423</v>
      </c>
      <c r="P350" s="40" t="s">
        <v>2424</v>
      </c>
      <c r="Q350" s="40" t="s">
        <v>2419</v>
      </c>
    </row>
    <row r="351">
      <c r="A351" s="39" t="str">
        <f t="shared" si="1"/>
        <v>6, 221</v>
      </c>
      <c r="B351" s="39" t="s">
        <v>1098</v>
      </c>
      <c r="C351" s="39">
        <v>221.0</v>
      </c>
      <c r="D351" s="40" t="s">
        <v>578</v>
      </c>
      <c r="E351" s="40"/>
      <c r="F351" s="40" t="str">
        <f t="shared" si="2"/>
        <v>PILOSWINE</v>
      </c>
      <c r="G351" s="40" t="s">
        <v>2425</v>
      </c>
      <c r="H351" s="40" t="s">
        <v>2426</v>
      </c>
      <c r="I351" s="40" t="s">
        <v>2427</v>
      </c>
      <c r="J351" s="40" t="s">
        <v>2428</v>
      </c>
      <c r="K351" s="40" t="s">
        <v>2426</v>
      </c>
      <c r="L351" s="40" t="s">
        <v>2426</v>
      </c>
      <c r="M351" s="40" t="s">
        <v>2426</v>
      </c>
      <c r="N351" s="40" t="s">
        <v>2429</v>
      </c>
      <c r="O351" s="40" t="s">
        <v>2430</v>
      </c>
      <c r="P351" s="40" t="s">
        <v>2431</v>
      </c>
      <c r="Q351" s="40" t="s">
        <v>2426</v>
      </c>
    </row>
    <row r="352">
      <c r="A352" s="39" t="str">
        <f t="shared" si="1"/>
        <v>6, 222</v>
      </c>
      <c r="B352" s="39" t="s">
        <v>1098</v>
      </c>
      <c r="C352" s="39">
        <v>222.0</v>
      </c>
      <c r="D352" s="40" t="s">
        <v>578</v>
      </c>
      <c r="E352" s="40"/>
      <c r="F352" s="40" t="str">
        <f t="shared" si="2"/>
        <v>CORSOLA</v>
      </c>
      <c r="G352" s="40" t="s">
        <v>2432</v>
      </c>
      <c r="H352" s="40" t="s">
        <v>2433</v>
      </c>
      <c r="I352" s="40" t="s">
        <v>2434</v>
      </c>
      <c r="J352" s="40" t="s">
        <v>2435</v>
      </c>
      <c r="K352" s="40" t="s">
        <v>2433</v>
      </c>
      <c r="L352" s="40" t="s">
        <v>2433</v>
      </c>
      <c r="M352" s="40" t="s">
        <v>2433</v>
      </c>
      <c r="N352" s="40" t="s">
        <v>2436</v>
      </c>
      <c r="O352" s="40" t="s">
        <v>2437</v>
      </c>
      <c r="P352" s="40" t="s">
        <v>2438</v>
      </c>
      <c r="Q352" s="40" t="s">
        <v>2433</v>
      </c>
    </row>
    <row r="353">
      <c r="A353" s="39" t="str">
        <f t="shared" si="1"/>
        <v>6, 223</v>
      </c>
      <c r="B353" s="39" t="s">
        <v>1098</v>
      </c>
      <c r="C353" s="39">
        <v>223.0</v>
      </c>
      <c r="D353" s="40" t="s">
        <v>578</v>
      </c>
      <c r="E353" s="40"/>
      <c r="F353" s="40" t="str">
        <f t="shared" si="2"/>
        <v>REMORAID</v>
      </c>
      <c r="G353" s="40" t="s">
        <v>2439</v>
      </c>
      <c r="H353" s="40" t="s">
        <v>2440</v>
      </c>
      <c r="I353" s="40" t="s">
        <v>2440</v>
      </c>
      <c r="J353" s="40" t="s">
        <v>2440</v>
      </c>
      <c r="K353" s="40" t="s">
        <v>2440</v>
      </c>
      <c r="L353" s="40" t="s">
        <v>2440</v>
      </c>
      <c r="M353" s="40" t="s">
        <v>2440</v>
      </c>
      <c r="N353" s="40" t="s">
        <v>2441</v>
      </c>
      <c r="O353" s="40" t="s">
        <v>2442</v>
      </c>
      <c r="P353" s="40" t="s">
        <v>2443</v>
      </c>
      <c r="Q353" s="40" t="s">
        <v>2440</v>
      </c>
    </row>
    <row r="354">
      <c r="A354" s="39" t="str">
        <f t="shared" si="1"/>
        <v>6, 224</v>
      </c>
      <c r="B354" s="39" t="s">
        <v>1098</v>
      </c>
      <c r="C354" s="39">
        <v>224.0</v>
      </c>
      <c r="D354" s="40" t="s">
        <v>578</v>
      </c>
      <c r="E354" s="40"/>
      <c r="F354" s="40" t="str">
        <f t="shared" si="2"/>
        <v>OCTILLERY</v>
      </c>
      <c r="G354" s="40" t="s">
        <v>2444</v>
      </c>
      <c r="H354" s="40" t="s">
        <v>2445</v>
      </c>
      <c r="I354" s="40" t="s">
        <v>2445</v>
      </c>
      <c r="J354" s="40" t="s">
        <v>2445</v>
      </c>
      <c r="K354" s="40" t="s">
        <v>2445</v>
      </c>
      <c r="L354" s="40" t="s">
        <v>2445</v>
      </c>
      <c r="M354" s="40" t="s">
        <v>2445</v>
      </c>
      <c r="N354" s="40" t="s">
        <v>2446</v>
      </c>
      <c r="O354" s="40" t="s">
        <v>2447</v>
      </c>
      <c r="P354" s="40" t="s">
        <v>2448</v>
      </c>
      <c r="Q354" s="40" t="s">
        <v>2445</v>
      </c>
    </row>
    <row r="355">
      <c r="A355" s="39" t="str">
        <f t="shared" si="1"/>
        <v>6, 225</v>
      </c>
      <c r="B355" s="39" t="s">
        <v>1098</v>
      </c>
      <c r="C355" s="39">
        <v>225.0</v>
      </c>
      <c r="D355" s="40" t="s">
        <v>578</v>
      </c>
      <c r="E355" s="40"/>
      <c r="F355" s="40" t="str">
        <f t="shared" si="2"/>
        <v>DELIBIRD</v>
      </c>
      <c r="G355" s="40" t="s">
        <v>2449</v>
      </c>
      <c r="H355" s="40" t="s">
        <v>2450</v>
      </c>
      <c r="I355" s="40" t="s">
        <v>2451</v>
      </c>
      <c r="J355" s="40" t="s">
        <v>2452</v>
      </c>
      <c r="K355" s="40" t="s">
        <v>2450</v>
      </c>
      <c r="L355" s="40" t="s">
        <v>2450</v>
      </c>
      <c r="M355" s="40" t="s">
        <v>2450</v>
      </c>
      <c r="N355" s="40" t="s">
        <v>2453</v>
      </c>
      <c r="O355" s="40" t="s">
        <v>2454</v>
      </c>
      <c r="P355" s="40" t="s">
        <v>2455</v>
      </c>
      <c r="Q355" s="40" t="s">
        <v>2450</v>
      </c>
    </row>
    <row r="356">
      <c r="A356" s="39" t="str">
        <f t="shared" si="1"/>
        <v>6, 226</v>
      </c>
      <c r="B356" s="39" t="s">
        <v>1098</v>
      </c>
      <c r="C356" s="39">
        <v>226.0</v>
      </c>
      <c r="D356" s="40" t="s">
        <v>578</v>
      </c>
      <c r="E356" s="40"/>
      <c r="F356" s="40" t="str">
        <f t="shared" si="2"/>
        <v>MANTINE</v>
      </c>
      <c r="G356" s="40" t="s">
        <v>2456</v>
      </c>
      <c r="H356" s="40" t="s">
        <v>2457</v>
      </c>
      <c r="I356" s="40" t="s">
        <v>2458</v>
      </c>
      <c r="J356" s="40" t="s">
        <v>2459</v>
      </c>
      <c r="K356" s="40" t="s">
        <v>2457</v>
      </c>
      <c r="L356" s="40" t="s">
        <v>2457</v>
      </c>
      <c r="M356" s="40" t="s">
        <v>2457</v>
      </c>
      <c r="N356" s="40" t="s">
        <v>2460</v>
      </c>
      <c r="O356" s="40" t="s">
        <v>2461</v>
      </c>
      <c r="P356" s="40" t="s">
        <v>2462</v>
      </c>
      <c r="Q356" s="40" t="s">
        <v>2457</v>
      </c>
    </row>
    <row r="357">
      <c r="A357" s="39" t="str">
        <f t="shared" si="1"/>
        <v>6, 227</v>
      </c>
      <c r="B357" s="39" t="s">
        <v>1098</v>
      </c>
      <c r="C357" s="39">
        <v>227.0</v>
      </c>
      <c r="D357" s="40" t="s">
        <v>578</v>
      </c>
      <c r="E357" s="40"/>
      <c r="F357" s="40" t="str">
        <f t="shared" si="2"/>
        <v>SKARMORY</v>
      </c>
      <c r="G357" s="40" t="s">
        <v>2463</v>
      </c>
      <c r="H357" s="40" t="s">
        <v>2464</v>
      </c>
      <c r="I357" s="40" t="s">
        <v>2465</v>
      </c>
      <c r="J357" s="40" t="s">
        <v>2466</v>
      </c>
      <c r="K357" s="40" t="s">
        <v>2464</v>
      </c>
      <c r="L357" s="40" t="s">
        <v>2464</v>
      </c>
      <c r="M357" s="40" t="s">
        <v>2464</v>
      </c>
      <c r="N357" s="40" t="s">
        <v>2467</v>
      </c>
      <c r="O357" s="40" t="s">
        <v>2468</v>
      </c>
      <c r="P357" s="40" t="s">
        <v>2469</v>
      </c>
      <c r="Q357" s="40" t="s">
        <v>2464</v>
      </c>
    </row>
    <row r="358">
      <c r="A358" s="39" t="str">
        <f t="shared" si="1"/>
        <v>6, 228</v>
      </c>
      <c r="B358" s="39" t="s">
        <v>1098</v>
      </c>
      <c r="C358" s="39">
        <v>228.0</v>
      </c>
      <c r="D358" s="40" t="s">
        <v>578</v>
      </c>
      <c r="E358" s="40"/>
      <c r="F358" s="40" t="str">
        <f t="shared" si="2"/>
        <v>HOUNDOUR</v>
      </c>
      <c r="G358" s="40" t="s">
        <v>2470</v>
      </c>
      <c r="H358" s="40" t="s">
        <v>2471</v>
      </c>
      <c r="I358" s="40" t="s">
        <v>2472</v>
      </c>
      <c r="J358" s="40" t="s">
        <v>2473</v>
      </c>
      <c r="K358" s="40" t="s">
        <v>2471</v>
      </c>
      <c r="L358" s="40" t="s">
        <v>2471</v>
      </c>
      <c r="M358" s="40" t="s">
        <v>2471</v>
      </c>
      <c r="N358" s="40" t="s">
        <v>2474</v>
      </c>
      <c r="O358" s="40" t="s">
        <v>2475</v>
      </c>
      <c r="P358" s="40" t="s">
        <v>2476</v>
      </c>
      <c r="Q358" s="40" t="s">
        <v>2471</v>
      </c>
    </row>
    <row r="359">
      <c r="A359" s="39" t="str">
        <f t="shared" si="1"/>
        <v>6, 229</v>
      </c>
      <c r="B359" s="39" t="s">
        <v>1098</v>
      </c>
      <c r="C359" s="39">
        <v>229.0</v>
      </c>
      <c r="D359" s="40" t="s">
        <v>578</v>
      </c>
      <c r="E359" s="40"/>
      <c r="F359" s="40" t="str">
        <f t="shared" si="2"/>
        <v>HOUNDOOM</v>
      </c>
      <c r="G359" s="40" t="s">
        <v>2477</v>
      </c>
      <c r="H359" s="40" t="s">
        <v>2478</v>
      </c>
      <c r="I359" s="40" t="s">
        <v>2479</v>
      </c>
      <c r="J359" s="40" t="s">
        <v>2480</v>
      </c>
      <c r="K359" s="40" t="s">
        <v>2478</v>
      </c>
      <c r="L359" s="40" t="s">
        <v>2478</v>
      </c>
      <c r="M359" s="40" t="s">
        <v>2478</v>
      </c>
      <c r="N359" s="40" t="s">
        <v>2481</v>
      </c>
      <c r="O359" s="40" t="s">
        <v>2482</v>
      </c>
      <c r="P359" s="40" t="s">
        <v>2483</v>
      </c>
      <c r="Q359" s="40" t="s">
        <v>2478</v>
      </c>
    </row>
    <row r="360">
      <c r="A360" s="39" t="str">
        <f t="shared" si="1"/>
        <v>6, 230</v>
      </c>
      <c r="B360" s="39" t="s">
        <v>1098</v>
      </c>
      <c r="C360" s="39">
        <v>230.0</v>
      </c>
      <c r="D360" s="40" t="s">
        <v>578</v>
      </c>
      <c r="E360" s="40"/>
      <c r="F360" s="40" t="str">
        <f t="shared" si="2"/>
        <v>KINGDRA</v>
      </c>
      <c r="G360" s="40" t="s">
        <v>2484</v>
      </c>
      <c r="H360" s="40" t="s">
        <v>2485</v>
      </c>
      <c r="I360" s="40" t="s">
        <v>2486</v>
      </c>
      <c r="J360" s="40" t="s">
        <v>2487</v>
      </c>
      <c r="K360" s="40" t="s">
        <v>2485</v>
      </c>
      <c r="L360" s="40" t="s">
        <v>2485</v>
      </c>
      <c r="M360" s="40" t="s">
        <v>2485</v>
      </c>
      <c r="N360" s="40" t="s">
        <v>2488</v>
      </c>
      <c r="O360" s="40" t="s">
        <v>2489</v>
      </c>
      <c r="P360" s="40" t="s">
        <v>2490</v>
      </c>
      <c r="Q360" s="40" t="s">
        <v>2485</v>
      </c>
    </row>
    <row r="361">
      <c r="A361" s="39" t="str">
        <f t="shared" si="1"/>
        <v>6, 231</v>
      </c>
      <c r="B361" s="39" t="s">
        <v>1098</v>
      </c>
      <c r="C361" s="39">
        <v>231.0</v>
      </c>
      <c r="D361" s="40" t="s">
        <v>578</v>
      </c>
      <c r="E361" s="40"/>
      <c r="F361" s="40" t="str">
        <f t="shared" si="2"/>
        <v>PHANPY</v>
      </c>
      <c r="G361" s="40" t="s">
        <v>2491</v>
      </c>
      <c r="H361" s="40" t="s">
        <v>2492</v>
      </c>
      <c r="I361" s="40" t="s">
        <v>2492</v>
      </c>
      <c r="J361" s="40" t="s">
        <v>2492</v>
      </c>
      <c r="K361" s="40" t="s">
        <v>2492</v>
      </c>
      <c r="L361" s="40" t="s">
        <v>2492</v>
      </c>
      <c r="M361" s="40" t="s">
        <v>2492</v>
      </c>
      <c r="N361" s="40" t="s">
        <v>2493</v>
      </c>
      <c r="O361" s="40" t="s">
        <v>2494</v>
      </c>
      <c r="P361" s="40" t="s">
        <v>2494</v>
      </c>
      <c r="Q361" s="40" t="s">
        <v>2492</v>
      </c>
    </row>
    <row r="362">
      <c r="A362" s="39" t="str">
        <f t="shared" si="1"/>
        <v>6, 232</v>
      </c>
      <c r="B362" s="39" t="s">
        <v>1098</v>
      </c>
      <c r="C362" s="39">
        <v>232.0</v>
      </c>
      <c r="D362" s="40" t="s">
        <v>578</v>
      </c>
      <c r="E362" s="40"/>
      <c r="F362" s="40" t="str">
        <f t="shared" si="2"/>
        <v>DONPHAN</v>
      </c>
      <c r="G362" s="40" t="s">
        <v>2495</v>
      </c>
      <c r="H362" s="40" t="s">
        <v>2496</v>
      </c>
      <c r="I362" s="40" t="s">
        <v>2496</v>
      </c>
      <c r="J362" s="40" t="s">
        <v>2496</v>
      </c>
      <c r="K362" s="40" t="s">
        <v>2496</v>
      </c>
      <c r="L362" s="40" t="s">
        <v>2496</v>
      </c>
      <c r="M362" s="40" t="s">
        <v>2496</v>
      </c>
      <c r="N362" s="40" t="s">
        <v>2497</v>
      </c>
      <c r="O362" s="40" t="s">
        <v>2498</v>
      </c>
      <c r="P362" s="40" t="s">
        <v>2499</v>
      </c>
      <c r="Q362" s="40" t="s">
        <v>2496</v>
      </c>
    </row>
    <row r="363">
      <c r="A363" s="39" t="str">
        <f t="shared" si="1"/>
        <v>6, 233</v>
      </c>
      <c r="B363" s="39" t="s">
        <v>1098</v>
      </c>
      <c r="C363" s="39">
        <v>233.0</v>
      </c>
      <c r="D363" s="40" t="s">
        <v>578</v>
      </c>
      <c r="E363" s="40"/>
      <c r="F363" s="40" t="str">
        <f t="shared" si="2"/>
        <v>PORYGON2</v>
      </c>
      <c r="G363" s="40" t="s">
        <v>2500</v>
      </c>
      <c r="H363" s="40" t="s">
        <v>2501</v>
      </c>
      <c r="I363" s="40" t="s">
        <v>2501</v>
      </c>
      <c r="J363" s="40" t="s">
        <v>2501</v>
      </c>
      <c r="K363" s="40" t="s">
        <v>2501</v>
      </c>
      <c r="L363" s="40" t="s">
        <v>2501</v>
      </c>
      <c r="M363" s="40" t="s">
        <v>2501</v>
      </c>
      <c r="N363" s="40" t="s">
        <v>2502</v>
      </c>
      <c r="O363" s="40" t="s">
        <v>2503</v>
      </c>
      <c r="P363" s="40" t="s">
        <v>2504</v>
      </c>
      <c r="Q363" s="40" t="s">
        <v>2501</v>
      </c>
    </row>
    <row r="364">
      <c r="A364" s="39" t="str">
        <f t="shared" si="1"/>
        <v>6, 234</v>
      </c>
      <c r="B364" s="39" t="s">
        <v>1098</v>
      </c>
      <c r="C364" s="39">
        <v>234.0</v>
      </c>
      <c r="D364" s="40" t="s">
        <v>578</v>
      </c>
      <c r="E364" s="40"/>
      <c r="F364" s="40" t="str">
        <f t="shared" si="2"/>
        <v>STANTLER</v>
      </c>
      <c r="G364" s="40" t="s">
        <v>2505</v>
      </c>
      <c r="H364" s="40" t="s">
        <v>2506</v>
      </c>
      <c r="I364" s="40" t="s">
        <v>2507</v>
      </c>
      <c r="J364" s="40" t="s">
        <v>2508</v>
      </c>
      <c r="K364" s="40" t="s">
        <v>2506</v>
      </c>
      <c r="L364" s="40" t="s">
        <v>2506</v>
      </c>
      <c r="M364" s="40" t="s">
        <v>2506</v>
      </c>
      <c r="N364" s="40" t="s">
        <v>2509</v>
      </c>
      <c r="O364" s="40" t="s">
        <v>2510</v>
      </c>
      <c r="P364" s="40" t="s">
        <v>2511</v>
      </c>
      <c r="Q364" s="40" t="s">
        <v>2506</v>
      </c>
    </row>
    <row r="365">
      <c r="A365" s="39" t="str">
        <f t="shared" si="1"/>
        <v>6, 235</v>
      </c>
      <c r="B365" s="39" t="s">
        <v>1098</v>
      </c>
      <c r="C365" s="39">
        <v>235.0</v>
      </c>
      <c r="D365" s="40" t="s">
        <v>578</v>
      </c>
      <c r="E365" s="40"/>
      <c r="F365" s="40" t="str">
        <f t="shared" si="2"/>
        <v>SMEARGLE</v>
      </c>
      <c r="G365" s="40" t="s">
        <v>2512</v>
      </c>
      <c r="H365" s="40" t="s">
        <v>2513</v>
      </c>
      <c r="I365" s="40" t="s">
        <v>2514</v>
      </c>
      <c r="J365" s="40" t="s">
        <v>2515</v>
      </c>
      <c r="K365" s="40" t="s">
        <v>2513</v>
      </c>
      <c r="L365" s="40" t="s">
        <v>2513</v>
      </c>
      <c r="M365" s="40" t="s">
        <v>2513</v>
      </c>
      <c r="N365" s="40" t="s">
        <v>2516</v>
      </c>
      <c r="O365" s="40" t="s">
        <v>2517</v>
      </c>
      <c r="P365" s="40" t="s">
        <v>2518</v>
      </c>
      <c r="Q365" s="40" t="s">
        <v>2513</v>
      </c>
    </row>
    <row r="366">
      <c r="A366" s="39" t="str">
        <f t="shared" si="1"/>
        <v>6, 236</v>
      </c>
      <c r="B366" s="39" t="s">
        <v>1098</v>
      </c>
      <c r="C366" s="39">
        <v>236.0</v>
      </c>
      <c r="D366" s="40" t="s">
        <v>578</v>
      </c>
      <c r="E366" s="40"/>
      <c r="F366" s="40" t="str">
        <f t="shared" si="2"/>
        <v>TYROGUE</v>
      </c>
      <c r="G366" s="40" t="s">
        <v>2519</v>
      </c>
      <c r="H366" s="40" t="s">
        <v>2520</v>
      </c>
      <c r="I366" s="40" t="s">
        <v>2521</v>
      </c>
      <c r="J366" s="40" t="s">
        <v>2522</v>
      </c>
      <c r="K366" s="40" t="s">
        <v>2520</v>
      </c>
      <c r="L366" s="40" t="s">
        <v>2520</v>
      </c>
      <c r="M366" s="40" t="s">
        <v>2520</v>
      </c>
      <c r="N366" s="40" t="s">
        <v>2523</v>
      </c>
      <c r="O366" s="40" t="s">
        <v>2524</v>
      </c>
      <c r="P366" s="40" t="s">
        <v>2525</v>
      </c>
      <c r="Q366" s="40" t="s">
        <v>2520</v>
      </c>
    </row>
    <row r="367">
      <c r="A367" s="39" t="str">
        <f t="shared" si="1"/>
        <v>6, 237</v>
      </c>
      <c r="B367" s="39" t="s">
        <v>1098</v>
      </c>
      <c r="C367" s="39">
        <v>237.0</v>
      </c>
      <c r="D367" s="40" t="s">
        <v>578</v>
      </c>
      <c r="E367" s="40"/>
      <c r="F367" s="40" t="str">
        <f t="shared" si="2"/>
        <v>HITMONTOP</v>
      </c>
      <c r="G367" s="40" t="s">
        <v>2526</v>
      </c>
      <c r="H367" s="40" t="s">
        <v>2527</v>
      </c>
      <c r="I367" s="40" t="s">
        <v>2528</v>
      </c>
      <c r="J367" s="40" t="s">
        <v>2528</v>
      </c>
      <c r="K367" s="40" t="s">
        <v>2527</v>
      </c>
      <c r="L367" s="40" t="s">
        <v>2527</v>
      </c>
      <c r="M367" s="40" t="s">
        <v>2527</v>
      </c>
      <c r="N367" s="40" t="s">
        <v>2529</v>
      </c>
      <c r="O367" s="40" t="s">
        <v>2530</v>
      </c>
      <c r="P367" s="40" t="s">
        <v>2531</v>
      </c>
      <c r="Q367" s="40" t="s">
        <v>2527</v>
      </c>
    </row>
    <row r="368">
      <c r="A368" s="39" t="str">
        <f t="shared" si="1"/>
        <v>6, 238</v>
      </c>
      <c r="B368" s="39" t="s">
        <v>1098</v>
      </c>
      <c r="C368" s="39">
        <v>238.0</v>
      </c>
      <c r="D368" s="40" t="s">
        <v>578</v>
      </c>
      <c r="E368" s="40"/>
      <c r="F368" s="40" t="str">
        <f t="shared" si="2"/>
        <v>SMOOCHUM</v>
      </c>
      <c r="G368" s="40" t="s">
        <v>2532</v>
      </c>
      <c r="H368" s="40" t="s">
        <v>2533</v>
      </c>
      <c r="I368" s="40" t="s">
        <v>2534</v>
      </c>
      <c r="J368" s="40" t="s">
        <v>2535</v>
      </c>
      <c r="K368" s="40" t="s">
        <v>2533</v>
      </c>
      <c r="L368" s="40" t="s">
        <v>2533</v>
      </c>
      <c r="M368" s="40" t="s">
        <v>2533</v>
      </c>
      <c r="N368" s="40" t="s">
        <v>2536</v>
      </c>
      <c r="O368" s="40" t="s">
        <v>2537</v>
      </c>
      <c r="P368" s="40" t="s">
        <v>2537</v>
      </c>
      <c r="Q368" s="40" t="s">
        <v>2533</v>
      </c>
    </row>
    <row r="369">
      <c r="A369" s="39" t="str">
        <f t="shared" si="1"/>
        <v>6, 239</v>
      </c>
      <c r="B369" s="39" t="s">
        <v>1098</v>
      </c>
      <c r="C369" s="39">
        <v>239.0</v>
      </c>
      <c r="D369" s="40" t="s">
        <v>578</v>
      </c>
      <c r="E369" s="40"/>
      <c r="F369" s="40" t="str">
        <f t="shared" si="2"/>
        <v>ELEKID</v>
      </c>
      <c r="G369" s="40" t="s">
        <v>2538</v>
      </c>
      <c r="H369" s="40" t="s">
        <v>2539</v>
      </c>
      <c r="I369" s="40" t="s">
        <v>2539</v>
      </c>
      <c r="J369" s="40" t="s">
        <v>2539</v>
      </c>
      <c r="K369" s="40" t="s">
        <v>2539</v>
      </c>
      <c r="L369" s="40" t="s">
        <v>2539</v>
      </c>
      <c r="M369" s="40" t="s">
        <v>2539</v>
      </c>
      <c r="N369" s="40" t="s">
        <v>2540</v>
      </c>
      <c r="O369" s="40" t="s">
        <v>2541</v>
      </c>
      <c r="P369" s="40" t="s">
        <v>2542</v>
      </c>
      <c r="Q369" s="40" t="s">
        <v>2539</v>
      </c>
    </row>
    <row r="370">
      <c r="A370" s="39" t="str">
        <f t="shared" si="1"/>
        <v>6, 240</v>
      </c>
      <c r="B370" s="39" t="s">
        <v>1098</v>
      </c>
      <c r="C370" s="39">
        <v>240.0</v>
      </c>
      <c r="D370" s="40" t="s">
        <v>578</v>
      </c>
      <c r="E370" s="40"/>
      <c r="F370" s="40" t="str">
        <f t="shared" si="2"/>
        <v>MAGBY</v>
      </c>
      <c r="G370" s="40" t="s">
        <v>2543</v>
      </c>
      <c r="H370" s="40" t="s">
        <v>2544</v>
      </c>
      <c r="I370" s="40" t="s">
        <v>2544</v>
      </c>
      <c r="J370" s="40" t="s">
        <v>2544</v>
      </c>
      <c r="K370" s="40" t="s">
        <v>2544</v>
      </c>
      <c r="L370" s="40" t="s">
        <v>2544</v>
      </c>
      <c r="M370" s="40" t="s">
        <v>2544</v>
      </c>
      <c r="N370" s="40" t="s">
        <v>2545</v>
      </c>
      <c r="O370" s="40" t="s">
        <v>2546</v>
      </c>
      <c r="P370" s="40" t="s">
        <v>2547</v>
      </c>
      <c r="Q370" s="40" t="s">
        <v>2544</v>
      </c>
    </row>
    <row r="371">
      <c r="A371" s="39" t="str">
        <f t="shared" si="1"/>
        <v>6, 241</v>
      </c>
      <c r="B371" s="39" t="s">
        <v>1098</v>
      </c>
      <c r="C371" s="39">
        <v>241.0</v>
      </c>
      <c r="D371" s="40" t="s">
        <v>578</v>
      </c>
      <c r="E371" s="40"/>
      <c r="F371" s="40" t="str">
        <f t="shared" si="2"/>
        <v>MILTANK</v>
      </c>
      <c r="G371" s="40" t="s">
        <v>2548</v>
      </c>
      <c r="H371" s="40" t="s">
        <v>2549</v>
      </c>
      <c r="I371" s="40" t="s">
        <v>2550</v>
      </c>
      <c r="J371" s="40" t="s">
        <v>2549</v>
      </c>
      <c r="K371" s="40" t="s">
        <v>2549</v>
      </c>
      <c r="L371" s="40" t="s">
        <v>2549</v>
      </c>
      <c r="M371" s="40" t="s">
        <v>2549</v>
      </c>
      <c r="N371" s="40" t="s">
        <v>2551</v>
      </c>
      <c r="O371" s="40" t="s">
        <v>2552</v>
      </c>
      <c r="P371" s="40" t="s">
        <v>2552</v>
      </c>
      <c r="Q371" s="40" t="s">
        <v>2549</v>
      </c>
    </row>
    <row r="372">
      <c r="A372" s="39" t="str">
        <f t="shared" si="1"/>
        <v>6, 242</v>
      </c>
      <c r="B372" s="39" t="s">
        <v>1098</v>
      </c>
      <c r="C372" s="39">
        <v>242.0</v>
      </c>
      <c r="D372" s="40" t="s">
        <v>578</v>
      </c>
      <c r="E372" s="40"/>
      <c r="F372" s="40" t="str">
        <f t="shared" si="2"/>
        <v>BLISSEY</v>
      </c>
      <c r="G372" s="40" t="s">
        <v>2553</v>
      </c>
      <c r="H372" s="40" t="s">
        <v>2554</v>
      </c>
      <c r="I372" s="40" t="s">
        <v>2555</v>
      </c>
      <c r="J372" s="40" t="s">
        <v>2556</v>
      </c>
      <c r="K372" s="40" t="s">
        <v>2554</v>
      </c>
      <c r="L372" s="40" t="s">
        <v>2554</v>
      </c>
      <c r="M372" s="40" t="s">
        <v>2554</v>
      </c>
      <c r="N372" s="40" t="s">
        <v>2557</v>
      </c>
      <c r="O372" s="40" t="s">
        <v>2558</v>
      </c>
      <c r="P372" s="40" t="s">
        <v>2558</v>
      </c>
      <c r="Q372" s="40" t="s">
        <v>2554</v>
      </c>
    </row>
    <row r="373">
      <c r="A373" s="39" t="str">
        <f t="shared" si="1"/>
        <v>6, 243</v>
      </c>
      <c r="B373" s="39" t="s">
        <v>1098</v>
      </c>
      <c r="C373" s="39">
        <v>243.0</v>
      </c>
      <c r="D373" s="40" t="s">
        <v>578</v>
      </c>
      <c r="E373" s="40"/>
      <c r="F373" s="40" t="str">
        <f t="shared" si="2"/>
        <v>RAIKOU</v>
      </c>
      <c r="G373" s="40" t="s">
        <v>2559</v>
      </c>
      <c r="H373" s="40" t="s">
        <v>2560</v>
      </c>
      <c r="I373" s="40" t="s">
        <v>2560</v>
      </c>
      <c r="J373" s="40" t="s">
        <v>2560</v>
      </c>
      <c r="K373" s="40" t="s">
        <v>2560</v>
      </c>
      <c r="L373" s="40" t="s">
        <v>2560</v>
      </c>
      <c r="M373" s="40" t="s">
        <v>2560</v>
      </c>
      <c r="N373" s="40" t="s">
        <v>2561</v>
      </c>
      <c r="O373" s="40" t="s">
        <v>2562</v>
      </c>
      <c r="P373" s="40" t="s">
        <v>2562</v>
      </c>
      <c r="Q373" s="40" t="s">
        <v>2560</v>
      </c>
    </row>
    <row r="374">
      <c r="A374" s="39" t="str">
        <f t="shared" si="1"/>
        <v>6, 244</v>
      </c>
      <c r="B374" s="39" t="s">
        <v>1098</v>
      </c>
      <c r="C374" s="39">
        <v>244.0</v>
      </c>
      <c r="D374" s="40" t="s">
        <v>578</v>
      </c>
      <c r="E374" s="40"/>
      <c r="F374" s="40" t="str">
        <f t="shared" si="2"/>
        <v>ENTEI</v>
      </c>
      <c r="G374" s="40" t="s">
        <v>2563</v>
      </c>
      <c r="H374" s="40" t="s">
        <v>2564</v>
      </c>
      <c r="I374" s="40" t="s">
        <v>2564</v>
      </c>
      <c r="J374" s="40" t="s">
        <v>2564</v>
      </c>
      <c r="K374" s="40" t="s">
        <v>2564</v>
      </c>
      <c r="L374" s="40" t="s">
        <v>2564</v>
      </c>
      <c r="M374" s="40" t="s">
        <v>2564</v>
      </c>
      <c r="N374" s="40" t="s">
        <v>2565</v>
      </c>
      <c r="O374" s="40" t="s">
        <v>2566</v>
      </c>
      <c r="P374" s="40" t="s">
        <v>2566</v>
      </c>
      <c r="Q374" s="40" t="s">
        <v>2564</v>
      </c>
    </row>
    <row r="375">
      <c r="A375" s="39" t="str">
        <f t="shared" si="1"/>
        <v>6, 245</v>
      </c>
      <c r="B375" s="39" t="s">
        <v>1098</v>
      </c>
      <c r="C375" s="39">
        <v>245.0</v>
      </c>
      <c r="D375" s="40" t="s">
        <v>578</v>
      </c>
      <c r="E375" s="40"/>
      <c r="F375" s="40" t="str">
        <f t="shared" si="2"/>
        <v>SUICUNE</v>
      </c>
      <c r="G375" s="40" t="s">
        <v>2567</v>
      </c>
      <c r="H375" s="40" t="s">
        <v>2568</v>
      </c>
      <c r="I375" s="40" t="s">
        <v>2568</v>
      </c>
      <c r="J375" s="40" t="s">
        <v>2568</v>
      </c>
      <c r="K375" s="40" t="s">
        <v>2568</v>
      </c>
      <c r="L375" s="40" t="s">
        <v>2568</v>
      </c>
      <c r="M375" s="40" t="s">
        <v>2568</v>
      </c>
      <c r="N375" s="40" t="s">
        <v>2569</v>
      </c>
      <c r="O375" s="40" t="s">
        <v>2570</v>
      </c>
      <c r="P375" s="40" t="s">
        <v>2570</v>
      </c>
      <c r="Q375" s="40" t="s">
        <v>2568</v>
      </c>
    </row>
    <row r="376">
      <c r="A376" s="39" t="str">
        <f t="shared" si="1"/>
        <v>6, 246</v>
      </c>
      <c r="B376" s="39" t="s">
        <v>1098</v>
      </c>
      <c r="C376" s="39">
        <v>246.0</v>
      </c>
      <c r="D376" s="40" t="s">
        <v>578</v>
      </c>
      <c r="E376" s="40"/>
      <c r="F376" s="40" t="str">
        <f t="shared" si="2"/>
        <v>LARVITAR</v>
      </c>
      <c r="G376" s="40" t="s">
        <v>2571</v>
      </c>
      <c r="H376" s="40" t="s">
        <v>2572</v>
      </c>
      <c r="I376" s="40" t="s">
        <v>2573</v>
      </c>
      <c r="J376" s="40" t="s">
        <v>2572</v>
      </c>
      <c r="K376" s="40" t="s">
        <v>2572</v>
      </c>
      <c r="L376" s="40" t="s">
        <v>2572</v>
      </c>
      <c r="M376" s="40" t="s">
        <v>2572</v>
      </c>
      <c r="N376" s="40" t="s">
        <v>2574</v>
      </c>
      <c r="O376" s="40" t="s">
        <v>2575</v>
      </c>
      <c r="P376" s="40" t="s">
        <v>2575</v>
      </c>
      <c r="Q376" s="40" t="s">
        <v>2572</v>
      </c>
    </row>
    <row r="377">
      <c r="A377" s="39" t="str">
        <f t="shared" si="1"/>
        <v>6, 247</v>
      </c>
      <c r="B377" s="39" t="s">
        <v>1098</v>
      </c>
      <c r="C377" s="39">
        <v>247.0</v>
      </c>
      <c r="D377" s="40" t="s">
        <v>578</v>
      </c>
      <c r="E377" s="40"/>
      <c r="F377" s="40" t="str">
        <f t="shared" si="2"/>
        <v>PUPITAR</v>
      </c>
      <c r="G377" s="40" t="s">
        <v>2576</v>
      </c>
      <c r="H377" s="40" t="s">
        <v>2577</v>
      </c>
      <c r="I377" s="40" t="s">
        <v>2578</v>
      </c>
      <c r="J377" s="40" t="s">
        <v>2577</v>
      </c>
      <c r="K377" s="40" t="s">
        <v>2577</v>
      </c>
      <c r="L377" s="40" t="s">
        <v>2577</v>
      </c>
      <c r="M377" s="40" t="s">
        <v>2577</v>
      </c>
      <c r="N377" s="40" t="s">
        <v>2579</v>
      </c>
      <c r="O377" s="40" t="s">
        <v>2580</v>
      </c>
      <c r="P377" s="40" t="s">
        <v>2580</v>
      </c>
      <c r="Q377" s="40" t="s">
        <v>2577</v>
      </c>
    </row>
    <row r="378">
      <c r="A378" s="39" t="str">
        <f t="shared" si="1"/>
        <v>6, 248</v>
      </c>
      <c r="B378" s="39" t="s">
        <v>1098</v>
      </c>
      <c r="C378" s="39">
        <v>248.0</v>
      </c>
      <c r="D378" s="40" t="s">
        <v>578</v>
      </c>
      <c r="E378" s="40"/>
      <c r="F378" s="40" t="str">
        <f t="shared" si="2"/>
        <v>TYRANITAR</v>
      </c>
      <c r="G378" s="40" t="s">
        <v>2581</v>
      </c>
      <c r="H378" s="40" t="s">
        <v>2582</v>
      </c>
      <c r="I378" s="40" t="s">
        <v>2583</v>
      </c>
      <c r="J378" s="40" t="s">
        <v>2584</v>
      </c>
      <c r="K378" s="40" t="s">
        <v>2582</v>
      </c>
      <c r="L378" s="40" t="s">
        <v>2582</v>
      </c>
      <c r="M378" s="40" t="s">
        <v>2582</v>
      </c>
      <c r="N378" s="40" t="s">
        <v>2585</v>
      </c>
      <c r="O378" s="40" t="s">
        <v>2586</v>
      </c>
      <c r="P378" s="40" t="s">
        <v>2586</v>
      </c>
      <c r="Q378" s="40" t="s">
        <v>2582</v>
      </c>
    </row>
    <row r="379">
      <c r="A379" s="39" t="str">
        <f t="shared" si="1"/>
        <v>6, 249</v>
      </c>
      <c r="B379" s="39" t="s">
        <v>1098</v>
      </c>
      <c r="C379" s="39">
        <v>249.0</v>
      </c>
      <c r="D379" s="40" t="s">
        <v>578</v>
      </c>
      <c r="E379" s="40"/>
      <c r="F379" s="40" t="str">
        <f t="shared" si="2"/>
        <v>LUGIA</v>
      </c>
      <c r="G379" s="40" t="s">
        <v>2587</v>
      </c>
      <c r="H379" s="40" t="s">
        <v>2588</v>
      </c>
      <c r="I379" s="40" t="s">
        <v>2588</v>
      </c>
      <c r="J379" s="40" t="s">
        <v>2588</v>
      </c>
      <c r="K379" s="40" t="s">
        <v>2588</v>
      </c>
      <c r="L379" s="40" t="s">
        <v>2588</v>
      </c>
      <c r="M379" s="40" t="s">
        <v>2588</v>
      </c>
      <c r="N379" s="40" t="s">
        <v>2589</v>
      </c>
      <c r="O379" s="40" t="s">
        <v>2590</v>
      </c>
      <c r="P379" s="40" t="s">
        <v>2591</v>
      </c>
      <c r="Q379" s="40" t="s">
        <v>2588</v>
      </c>
    </row>
    <row r="380">
      <c r="A380" s="39" t="str">
        <f t="shared" si="1"/>
        <v>6, 250</v>
      </c>
      <c r="B380" s="39" t="s">
        <v>1098</v>
      </c>
      <c r="C380" s="39">
        <v>250.0</v>
      </c>
      <c r="D380" s="40" t="s">
        <v>578</v>
      </c>
      <c r="E380" s="40"/>
      <c r="F380" s="40" t="str">
        <f t="shared" si="2"/>
        <v>HO-OH</v>
      </c>
      <c r="G380" s="40" t="s">
        <v>2592</v>
      </c>
      <c r="H380" s="40" t="s">
        <v>2593</v>
      </c>
      <c r="I380" s="40" t="s">
        <v>2593</v>
      </c>
      <c r="J380" s="40" t="s">
        <v>2593</v>
      </c>
      <c r="K380" s="40" t="s">
        <v>2593</v>
      </c>
      <c r="L380" s="40" t="s">
        <v>2593</v>
      </c>
      <c r="M380" s="40" t="s">
        <v>2593</v>
      </c>
      <c r="N380" s="40" t="s">
        <v>2594</v>
      </c>
      <c r="O380" s="40" t="s">
        <v>2595</v>
      </c>
      <c r="P380" s="40" t="s">
        <v>2596</v>
      </c>
      <c r="Q380" s="40" t="s">
        <v>2593</v>
      </c>
    </row>
    <row r="381">
      <c r="A381" s="39" t="str">
        <f t="shared" si="1"/>
        <v>6, 251</v>
      </c>
      <c r="B381" s="39" t="s">
        <v>1098</v>
      </c>
      <c r="C381" s="39">
        <v>251.0</v>
      </c>
      <c r="D381" s="40" t="s">
        <v>578</v>
      </c>
      <c r="E381" s="40"/>
      <c r="F381" s="40" t="str">
        <f t="shared" si="2"/>
        <v>CELEBI</v>
      </c>
      <c r="G381" s="40" t="s">
        <v>2597</v>
      </c>
      <c r="H381" s="40" t="s">
        <v>2598</v>
      </c>
      <c r="I381" s="40" t="s">
        <v>2598</v>
      </c>
      <c r="J381" s="40" t="s">
        <v>2598</v>
      </c>
      <c r="K381" s="40" t="s">
        <v>2598</v>
      </c>
      <c r="L381" s="40" t="s">
        <v>2598</v>
      </c>
      <c r="M381" s="40" t="s">
        <v>2598</v>
      </c>
      <c r="N381" s="40" t="s">
        <v>2599</v>
      </c>
      <c r="O381" s="40" t="s">
        <v>2600</v>
      </c>
      <c r="P381" s="40" t="s">
        <v>2601</v>
      </c>
      <c r="Q381" s="40" t="s">
        <v>2598</v>
      </c>
    </row>
  </sheetData>
  <conditionalFormatting sqref="F2:L381 M3:Q381">
    <cfRule type="expression" dxfId="3" priority="1">
      <formula>LEN(F2) &gt; 1023</formula>
    </cfRule>
  </conditionalFormatting>
  <dataValidations>
    <dataValidation type="list" allowBlank="1" showErrorMessage="1" sqref="D2:D381">
      <formula1>'Box Types'!$A$2:$A381</formula1>
    </dataValidation>
  </dataValidations>
  <hyperlinks>
    <hyperlink r:id="rId1" location="Generation_III" ref="E4"/>
    <hyperlink r:id="rId2" location="Mystery_Event" ref="E5"/>
  </hyperlinks>
  <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8" width="2.75"/>
    <col customWidth="1" hidden="1" min="49" max="80" width="2.75"/>
    <col customWidth="1" min="81" max="96" width="2.75"/>
  </cols>
  <sheetData>
    <row r="1">
      <c r="A1" s="41"/>
      <c r="B1" s="42"/>
      <c r="C1" s="42"/>
      <c r="D1" s="42"/>
      <c r="E1" s="42"/>
      <c r="F1" s="42"/>
      <c r="G1" s="42"/>
      <c r="H1" s="42"/>
      <c r="I1" s="42"/>
      <c r="J1" s="42"/>
      <c r="K1" s="42"/>
      <c r="L1" s="42"/>
      <c r="M1" s="42"/>
      <c r="N1" s="42"/>
      <c r="O1" s="42"/>
      <c r="P1" s="2"/>
      <c r="Q1" s="43" t="s">
        <v>2602</v>
      </c>
      <c r="AG1" s="44" t="s">
        <v>32</v>
      </c>
      <c r="AH1" s="45"/>
      <c r="AI1" s="45"/>
      <c r="AJ1" s="45"/>
      <c r="AK1" s="45"/>
      <c r="AL1" s="45"/>
      <c r="AM1" s="45"/>
      <c r="AN1" s="45"/>
      <c r="AO1" s="45"/>
      <c r="AP1" s="45"/>
      <c r="AQ1" s="45"/>
      <c r="AR1" s="45"/>
      <c r="AS1" s="45"/>
      <c r="AT1" s="45"/>
      <c r="AU1" s="45"/>
      <c r="AV1" s="46"/>
      <c r="AW1" s="47" t="s">
        <v>2603</v>
      </c>
      <c r="AX1" s="42"/>
      <c r="AY1" s="42"/>
      <c r="AZ1" s="42"/>
      <c r="BA1" s="42"/>
      <c r="BB1" s="42"/>
      <c r="BC1" s="42"/>
      <c r="BD1" s="42"/>
      <c r="BE1" s="42"/>
      <c r="BF1" s="42"/>
      <c r="BG1" s="42"/>
      <c r="BH1" s="42"/>
      <c r="BI1" s="42"/>
      <c r="BJ1" s="42"/>
      <c r="BK1" s="42"/>
      <c r="BL1" s="2"/>
      <c r="BM1" s="47" t="s">
        <v>2604</v>
      </c>
      <c r="BN1" s="42"/>
      <c r="BO1" s="42"/>
      <c r="BP1" s="42"/>
      <c r="BQ1" s="42"/>
      <c r="BR1" s="42"/>
      <c r="BS1" s="42"/>
      <c r="BT1" s="42"/>
      <c r="BU1" s="42"/>
      <c r="BV1" s="42"/>
      <c r="BW1" s="42"/>
      <c r="BX1" s="42"/>
      <c r="BY1" s="42"/>
      <c r="BZ1" s="42"/>
      <c r="CA1" s="42"/>
      <c r="CB1" s="2"/>
      <c r="CC1" s="41" t="s">
        <v>2605</v>
      </c>
      <c r="CD1" s="42"/>
      <c r="CE1" s="42"/>
      <c r="CF1" s="42"/>
      <c r="CG1" s="42"/>
      <c r="CH1" s="42"/>
      <c r="CI1" s="42"/>
      <c r="CJ1" s="42"/>
      <c r="CK1" s="42"/>
      <c r="CL1" s="42"/>
      <c r="CM1" s="42"/>
      <c r="CN1" s="42"/>
      <c r="CO1" s="42"/>
      <c r="CP1" s="42"/>
      <c r="CQ1" s="42"/>
      <c r="CR1" s="2"/>
    </row>
    <row r="2">
      <c r="A2" s="48"/>
      <c r="B2" s="49" t="s">
        <v>2606</v>
      </c>
      <c r="C2" s="49" t="s">
        <v>2607</v>
      </c>
      <c r="D2" s="49" t="s">
        <v>2608</v>
      </c>
      <c r="E2" s="49" t="s">
        <v>2609</v>
      </c>
      <c r="F2" s="49" t="s">
        <v>2610</v>
      </c>
      <c r="G2" s="49" t="s">
        <v>2611</v>
      </c>
      <c r="H2" s="49" t="s">
        <v>2612</v>
      </c>
      <c r="I2" s="49" t="s">
        <v>2613</v>
      </c>
      <c r="J2" s="49" t="s">
        <v>2614</v>
      </c>
      <c r="K2" s="50" t="s">
        <v>2615</v>
      </c>
      <c r="L2" s="49" t="s">
        <v>2616</v>
      </c>
      <c r="M2" s="49" t="s">
        <v>2617</v>
      </c>
      <c r="N2" s="49" t="s">
        <v>2618</v>
      </c>
      <c r="O2" s="49" t="s">
        <v>2619</v>
      </c>
      <c r="P2" s="51" t="s">
        <v>2620</v>
      </c>
      <c r="Q2" s="48"/>
      <c r="R2" s="49" t="s">
        <v>2621</v>
      </c>
      <c r="S2" s="49" t="s">
        <v>2622</v>
      </c>
      <c r="T2" s="49" t="s">
        <v>2623</v>
      </c>
      <c r="U2" s="49" t="s">
        <v>2624</v>
      </c>
      <c r="V2" s="49" t="s">
        <v>2625</v>
      </c>
      <c r="W2" s="49" t="s">
        <v>2626</v>
      </c>
      <c r="X2" s="49" t="s">
        <v>2627</v>
      </c>
      <c r="Y2" s="49" t="s">
        <v>2628</v>
      </c>
      <c r="Z2" s="49" t="s">
        <v>2629</v>
      </c>
      <c r="AA2" s="49" t="s">
        <v>2630</v>
      </c>
      <c r="AB2" s="49" t="s">
        <v>2631</v>
      </c>
      <c r="AC2" s="49" t="s">
        <v>2632</v>
      </c>
      <c r="AD2" s="49" t="s">
        <v>2633</v>
      </c>
      <c r="AE2" s="49" t="s">
        <v>2634</v>
      </c>
      <c r="AF2" s="49" t="s">
        <v>2635</v>
      </c>
      <c r="AG2" s="48"/>
      <c r="AH2" s="52" t="s">
        <v>2636</v>
      </c>
      <c r="AI2" s="52" t="s">
        <v>2637</v>
      </c>
      <c r="AJ2" s="52" t="s">
        <v>2638</v>
      </c>
      <c r="AK2" s="52" t="s">
        <v>2639</v>
      </c>
      <c r="AL2" s="52" t="s">
        <v>2640</v>
      </c>
      <c r="AM2" s="52" t="s">
        <v>2641</v>
      </c>
      <c r="AN2" s="52" t="s">
        <v>2642</v>
      </c>
      <c r="AO2" s="52" t="s">
        <v>2643</v>
      </c>
      <c r="AP2" s="52" t="s">
        <v>2644</v>
      </c>
      <c r="AQ2" s="52" t="s">
        <v>2645</v>
      </c>
      <c r="AR2" s="52" t="s">
        <v>2646</v>
      </c>
      <c r="AS2" s="52" t="s">
        <v>2647</v>
      </c>
      <c r="AT2" s="52" t="s">
        <v>2648</v>
      </c>
      <c r="AU2" s="52" t="s">
        <v>2649</v>
      </c>
      <c r="AV2" s="53" t="s">
        <v>2650</v>
      </c>
      <c r="AW2" s="54"/>
      <c r="AX2" s="55"/>
      <c r="AY2" s="55"/>
      <c r="AZ2" s="55"/>
      <c r="BA2" s="55"/>
      <c r="BB2" s="55"/>
      <c r="BC2" s="55"/>
      <c r="BD2" s="55"/>
      <c r="BE2" s="55"/>
      <c r="BF2" s="55"/>
      <c r="BG2" s="55"/>
      <c r="BH2" s="55"/>
      <c r="BI2" s="55"/>
      <c r="BJ2" s="55"/>
      <c r="BK2" s="55"/>
      <c r="BL2" s="56"/>
      <c r="BM2" s="54"/>
      <c r="BN2" s="55"/>
      <c r="BO2" s="55"/>
      <c r="BP2" s="55"/>
      <c r="BQ2" s="55"/>
      <c r="BR2" s="55"/>
      <c r="BS2" s="55"/>
      <c r="BT2" s="55"/>
      <c r="BU2" s="55"/>
      <c r="BV2" s="55"/>
      <c r="BW2" s="55"/>
      <c r="BX2" s="55"/>
      <c r="BY2" s="55"/>
      <c r="BZ2" s="55"/>
      <c r="CA2" s="55"/>
      <c r="CB2" s="56"/>
      <c r="CC2" s="48"/>
      <c r="CD2" s="49" t="s">
        <v>2606</v>
      </c>
      <c r="CE2" s="49" t="s">
        <v>2607</v>
      </c>
      <c r="CF2" s="49" t="s">
        <v>2608</v>
      </c>
      <c r="CG2" s="49" t="s">
        <v>2609</v>
      </c>
      <c r="CH2" s="49" t="s">
        <v>2610</v>
      </c>
      <c r="CI2" s="49" t="s">
        <v>2611</v>
      </c>
      <c r="CJ2" s="49" t="s">
        <v>2612</v>
      </c>
      <c r="CK2" s="49" t="s">
        <v>2613</v>
      </c>
      <c r="CL2" s="49" t="s">
        <v>2614</v>
      </c>
      <c r="CM2" s="50" t="s">
        <v>2615</v>
      </c>
      <c r="CN2" s="49" t="s">
        <v>2616</v>
      </c>
      <c r="CO2" s="49" t="s">
        <v>2617</v>
      </c>
      <c r="CP2" s="49" t="s">
        <v>2618</v>
      </c>
      <c r="CQ2" s="49" t="s">
        <v>2619</v>
      </c>
      <c r="CR2" s="51" t="s">
        <v>2620</v>
      </c>
    </row>
    <row r="3">
      <c r="A3" s="57" t="s">
        <v>2651</v>
      </c>
      <c r="B3" s="43" t="s">
        <v>2652</v>
      </c>
      <c r="C3" s="43" t="s">
        <v>2653</v>
      </c>
      <c r="D3" s="43" t="s">
        <v>2654</v>
      </c>
      <c r="E3" s="43" t="s">
        <v>2655</v>
      </c>
      <c r="F3" s="43" t="s">
        <v>2656</v>
      </c>
      <c r="G3" s="43" t="s">
        <v>2657</v>
      </c>
      <c r="H3" s="43" t="s">
        <v>2658</v>
      </c>
      <c r="I3" s="50" t="s">
        <v>2659</v>
      </c>
      <c r="J3" s="43" t="s">
        <v>2660</v>
      </c>
      <c r="K3" s="43" t="s">
        <v>2661</v>
      </c>
      <c r="L3" s="43" t="s">
        <v>2662</v>
      </c>
      <c r="M3" s="43" t="s">
        <v>2663</v>
      </c>
      <c r="N3" s="43" t="s">
        <v>2664</v>
      </c>
      <c r="O3" s="43" t="s">
        <v>2665</v>
      </c>
      <c r="P3" s="58" t="s">
        <v>2666</v>
      </c>
      <c r="Q3" s="57" t="s">
        <v>2667</v>
      </c>
      <c r="R3" s="43" t="s">
        <v>2668</v>
      </c>
      <c r="S3" s="43" t="s">
        <v>2669</v>
      </c>
      <c r="T3" s="43" t="s">
        <v>2670</v>
      </c>
      <c r="U3" s="43" t="s">
        <v>2671</v>
      </c>
      <c r="V3" s="43" t="s">
        <v>2672</v>
      </c>
      <c r="W3" s="43" t="s">
        <v>2673</v>
      </c>
      <c r="X3" s="43" t="s">
        <v>2674</v>
      </c>
      <c r="Y3" s="43" t="s">
        <v>2675</v>
      </c>
      <c r="Z3" s="43" t="s">
        <v>2676</v>
      </c>
      <c r="AA3" s="43" t="s">
        <v>2677</v>
      </c>
      <c r="AB3" s="43" t="s">
        <v>2678</v>
      </c>
      <c r="AC3" s="43" t="s">
        <v>2679</v>
      </c>
      <c r="AD3" s="43" t="s">
        <v>2680</v>
      </c>
      <c r="AE3" s="43" t="s">
        <v>2681</v>
      </c>
      <c r="AF3" s="43" t="s">
        <v>2682</v>
      </c>
      <c r="AG3" s="59" t="s">
        <v>2683</v>
      </c>
      <c r="AH3" s="60" t="s">
        <v>2684</v>
      </c>
      <c r="AI3" s="60" t="s">
        <v>2685</v>
      </c>
      <c r="AJ3" s="60" t="s">
        <v>2686</v>
      </c>
      <c r="AK3" s="61"/>
      <c r="AL3" s="61"/>
      <c r="AM3" s="61"/>
      <c r="AN3" s="61"/>
      <c r="AO3" s="61"/>
      <c r="AP3" s="61"/>
      <c r="AQ3" s="43"/>
      <c r="AR3" s="60" t="s">
        <v>2662</v>
      </c>
      <c r="AS3" s="43" t="s">
        <v>2687</v>
      </c>
      <c r="AT3" s="61"/>
      <c r="AU3" s="61"/>
      <c r="AV3" s="62"/>
      <c r="AW3" s="63"/>
      <c r="AX3" s="64"/>
      <c r="AY3" s="64"/>
      <c r="AZ3" s="64"/>
      <c r="BA3" s="64"/>
      <c r="BB3" s="64"/>
      <c r="BC3" s="64"/>
      <c r="BD3" s="64"/>
      <c r="BE3" s="64"/>
      <c r="BF3" s="64"/>
      <c r="BG3" s="64"/>
      <c r="BH3" s="64" t="s">
        <v>2662</v>
      </c>
      <c r="BI3" s="64"/>
      <c r="BJ3" s="64"/>
      <c r="BK3" s="64"/>
      <c r="BL3" s="65"/>
      <c r="BM3" s="63"/>
      <c r="BN3" s="64"/>
      <c r="BO3" s="64"/>
      <c r="BP3" s="64"/>
      <c r="BQ3" s="64"/>
      <c r="BR3" s="64"/>
      <c r="BS3" s="64"/>
      <c r="BT3" s="64"/>
      <c r="BU3" s="64"/>
      <c r="BV3" s="64"/>
      <c r="BW3" s="64"/>
      <c r="BX3" s="64" t="s">
        <v>2662</v>
      </c>
      <c r="BY3" s="64"/>
      <c r="BZ3" s="64"/>
      <c r="CA3" s="64"/>
      <c r="CB3" s="65"/>
      <c r="CC3" s="57" t="s">
        <v>2651</v>
      </c>
      <c r="CD3" s="43" t="s">
        <v>2652</v>
      </c>
      <c r="CE3" s="43" t="s">
        <v>2653</v>
      </c>
      <c r="CF3" s="43" t="s">
        <v>2654</v>
      </c>
      <c r="CG3" s="43" t="s">
        <v>2655</v>
      </c>
      <c r="CH3" s="43" t="s">
        <v>2656</v>
      </c>
      <c r="CI3" s="43" t="s">
        <v>2657</v>
      </c>
      <c r="CJ3" s="43" t="s">
        <v>2658</v>
      </c>
      <c r="CK3" s="50" t="s">
        <v>2659</v>
      </c>
      <c r="CL3" s="43" t="s">
        <v>2660</v>
      </c>
      <c r="CM3" s="43" t="s">
        <v>2661</v>
      </c>
      <c r="CN3" s="43" t="s">
        <v>2662</v>
      </c>
      <c r="CO3" s="43" t="s">
        <v>2663</v>
      </c>
      <c r="CP3" s="43" t="s">
        <v>2664</v>
      </c>
      <c r="CQ3" s="43" t="s">
        <v>2665</v>
      </c>
      <c r="CR3" s="58" t="s">
        <v>2666</v>
      </c>
    </row>
    <row r="4">
      <c r="A4" s="57" t="s">
        <v>2688</v>
      </c>
      <c r="B4" s="43" t="s">
        <v>2689</v>
      </c>
      <c r="C4" s="43" t="s">
        <v>2690</v>
      </c>
      <c r="D4" s="43" t="s">
        <v>2687</v>
      </c>
      <c r="E4" s="43" t="s">
        <v>2691</v>
      </c>
      <c r="F4" s="43" t="s">
        <v>2692</v>
      </c>
      <c r="G4" s="43" t="s">
        <v>2693</v>
      </c>
      <c r="H4" s="43" t="s">
        <v>2694</v>
      </c>
      <c r="I4" s="43" t="s">
        <v>2695</v>
      </c>
      <c r="J4" s="43" t="s">
        <v>2696</v>
      </c>
      <c r="K4" s="43" t="s">
        <v>2697</v>
      </c>
      <c r="L4" s="43" t="s">
        <v>2698</v>
      </c>
      <c r="M4" s="43" t="s">
        <v>2699</v>
      </c>
      <c r="N4" s="43" t="s">
        <v>2700</v>
      </c>
      <c r="O4" s="66" t="s">
        <v>2701</v>
      </c>
      <c r="P4" s="58" t="s">
        <v>2702</v>
      </c>
      <c r="Q4" s="57" t="s">
        <v>2703</v>
      </c>
      <c r="R4" s="43" t="s">
        <v>2704</v>
      </c>
      <c r="S4" s="43" t="s">
        <v>2705</v>
      </c>
      <c r="T4" s="43" t="s">
        <v>2706</v>
      </c>
      <c r="U4" s="43" t="s">
        <v>2707</v>
      </c>
      <c r="V4" s="43" t="s">
        <v>2708</v>
      </c>
      <c r="W4" s="43" t="s">
        <v>2709</v>
      </c>
      <c r="X4" s="43" t="s">
        <v>2710</v>
      </c>
      <c r="Y4" s="43" t="s">
        <v>2711</v>
      </c>
      <c r="Z4" s="43" t="s">
        <v>2712</v>
      </c>
      <c r="AA4" s="43" t="s">
        <v>2713</v>
      </c>
      <c r="AB4" s="43" t="s">
        <v>2714</v>
      </c>
      <c r="AC4" s="43" t="s">
        <v>2715</v>
      </c>
      <c r="AD4" s="43" t="s">
        <v>2716</v>
      </c>
      <c r="AE4" s="43" t="s">
        <v>2717</v>
      </c>
      <c r="AF4" s="67" t="s">
        <v>2718</v>
      </c>
      <c r="AG4" s="59" t="s">
        <v>2719</v>
      </c>
      <c r="AH4" s="60" t="s">
        <v>2720</v>
      </c>
      <c r="AI4" s="60" t="s">
        <v>2721</v>
      </c>
      <c r="AJ4" s="60" t="s">
        <v>2722</v>
      </c>
      <c r="AK4" s="60" t="s">
        <v>2723</v>
      </c>
      <c r="AL4" s="60" t="s">
        <v>2724</v>
      </c>
      <c r="AM4" s="60" t="s">
        <v>2725</v>
      </c>
      <c r="AN4" s="60" t="s">
        <v>2726</v>
      </c>
      <c r="AO4" s="60" t="s">
        <v>2727</v>
      </c>
      <c r="AP4" s="60" t="s">
        <v>2728</v>
      </c>
      <c r="AQ4" s="60" t="s">
        <v>2729</v>
      </c>
      <c r="AR4" s="60" t="s">
        <v>2730</v>
      </c>
      <c r="AS4" s="60" t="s">
        <v>2731</v>
      </c>
      <c r="AT4" s="60" t="s">
        <v>2732</v>
      </c>
      <c r="AU4" s="60" t="s">
        <v>2733</v>
      </c>
      <c r="AV4" s="68" t="s">
        <v>2734</v>
      </c>
      <c r="AW4" s="63"/>
      <c r="AX4" s="64"/>
      <c r="AY4" s="64"/>
      <c r="AZ4" s="64" t="s">
        <v>2687</v>
      </c>
      <c r="BA4" s="64"/>
      <c r="BB4" s="64"/>
      <c r="BC4" s="64"/>
      <c r="BD4" s="64"/>
      <c r="BE4" s="64"/>
      <c r="BF4" s="64"/>
      <c r="BG4" s="64"/>
      <c r="BH4" s="64"/>
      <c r="BI4" s="64"/>
      <c r="BJ4" s="64"/>
      <c r="BK4" s="64"/>
      <c r="BL4" s="65"/>
      <c r="BM4" s="63"/>
      <c r="BN4" s="64"/>
      <c r="BO4" s="64"/>
      <c r="BP4" s="64" t="s">
        <v>2687</v>
      </c>
      <c r="BQ4" s="64"/>
      <c r="BR4" s="64"/>
      <c r="BS4" s="64"/>
      <c r="BT4" s="64"/>
      <c r="BU4" s="64"/>
      <c r="BV4" s="64"/>
      <c r="BW4" s="64"/>
      <c r="BX4" s="64"/>
      <c r="BY4" s="64"/>
      <c r="BZ4" s="64"/>
      <c r="CA4" s="64"/>
      <c r="CB4" s="65"/>
      <c r="CC4" s="57" t="s">
        <v>2688</v>
      </c>
      <c r="CD4" s="43" t="s">
        <v>2689</v>
      </c>
      <c r="CE4" s="43" t="s">
        <v>2690</v>
      </c>
      <c r="CF4" s="43" t="s">
        <v>2687</v>
      </c>
      <c r="CG4" s="43" t="s">
        <v>2691</v>
      </c>
      <c r="CH4" s="43" t="s">
        <v>2692</v>
      </c>
      <c r="CI4" s="43" t="s">
        <v>2693</v>
      </c>
      <c r="CJ4" s="43" t="s">
        <v>2694</v>
      </c>
      <c r="CK4" s="43" t="s">
        <v>2695</v>
      </c>
      <c r="CL4" s="43" t="s">
        <v>2696</v>
      </c>
      <c r="CM4" s="43" t="s">
        <v>2697</v>
      </c>
      <c r="CN4" s="43" t="s">
        <v>2698</v>
      </c>
      <c r="CO4" s="43" t="s">
        <v>2699</v>
      </c>
      <c r="CP4" s="43" t="s">
        <v>2700</v>
      </c>
      <c r="CQ4" s="66" t="s">
        <v>2701</v>
      </c>
      <c r="CR4" s="58" t="s">
        <v>2702</v>
      </c>
    </row>
    <row r="5">
      <c r="A5" s="69" t="s">
        <v>2735</v>
      </c>
      <c r="B5" s="70" t="s">
        <v>2736</v>
      </c>
      <c r="C5" s="70" t="s">
        <v>2737</v>
      </c>
      <c r="D5" s="70" t="s">
        <v>2738</v>
      </c>
      <c r="E5" s="50" t="s">
        <v>2739</v>
      </c>
      <c r="F5" s="66" t="s">
        <v>2740</v>
      </c>
      <c r="G5" s="43" t="s">
        <v>2741</v>
      </c>
      <c r="H5" s="71" t="s">
        <v>2742</v>
      </c>
      <c r="I5" s="72"/>
      <c r="J5" s="72"/>
      <c r="K5" s="73"/>
      <c r="L5" s="72"/>
      <c r="M5" s="72"/>
      <c r="N5" s="72"/>
      <c r="O5" s="72"/>
      <c r="P5" s="74"/>
      <c r="Q5" s="57" t="s">
        <v>2743</v>
      </c>
      <c r="R5" s="43" t="s">
        <v>2744</v>
      </c>
      <c r="S5" s="43" t="s">
        <v>2745</v>
      </c>
      <c r="T5" s="43" t="s">
        <v>2746</v>
      </c>
      <c r="U5" s="43" t="s">
        <v>2747</v>
      </c>
      <c r="V5" s="43" t="s">
        <v>2748</v>
      </c>
      <c r="W5" s="43" t="s">
        <v>2749</v>
      </c>
      <c r="X5" s="43" t="s">
        <v>2750</v>
      </c>
      <c r="Y5" s="43" t="s">
        <v>2751</v>
      </c>
      <c r="Z5" s="43" t="s">
        <v>2752</v>
      </c>
      <c r="AA5" s="43" t="s">
        <v>2753</v>
      </c>
      <c r="AB5" s="43" t="s">
        <v>2754</v>
      </c>
      <c r="AC5" s="43" t="s">
        <v>2755</v>
      </c>
      <c r="AD5" s="43" t="s">
        <v>2756</v>
      </c>
      <c r="AE5" s="43" t="s">
        <v>2757</v>
      </c>
      <c r="AF5" s="67" t="s">
        <v>2758</v>
      </c>
      <c r="AG5" s="59" t="s">
        <v>2759</v>
      </c>
      <c r="AH5" s="60" t="s">
        <v>2760</v>
      </c>
      <c r="AI5" s="60" t="s">
        <v>2761</v>
      </c>
      <c r="AJ5" s="60" t="s">
        <v>2762</v>
      </c>
      <c r="AK5" s="60" t="s">
        <v>2763</v>
      </c>
      <c r="AL5" s="66" t="s">
        <v>2740</v>
      </c>
      <c r="AM5" s="43" t="s">
        <v>2741</v>
      </c>
      <c r="AN5" s="61"/>
      <c r="AO5" s="61"/>
      <c r="AP5" s="61"/>
      <c r="AQ5" s="61"/>
      <c r="AR5" s="61"/>
      <c r="AS5" s="61"/>
      <c r="AT5" s="43" t="s">
        <v>2700</v>
      </c>
      <c r="AU5" s="66" t="s">
        <v>2701</v>
      </c>
      <c r="AV5" s="68"/>
      <c r="AW5" s="75" t="s">
        <v>2735</v>
      </c>
      <c r="AX5" s="64"/>
      <c r="AY5" s="64"/>
      <c r="AZ5" s="64"/>
      <c r="BA5" s="76" t="s">
        <v>2740</v>
      </c>
      <c r="BB5" s="64"/>
      <c r="BC5" s="64"/>
      <c r="BD5" s="64"/>
      <c r="BE5" s="64"/>
      <c r="BF5" s="64"/>
      <c r="BG5" s="64"/>
      <c r="BH5" s="64"/>
      <c r="BI5" s="64"/>
      <c r="BJ5" s="64"/>
      <c r="BK5" s="76" t="s">
        <v>2701</v>
      </c>
      <c r="BL5" s="65"/>
      <c r="BM5" s="75" t="s">
        <v>2735</v>
      </c>
      <c r="BN5" s="64"/>
      <c r="BO5" s="64"/>
      <c r="BP5" s="64"/>
      <c r="BQ5" s="76" t="s">
        <v>2740</v>
      </c>
      <c r="BR5" s="64"/>
      <c r="BS5" s="64"/>
      <c r="BT5" s="64"/>
      <c r="BU5" s="64"/>
      <c r="BV5" s="64"/>
      <c r="BW5" s="64"/>
      <c r="BX5" s="64"/>
      <c r="BY5" s="64"/>
      <c r="BZ5" s="64"/>
      <c r="CA5" s="76" t="s">
        <v>2701</v>
      </c>
      <c r="CB5" s="65"/>
      <c r="CC5" s="69" t="s">
        <v>2735</v>
      </c>
      <c r="CD5" s="70" t="s">
        <v>2736</v>
      </c>
      <c r="CE5" s="70" t="s">
        <v>2737</v>
      </c>
      <c r="CF5" s="70" t="s">
        <v>2738</v>
      </c>
      <c r="CG5" s="50" t="s">
        <v>2739</v>
      </c>
      <c r="CH5" s="66" t="s">
        <v>2740</v>
      </c>
      <c r="CI5" s="43" t="s">
        <v>2741</v>
      </c>
      <c r="CJ5" s="71" t="s">
        <v>2742</v>
      </c>
      <c r="CK5" s="43" t="s">
        <v>2764</v>
      </c>
      <c r="CL5" s="72"/>
      <c r="CM5" s="73"/>
      <c r="CN5" s="72"/>
      <c r="CO5" s="72"/>
      <c r="CP5" s="72"/>
      <c r="CQ5" s="72"/>
      <c r="CR5" s="74"/>
    </row>
    <row r="6">
      <c r="A6" s="77"/>
      <c r="B6" s="72"/>
      <c r="C6" s="72"/>
      <c r="D6" s="72"/>
      <c r="E6" s="72"/>
      <c r="F6" s="72"/>
      <c r="G6" s="72"/>
      <c r="H6" s="72"/>
      <c r="I6" s="72"/>
      <c r="J6" s="72"/>
      <c r="K6" s="72"/>
      <c r="L6" s="72"/>
      <c r="M6" s="72"/>
      <c r="N6" s="72"/>
      <c r="O6" s="72"/>
      <c r="P6" s="74"/>
      <c r="Q6" s="57" t="s">
        <v>2765</v>
      </c>
      <c r="R6" s="43" t="s">
        <v>2766</v>
      </c>
      <c r="S6" s="43" t="s">
        <v>2767</v>
      </c>
      <c r="T6" s="43" t="s">
        <v>2768</v>
      </c>
      <c r="U6" s="43" t="s">
        <v>2769</v>
      </c>
      <c r="V6" s="43" t="s">
        <v>2770</v>
      </c>
      <c r="W6" s="43" t="s">
        <v>2771</v>
      </c>
      <c r="X6" s="43" t="s">
        <v>2772</v>
      </c>
      <c r="Y6" s="43" t="s">
        <v>2773</v>
      </c>
      <c r="Z6" s="43" t="s">
        <v>2774</v>
      </c>
      <c r="AA6" s="43" t="s">
        <v>2775</v>
      </c>
      <c r="AB6" s="43" t="s">
        <v>2776</v>
      </c>
      <c r="AC6" s="43" t="s">
        <v>2777</v>
      </c>
      <c r="AD6" s="43" t="s">
        <v>2778</v>
      </c>
      <c r="AE6" s="43" t="s">
        <v>2779</v>
      </c>
      <c r="AF6" s="67" t="s">
        <v>2780</v>
      </c>
      <c r="AG6" s="78"/>
      <c r="AH6" s="79"/>
      <c r="AI6" s="70" t="s">
        <v>2737</v>
      </c>
      <c r="AJ6" s="79"/>
      <c r="AK6" s="80"/>
      <c r="AL6" s="61"/>
      <c r="AM6" s="61"/>
      <c r="AN6" s="61"/>
      <c r="AO6" s="61"/>
      <c r="AP6" s="61"/>
      <c r="AQ6" s="61"/>
      <c r="AR6" s="61"/>
      <c r="AS6" s="61"/>
      <c r="AT6" s="61"/>
      <c r="AU6" s="61"/>
      <c r="AV6" s="62"/>
      <c r="AW6" s="63"/>
      <c r="AX6" s="64"/>
      <c r="AY6" s="64"/>
      <c r="AZ6" s="64"/>
      <c r="BA6" s="64"/>
      <c r="BB6" s="64"/>
      <c r="BC6" s="64"/>
      <c r="BD6" s="64"/>
      <c r="BE6" s="64"/>
      <c r="BF6" s="64"/>
      <c r="BG6" s="64"/>
      <c r="BH6" s="64"/>
      <c r="BI6" s="64"/>
      <c r="BJ6" s="64"/>
      <c r="BK6" s="64"/>
      <c r="BL6" s="65"/>
      <c r="BM6" s="63"/>
      <c r="BN6" s="64"/>
      <c r="BO6" s="64"/>
      <c r="BP6" s="64"/>
      <c r="BQ6" s="64"/>
      <c r="BR6" s="64"/>
      <c r="BS6" s="64"/>
      <c r="BT6" s="64"/>
      <c r="BU6" s="64"/>
      <c r="BV6" s="64"/>
      <c r="BW6" s="64"/>
      <c r="BX6" s="64"/>
      <c r="BY6" s="64"/>
      <c r="BZ6" s="64"/>
      <c r="CA6" s="64"/>
      <c r="CB6" s="65"/>
      <c r="CC6" s="77"/>
      <c r="CD6" s="72"/>
      <c r="CE6" s="72"/>
      <c r="CF6" s="72"/>
      <c r="CG6" s="72"/>
      <c r="CH6" s="72"/>
      <c r="CI6" s="72"/>
      <c r="CJ6" s="72"/>
      <c r="CK6" s="72"/>
      <c r="CL6" s="72"/>
      <c r="CM6" s="72"/>
      <c r="CN6" s="72"/>
      <c r="CO6" s="72"/>
      <c r="CP6" s="72"/>
      <c r="CQ6" s="72"/>
      <c r="CR6" s="74"/>
    </row>
    <row r="7">
      <c r="A7" s="57" t="s">
        <v>2781</v>
      </c>
      <c r="B7" s="43" t="s">
        <v>2782</v>
      </c>
      <c r="C7" s="43" t="s">
        <v>2783</v>
      </c>
      <c r="D7" s="72"/>
      <c r="E7" s="72"/>
      <c r="F7" s="72"/>
      <c r="G7" s="72"/>
      <c r="H7" s="72"/>
      <c r="I7" s="72"/>
      <c r="J7" s="72"/>
      <c r="K7" s="43" t="s">
        <v>2784</v>
      </c>
      <c r="L7" s="43" t="s">
        <v>2785</v>
      </c>
      <c r="M7" s="43" t="s">
        <v>2786</v>
      </c>
      <c r="N7" s="43" t="s">
        <v>2787</v>
      </c>
      <c r="O7" s="72"/>
      <c r="P7" s="74"/>
      <c r="Q7" s="57" t="s">
        <v>2788</v>
      </c>
      <c r="R7" s="43" t="s">
        <v>2789</v>
      </c>
      <c r="S7" s="43" t="s">
        <v>2790</v>
      </c>
      <c r="T7" s="43" t="s">
        <v>2791</v>
      </c>
      <c r="U7" s="43" t="s">
        <v>2792</v>
      </c>
      <c r="V7" s="43" t="s">
        <v>2793</v>
      </c>
      <c r="W7" s="43" t="s">
        <v>2794</v>
      </c>
      <c r="X7" s="43" t="s">
        <v>2795</v>
      </c>
      <c r="Y7" s="43" t="s">
        <v>2796</v>
      </c>
      <c r="Z7" s="43" t="s">
        <v>2797</v>
      </c>
      <c r="AA7" s="43" t="s">
        <v>2798</v>
      </c>
      <c r="AB7" s="43" t="s">
        <v>2799</v>
      </c>
      <c r="AC7" s="43" t="s">
        <v>2800</v>
      </c>
      <c r="AD7" s="43" t="s">
        <v>2801</v>
      </c>
      <c r="AE7" s="43" t="s">
        <v>2802</v>
      </c>
      <c r="AF7" s="67" t="s">
        <v>2803</v>
      </c>
      <c r="AG7" s="81"/>
      <c r="AH7" s="61"/>
      <c r="AI7" s="61"/>
      <c r="AJ7" s="61"/>
      <c r="AK7" s="61"/>
      <c r="AL7" s="61"/>
      <c r="AM7" s="61"/>
      <c r="AN7" s="61"/>
      <c r="AO7" s="61"/>
      <c r="AP7" s="61"/>
      <c r="AQ7" s="61"/>
      <c r="AR7" s="43" t="s">
        <v>2785</v>
      </c>
      <c r="AS7" s="43" t="s">
        <v>2786</v>
      </c>
      <c r="AT7" s="43" t="s">
        <v>2787</v>
      </c>
      <c r="AU7" s="61"/>
      <c r="AV7" s="62"/>
      <c r="AW7" s="63"/>
      <c r="AX7" s="64"/>
      <c r="AY7" s="64"/>
      <c r="AZ7" s="64"/>
      <c r="BA7" s="64"/>
      <c r="BB7" s="64"/>
      <c r="BC7" s="64"/>
      <c r="BD7" s="64"/>
      <c r="BE7" s="64"/>
      <c r="BF7" s="64"/>
      <c r="BG7" s="64"/>
      <c r="BH7" s="64" t="s">
        <v>2785</v>
      </c>
      <c r="BI7" s="64"/>
      <c r="BJ7" s="64"/>
      <c r="BK7" s="64"/>
      <c r="BL7" s="65"/>
      <c r="BM7" s="63"/>
      <c r="BN7" s="64"/>
      <c r="BO7" s="64"/>
      <c r="BP7" s="64"/>
      <c r="BQ7" s="64"/>
      <c r="BR7" s="64"/>
      <c r="BS7" s="64"/>
      <c r="BT7" s="64"/>
      <c r="BU7" s="64"/>
      <c r="BV7" s="64"/>
      <c r="BW7" s="64"/>
      <c r="BX7" s="64" t="s">
        <v>2785</v>
      </c>
      <c r="BY7" s="64"/>
      <c r="BZ7" s="64"/>
      <c r="CA7" s="64"/>
      <c r="CB7" s="65"/>
      <c r="CC7" s="57" t="s">
        <v>2781</v>
      </c>
      <c r="CD7" s="43" t="s">
        <v>2782</v>
      </c>
      <c r="CE7" s="43" t="s">
        <v>2783</v>
      </c>
      <c r="CF7" s="72"/>
      <c r="CG7" s="72"/>
      <c r="CH7" s="72"/>
      <c r="CI7" s="72"/>
      <c r="CJ7" s="72"/>
      <c r="CK7" s="72"/>
      <c r="CL7" s="72"/>
      <c r="CM7" s="43" t="s">
        <v>2784</v>
      </c>
      <c r="CN7" s="43" t="s">
        <v>2785</v>
      </c>
      <c r="CO7" s="43" t="s">
        <v>2786</v>
      </c>
      <c r="CP7" s="43" t="s">
        <v>2787</v>
      </c>
      <c r="CQ7" s="72"/>
      <c r="CR7" s="74"/>
    </row>
    <row r="8">
      <c r="A8" s="82" t="s">
        <v>2804</v>
      </c>
      <c r="B8" s="50" t="s">
        <v>2805</v>
      </c>
      <c r="C8" s="72"/>
      <c r="D8" s="72"/>
      <c r="E8" s="72"/>
      <c r="F8" s="72"/>
      <c r="G8" s="72"/>
      <c r="H8" s="72"/>
      <c r="I8" s="43" t="s">
        <v>2806</v>
      </c>
      <c r="J8" s="72"/>
      <c r="K8" s="72"/>
      <c r="L8" s="72"/>
      <c r="M8" s="72"/>
      <c r="N8" s="72"/>
      <c r="O8" s="72"/>
      <c r="P8" s="67" t="s">
        <v>2807</v>
      </c>
      <c r="Q8" s="57" t="s">
        <v>2808</v>
      </c>
      <c r="R8" s="43" t="s">
        <v>2809</v>
      </c>
      <c r="S8" s="43" t="s">
        <v>2810</v>
      </c>
      <c r="T8" s="43" t="s">
        <v>2811</v>
      </c>
      <c r="U8" s="43" t="s">
        <v>2812</v>
      </c>
      <c r="V8" s="43" t="s">
        <v>2813</v>
      </c>
      <c r="W8" s="43" t="s">
        <v>2814</v>
      </c>
      <c r="X8" s="43" t="s">
        <v>2815</v>
      </c>
      <c r="Y8" s="43" t="s">
        <v>2816</v>
      </c>
      <c r="Z8" s="43" t="s">
        <v>2817</v>
      </c>
      <c r="AA8" s="43" t="s">
        <v>2818</v>
      </c>
      <c r="AB8" s="43" t="s">
        <v>2819</v>
      </c>
      <c r="AC8" s="43" t="s">
        <v>2820</v>
      </c>
      <c r="AD8" s="43" t="s">
        <v>2821</v>
      </c>
      <c r="AE8" s="43" t="s">
        <v>2822</v>
      </c>
      <c r="AF8" s="67" t="s">
        <v>2823</v>
      </c>
      <c r="AG8" s="82" t="s">
        <v>2804</v>
      </c>
      <c r="AH8" s="80"/>
      <c r="AI8" s="83"/>
      <c r="AJ8" s="83"/>
      <c r="AK8" s="60"/>
      <c r="AL8" s="60"/>
      <c r="AM8" s="60"/>
      <c r="AN8" s="60"/>
      <c r="AO8" s="60"/>
      <c r="AP8" s="60" t="s">
        <v>2824</v>
      </c>
      <c r="AQ8" s="60"/>
      <c r="AR8" s="60"/>
      <c r="AS8" s="60"/>
      <c r="AT8" s="61"/>
      <c r="AU8" s="61"/>
      <c r="AV8" s="62"/>
      <c r="AW8" s="75" t="s">
        <v>2804</v>
      </c>
      <c r="AX8" s="64"/>
      <c r="AY8" s="64"/>
      <c r="AZ8" s="64"/>
      <c r="BA8" s="64"/>
      <c r="BB8" s="64"/>
      <c r="BC8" s="64"/>
      <c r="BD8" s="64"/>
      <c r="BE8" s="64"/>
      <c r="BF8" s="64" t="s">
        <v>2824</v>
      </c>
      <c r="BG8" s="64"/>
      <c r="BH8" s="64"/>
      <c r="BI8" s="64"/>
      <c r="BJ8" s="64"/>
      <c r="BK8" s="64"/>
      <c r="BL8" s="65"/>
      <c r="BM8" s="75" t="s">
        <v>2804</v>
      </c>
      <c r="BN8" s="64"/>
      <c r="BO8" s="64"/>
      <c r="BP8" s="64"/>
      <c r="BQ8" s="64"/>
      <c r="BR8" s="64"/>
      <c r="BS8" s="64"/>
      <c r="BT8" s="64"/>
      <c r="BU8" s="64"/>
      <c r="BV8" s="64" t="s">
        <v>2824</v>
      </c>
      <c r="BW8" s="64"/>
      <c r="BX8" s="64"/>
      <c r="BY8" s="64"/>
      <c r="BZ8" s="64"/>
      <c r="CA8" s="64"/>
      <c r="CB8" s="65"/>
      <c r="CC8" s="82" t="s">
        <v>2804</v>
      </c>
      <c r="CD8" s="50" t="s">
        <v>2805</v>
      </c>
      <c r="CE8" s="72"/>
      <c r="CF8" s="72"/>
      <c r="CG8" s="72"/>
      <c r="CH8" s="72"/>
      <c r="CI8" s="72"/>
      <c r="CJ8" s="72"/>
      <c r="CK8" s="43" t="s">
        <v>2806</v>
      </c>
      <c r="CL8" s="64" t="s">
        <v>2824</v>
      </c>
      <c r="CM8" s="72"/>
      <c r="CN8" s="72"/>
      <c r="CO8" s="72"/>
      <c r="CP8" s="72"/>
      <c r="CQ8" s="72"/>
      <c r="CR8" s="67" t="s">
        <v>2807</v>
      </c>
    </row>
    <row r="9">
      <c r="A9" s="82" t="s">
        <v>2825</v>
      </c>
      <c r="B9" s="50" t="s">
        <v>2826</v>
      </c>
      <c r="C9" s="50" t="s">
        <v>2827</v>
      </c>
      <c r="D9" s="50" t="s">
        <v>2828</v>
      </c>
      <c r="E9" s="72"/>
      <c r="F9" s="72"/>
      <c r="G9" s="72"/>
      <c r="H9" s="72"/>
      <c r="I9" s="72"/>
      <c r="J9" s="43" t="s">
        <v>2829</v>
      </c>
      <c r="K9" s="43" t="s">
        <v>2830</v>
      </c>
      <c r="L9" s="43" t="s">
        <v>2831</v>
      </c>
      <c r="M9" s="43" t="s">
        <v>2832</v>
      </c>
      <c r="N9" s="72"/>
      <c r="O9" s="72"/>
      <c r="P9" s="74"/>
      <c r="Q9" s="57" t="s">
        <v>2833</v>
      </c>
      <c r="R9" s="43" t="s">
        <v>2834</v>
      </c>
      <c r="S9" s="43" t="s">
        <v>2835</v>
      </c>
      <c r="T9" s="43" t="s">
        <v>2836</v>
      </c>
      <c r="U9" s="43" t="s">
        <v>2837</v>
      </c>
      <c r="V9" s="43" t="s">
        <v>2838</v>
      </c>
      <c r="W9" s="43" t="s">
        <v>2839</v>
      </c>
      <c r="X9" s="43" t="s">
        <v>2840</v>
      </c>
      <c r="Y9" s="43" t="s">
        <v>2841</v>
      </c>
      <c r="Z9" s="43" t="s">
        <v>2842</v>
      </c>
      <c r="AA9" s="43" t="s">
        <v>2843</v>
      </c>
      <c r="AB9" s="43" t="s">
        <v>2844</v>
      </c>
      <c r="AC9" s="43" t="s">
        <v>2845</v>
      </c>
      <c r="AD9" s="43" t="s">
        <v>2846</v>
      </c>
      <c r="AE9" s="43" t="s">
        <v>2847</v>
      </c>
      <c r="AF9" s="67" t="s">
        <v>2848</v>
      </c>
      <c r="AG9" s="82" t="s">
        <v>2825</v>
      </c>
      <c r="AH9" s="80"/>
      <c r="AI9" s="80"/>
      <c r="AJ9" s="80"/>
      <c r="AK9" s="61"/>
      <c r="AL9" s="61"/>
      <c r="AM9" s="61"/>
      <c r="AN9" s="61"/>
      <c r="AO9" s="61"/>
      <c r="AP9" s="43" t="s">
        <v>2829</v>
      </c>
      <c r="AQ9" s="43" t="s">
        <v>2830</v>
      </c>
      <c r="AR9" s="43" t="s">
        <v>2831</v>
      </c>
      <c r="AS9" s="43" t="s">
        <v>2832</v>
      </c>
      <c r="AT9" s="61"/>
      <c r="AU9" s="61"/>
      <c r="AV9" s="62"/>
      <c r="AW9" s="75" t="s">
        <v>2825</v>
      </c>
      <c r="AX9" s="64"/>
      <c r="AY9" s="64"/>
      <c r="AZ9" s="64"/>
      <c r="BA9" s="64"/>
      <c r="BB9" s="64"/>
      <c r="BC9" s="64"/>
      <c r="BD9" s="64"/>
      <c r="BE9" s="64"/>
      <c r="BF9" s="64" t="s">
        <v>2829</v>
      </c>
      <c r="BG9" s="64" t="s">
        <v>2830</v>
      </c>
      <c r="BH9" s="64" t="s">
        <v>2831</v>
      </c>
      <c r="BI9" s="64" t="s">
        <v>2832</v>
      </c>
      <c r="BJ9" s="64"/>
      <c r="BK9" s="64"/>
      <c r="BL9" s="65"/>
      <c r="BM9" s="75" t="s">
        <v>2825</v>
      </c>
      <c r="BN9" s="64"/>
      <c r="BO9" s="64"/>
      <c r="BP9" s="64"/>
      <c r="BQ9" s="64"/>
      <c r="BR9" s="64"/>
      <c r="BS9" s="64"/>
      <c r="BT9" s="64"/>
      <c r="BU9" s="64"/>
      <c r="BV9" s="64" t="s">
        <v>2829</v>
      </c>
      <c r="BW9" s="64" t="s">
        <v>2830</v>
      </c>
      <c r="BX9" s="64" t="s">
        <v>2831</v>
      </c>
      <c r="BY9" s="64" t="s">
        <v>2832</v>
      </c>
      <c r="BZ9" s="64"/>
      <c r="CA9" s="64"/>
      <c r="CB9" s="65"/>
      <c r="CC9" s="82" t="s">
        <v>2825</v>
      </c>
      <c r="CD9" s="50" t="s">
        <v>2826</v>
      </c>
      <c r="CE9" s="50" t="s">
        <v>2827</v>
      </c>
      <c r="CF9" s="50" t="s">
        <v>2828</v>
      </c>
      <c r="CG9" s="72"/>
      <c r="CH9" s="72"/>
      <c r="CI9" s="72"/>
      <c r="CJ9" s="72"/>
      <c r="CK9" s="72"/>
      <c r="CL9" s="43" t="s">
        <v>2829</v>
      </c>
      <c r="CM9" s="43" t="s">
        <v>2830</v>
      </c>
      <c r="CN9" s="43" t="s">
        <v>2831</v>
      </c>
      <c r="CO9" s="43" t="s">
        <v>2832</v>
      </c>
      <c r="CP9" s="72"/>
      <c r="CQ9" s="72"/>
      <c r="CR9" s="74"/>
    </row>
    <row r="10">
      <c r="A10" s="43"/>
      <c r="B10" s="72"/>
      <c r="C10" s="72"/>
      <c r="D10" s="72"/>
      <c r="E10" s="43" t="s">
        <v>2849</v>
      </c>
      <c r="F10" s="43" t="s">
        <v>2850</v>
      </c>
      <c r="G10" s="43" t="s">
        <v>2851</v>
      </c>
      <c r="H10" s="50" t="s">
        <v>2852</v>
      </c>
      <c r="I10" s="50" t="s">
        <v>2853</v>
      </c>
      <c r="J10" s="72"/>
      <c r="K10" s="72"/>
      <c r="L10" s="72"/>
      <c r="M10" s="72"/>
      <c r="N10" s="72"/>
      <c r="O10" s="72"/>
      <c r="P10" s="74"/>
      <c r="Q10" s="57" t="s">
        <v>2854</v>
      </c>
      <c r="R10" s="43" t="s">
        <v>2855</v>
      </c>
      <c r="S10" s="43" t="s">
        <v>2856</v>
      </c>
      <c r="T10" s="43" t="s">
        <v>2857</v>
      </c>
      <c r="U10" s="43" t="s">
        <v>2858</v>
      </c>
      <c r="V10" s="43" t="s">
        <v>2859</v>
      </c>
      <c r="W10" s="43" t="s">
        <v>2860</v>
      </c>
      <c r="X10" s="43" t="s">
        <v>2861</v>
      </c>
      <c r="Y10" s="43" t="s">
        <v>2862</v>
      </c>
      <c r="Z10" s="43" t="s">
        <v>2863</v>
      </c>
      <c r="AA10" s="43" t="s">
        <v>2864</v>
      </c>
      <c r="AB10" s="43" t="s">
        <v>2865</v>
      </c>
      <c r="AC10" s="43" t="s">
        <v>2866</v>
      </c>
      <c r="AD10" s="43" t="s">
        <v>2867</v>
      </c>
      <c r="AE10" s="43" t="s">
        <v>2868</v>
      </c>
      <c r="AF10" s="67" t="s">
        <v>2869</v>
      </c>
      <c r="AG10" s="57"/>
      <c r="AH10" s="83"/>
      <c r="AI10" s="83"/>
      <c r="AJ10" s="83"/>
      <c r="AK10" s="61"/>
      <c r="AL10" s="61"/>
      <c r="AM10" s="61"/>
      <c r="AN10" s="61"/>
      <c r="AO10" s="61"/>
      <c r="AP10" s="61"/>
      <c r="AQ10" s="61"/>
      <c r="AR10" s="61"/>
      <c r="AS10" s="61"/>
      <c r="AT10" s="61"/>
      <c r="AU10" s="61"/>
      <c r="AV10" s="62"/>
      <c r="AW10" s="57"/>
      <c r="AX10" s="83"/>
      <c r="AY10" s="83"/>
      <c r="AZ10" s="83"/>
      <c r="BA10" s="61"/>
      <c r="BB10" s="61"/>
      <c r="BC10" s="61"/>
      <c r="BD10" s="64"/>
      <c r="BE10" s="64"/>
      <c r="BF10" s="64"/>
      <c r="BG10" s="64"/>
      <c r="BH10" s="64"/>
      <c r="BI10" s="64"/>
      <c r="BJ10" s="64"/>
      <c r="BK10" s="64"/>
      <c r="BL10" s="65"/>
      <c r="BM10" s="57"/>
      <c r="BN10" s="83"/>
      <c r="BO10" s="83"/>
      <c r="BP10" s="83"/>
      <c r="BQ10" s="61"/>
      <c r="BR10" s="61"/>
      <c r="BS10" s="61"/>
      <c r="BT10" s="64"/>
      <c r="BU10" s="64"/>
      <c r="BV10" s="64"/>
      <c r="BW10" s="64"/>
      <c r="BX10" s="64"/>
      <c r="BY10" s="64"/>
      <c r="BZ10" s="64"/>
      <c r="CA10" s="64"/>
      <c r="CB10" s="65"/>
      <c r="CC10" s="43"/>
      <c r="CD10" s="72"/>
      <c r="CE10" s="72"/>
      <c r="CF10" s="72"/>
      <c r="CG10" s="43" t="s">
        <v>2849</v>
      </c>
      <c r="CH10" s="43" t="s">
        <v>2850</v>
      </c>
      <c r="CI10" s="43" t="s">
        <v>2851</v>
      </c>
      <c r="CJ10" s="50" t="s">
        <v>2852</v>
      </c>
      <c r="CK10" s="50" t="s">
        <v>2853</v>
      </c>
      <c r="CL10" s="72"/>
      <c r="CM10" s="72"/>
      <c r="CN10" s="72"/>
      <c r="CO10" s="72"/>
      <c r="CP10" s="72"/>
      <c r="CQ10" s="72"/>
      <c r="CR10" s="74"/>
    </row>
    <row r="11">
      <c r="A11" s="77"/>
      <c r="B11" s="72"/>
      <c r="C11" s="72"/>
      <c r="D11" s="72"/>
      <c r="E11" s="72"/>
      <c r="F11" s="72"/>
      <c r="G11" s="72"/>
      <c r="H11" s="72"/>
      <c r="I11" s="72"/>
      <c r="J11" s="72"/>
      <c r="K11" s="72"/>
      <c r="L11" s="72"/>
      <c r="M11" s="72"/>
      <c r="N11" s="72"/>
      <c r="O11" s="72"/>
      <c r="P11" s="74"/>
      <c r="Q11" s="57" t="s">
        <v>2870</v>
      </c>
      <c r="R11" s="43" t="s">
        <v>2871</v>
      </c>
      <c r="S11" s="43" t="s">
        <v>2872</v>
      </c>
      <c r="T11" s="43" t="s">
        <v>2873</v>
      </c>
      <c r="U11" s="43" t="s">
        <v>2874</v>
      </c>
      <c r="V11" s="43" t="s">
        <v>2875</v>
      </c>
      <c r="W11" s="43" t="s">
        <v>2876</v>
      </c>
      <c r="X11" s="43" t="s">
        <v>2877</v>
      </c>
      <c r="Y11" s="43" t="s">
        <v>2878</v>
      </c>
      <c r="Z11" s="43" t="s">
        <v>2879</v>
      </c>
      <c r="AA11" s="43" t="s">
        <v>2880</v>
      </c>
      <c r="AB11" s="43" t="s">
        <v>2881</v>
      </c>
      <c r="AC11" s="43" t="s">
        <v>2882</v>
      </c>
      <c r="AD11" s="43" t="s">
        <v>2883</v>
      </c>
      <c r="AE11" s="43" t="s">
        <v>2884</v>
      </c>
      <c r="AF11" s="67" t="s">
        <v>2885</v>
      </c>
      <c r="AG11" s="81"/>
      <c r="AH11" s="61"/>
      <c r="AI11" s="61"/>
      <c r="AJ11" s="61"/>
      <c r="AK11" s="61"/>
      <c r="AL11" s="61"/>
      <c r="AM11" s="61"/>
      <c r="AN11" s="61"/>
      <c r="AO11" s="61"/>
      <c r="AP11" s="61"/>
      <c r="AQ11" s="61"/>
      <c r="AR11" s="61"/>
      <c r="AS11" s="61"/>
      <c r="AT11" s="61"/>
      <c r="AU11" s="61"/>
      <c r="AV11" s="62"/>
      <c r="AW11" s="63"/>
      <c r="AX11" s="64"/>
      <c r="AY11" s="64"/>
      <c r="AZ11" s="64"/>
      <c r="BA11" s="64"/>
      <c r="BB11" s="64"/>
      <c r="BC11" s="64"/>
      <c r="BD11" s="64"/>
      <c r="BE11" s="64"/>
      <c r="BF11" s="64"/>
      <c r="BG11" s="64"/>
      <c r="BH11" s="64"/>
      <c r="BI11" s="64"/>
      <c r="BJ11" s="64"/>
      <c r="BK11" s="64"/>
      <c r="BL11" s="65"/>
      <c r="BM11" s="63"/>
      <c r="BN11" s="64"/>
      <c r="BO11" s="64"/>
      <c r="BP11" s="64"/>
      <c r="BQ11" s="64"/>
      <c r="BR11" s="64"/>
      <c r="BS11" s="64"/>
      <c r="BT11" s="64"/>
      <c r="BU11" s="64"/>
      <c r="BV11" s="64"/>
      <c r="BW11" s="64"/>
      <c r="BX11" s="64"/>
      <c r="BY11" s="64"/>
      <c r="BZ11" s="64"/>
      <c r="CA11" s="64"/>
      <c r="CB11" s="65"/>
      <c r="CC11" s="57" t="s">
        <v>2886</v>
      </c>
      <c r="CD11" s="43" t="s">
        <v>2887</v>
      </c>
      <c r="CE11" s="43" t="s">
        <v>2888</v>
      </c>
      <c r="CF11" s="43" t="s">
        <v>2889</v>
      </c>
      <c r="CG11" s="43" t="s">
        <v>2890</v>
      </c>
      <c r="CH11" s="43" t="s">
        <v>2891</v>
      </c>
      <c r="CI11" s="43" t="s">
        <v>2892</v>
      </c>
      <c r="CJ11" s="43" t="s">
        <v>2893</v>
      </c>
      <c r="CK11" s="43" t="s">
        <v>2894</v>
      </c>
      <c r="CL11" s="43" t="s">
        <v>2895</v>
      </c>
      <c r="CM11" s="43" t="s">
        <v>2896</v>
      </c>
      <c r="CN11" s="43" t="s">
        <v>2897</v>
      </c>
      <c r="CO11" s="72"/>
      <c r="CP11" s="72"/>
      <c r="CQ11" s="72"/>
      <c r="CR11" s="74"/>
    </row>
    <row r="12">
      <c r="A12" s="57" t="s">
        <v>2898</v>
      </c>
      <c r="B12" s="43">
        <v>0.0</v>
      </c>
      <c r="C12" s="43">
        <v>1.0</v>
      </c>
      <c r="D12" s="43">
        <v>2.0</v>
      </c>
      <c r="E12" s="43">
        <v>3.0</v>
      </c>
      <c r="F12" s="43">
        <v>4.0</v>
      </c>
      <c r="G12" s="43">
        <v>5.0</v>
      </c>
      <c r="H12" s="43">
        <v>6.0</v>
      </c>
      <c r="I12" s="43">
        <v>7.0</v>
      </c>
      <c r="J12" s="43">
        <v>8.0</v>
      </c>
      <c r="K12" s="43">
        <v>9.0</v>
      </c>
      <c r="L12" s="43" t="s">
        <v>2899</v>
      </c>
      <c r="M12" s="43" t="s">
        <v>2900</v>
      </c>
      <c r="N12" s="43" t="s">
        <v>2901</v>
      </c>
      <c r="O12" s="43" t="s">
        <v>147</v>
      </c>
      <c r="P12" s="67" t="s">
        <v>2902</v>
      </c>
      <c r="Q12" s="57" t="s">
        <v>2903</v>
      </c>
      <c r="R12" s="43" t="s">
        <v>2904</v>
      </c>
      <c r="S12" s="43" t="s">
        <v>2905</v>
      </c>
      <c r="T12" s="43" t="s">
        <v>2906</v>
      </c>
      <c r="U12" s="43" t="s">
        <v>2907</v>
      </c>
      <c r="V12" s="43" t="s">
        <v>2908</v>
      </c>
      <c r="W12" s="43" t="s">
        <v>2909</v>
      </c>
      <c r="X12" s="43" t="s">
        <v>2910</v>
      </c>
      <c r="Y12" s="43" t="s">
        <v>2911</v>
      </c>
      <c r="Z12" s="43" t="s">
        <v>2912</v>
      </c>
      <c r="AA12" s="43" t="s">
        <v>2913</v>
      </c>
      <c r="AB12" s="43" t="s">
        <v>2914</v>
      </c>
      <c r="AC12" s="43" t="s">
        <v>2915</v>
      </c>
      <c r="AD12" s="43" t="s">
        <v>2916</v>
      </c>
      <c r="AE12" s="43" t="s">
        <v>2917</v>
      </c>
      <c r="AF12" s="67" t="s">
        <v>2902</v>
      </c>
      <c r="AG12" s="57"/>
      <c r="AH12" s="43">
        <v>0.0</v>
      </c>
      <c r="AI12" s="43">
        <v>1.0</v>
      </c>
      <c r="AJ12" s="43">
        <v>2.0</v>
      </c>
      <c r="AK12" s="43">
        <v>3.0</v>
      </c>
      <c r="AL12" s="43">
        <v>4.0</v>
      </c>
      <c r="AM12" s="43">
        <v>5.0</v>
      </c>
      <c r="AN12" s="43">
        <v>6.0</v>
      </c>
      <c r="AO12" s="43">
        <v>7.0</v>
      </c>
      <c r="AP12" s="43">
        <v>8.0</v>
      </c>
      <c r="AQ12" s="43">
        <v>9.0</v>
      </c>
      <c r="AR12" s="43" t="s">
        <v>2899</v>
      </c>
      <c r="AS12" s="43" t="s">
        <v>2900</v>
      </c>
      <c r="AT12" s="43" t="s">
        <v>2901</v>
      </c>
      <c r="AU12" s="43" t="s">
        <v>147</v>
      </c>
      <c r="AV12" s="67" t="s">
        <v>2902</v>
      </c>
      <c r="AW12" s="63"/>
      <c r="AX12" s="43" t="s">
        <v>2904</v>
      </c>
      <c r="AY12" s="43" t="s">
        <v>2905</v>
      </c>
      <c r="AZ12" s="43" t="s">
        <v>2906</v>
      </c>
      <c r="BA12" s="43" t="s">
        <v>2907</v>
      </c>
      <c r="BB12" s="43" t="s">
        <v>2908</v>
      </c>
      <c r="BC12" s="43" t="s">
        <v>2909</v>
      </c>
      <c r="BD12" s="43" t="s">
        <v>2910</v>
      </c>
      <c r="BE12" s="43" t="s">
        <v>2911</v>
      </c>
      <c r="BF12" s="43" t="s">
        <v>2912</v>
      </c>
      <c r="BG12" s="43" t="s">
        <v>2913</v>
      </c>
      <c r="BH12" s="64" t="s">
        <v>2914</v>
      </c>
      <c r="BI12" s="64" t="s">
        <v>2915</v>
      </c>
      <c r="BJ12" s="64" t="s">
        <v>2916</v>
      </c>
      <c r="BK12" s="64" t="s">
        <v>2917</v>
      </c>
      <c r="BL12" s="65" t="s">
        <v>2902</v>
      </c>
      <c r="BM12" s="63"/>
      <c r="BN12" s="43" t="s">
        <v>2904</v>
      </c>
      <c r="BO12" s="43" t="s">
        <v>2905</v>
      </c>
      <c r="BP12" s="43" t="s">
        <v>2906</v>
      </c>
      <c r="BQ12" s="43" t="s">
        <v>2907</v>
      </c>
      <c r="BR12" s="43" t="s">
        <v>2908</v>
      </c>
      <c r="BS12" s="43" t="s">
        <v>2909</v>
      </c>
      <c r="BT12" s="43" t="s">
        <v>2910</v>
      </c>
      <c r="BU12" s="43" t="s">
        <v>2911</v>
      </c>
      <c r="BV12" s="43" t="s">
        <v>2912</v>
      </c>
      <c r="BW12" s="43" t="s">
        <v>2913</v>
      </c>
      <c r="BX12" s="64" t="s">
        <v>2914</v>
      </c>
      <c r="BY12" s="64" t="s">
        <v>2915</v>
      </c>
      <c r="BZ12" s="64" t="s">
        <v>2916</v>
      </c>
      <c r="CA12" s="64" t="s">
        <v>2917</v>
      </c>
      <c r="CB12" s="65" t="s">
        <v>2902</v>
      </c>
      <c r="CC12" s="57" t="s">
        <v>2898</v>
      </c>
      <c r="CD12" s="43">
        <v>0.0</v>
      </c>
      <c r="CE12" s="43">
        <v>1.0</v>
      </c>
      <c r="CF12" s="43">
        <v>2.0</v>
      </c>
      <c r="CG12" s="43">
        <v>3.0</v>
      </c>
      <c r="CH12" s="43">
        <v>4.0</v>
      </c>
      <c r="CI12" s="43">
        <v>5.0</v>
      </c>
      <c r="CJ12" s="43">
        <v>6.0</v>
      </c>
      <c r="CK12" s="43">
        <v>7.0</v>
      </c>
      <c r="CL12" s="43">
        <v>8.0</v>
      </c>
      <c r="CM12" s="43">
        <v>9.0</v>
      </c>
      <c r="CN12" s="43" t="s">
        <v>2899</v>
      </c>
      <c r="CO12" s="43" t="s">
        <v>2900</v>
      </c>
      <c r="CP12" s="43" t="s">
        <v>2901</v>
      </c>
      <c r="CQ12" s="43" t="s">
        <v>147</v>
      </c>
      <c r="CR12" s="67" t="s">
        <v>2902</v>
      </c>
    </row>
    <row r="13">
      <c r="A13" s="57" t="s">
        <v>2918</v>
      </c>
      <c r="B13" s="43" t="s">
        <v>2919</v>
      </c>
      <c r="C13" s="43" t="s">
        <v>2920</v>
      </c>
      <c r="D13" s="43" t="s">
        <v>2921</v>
      </c>
      <c r="E13" s="43" t="s">
        <v>2922</v>
      </c>
      <c r="F13" s="43" t="s">
        <v>2923</v>
      </c>
      <c r="G13" s="43" t="s">
        <v>2924</v>
      </c>
      <c r="H13" s="72"/>
      <c r="I13" s="43" t="s">
        <v>2925</v>
      </c>
      <c r="J13" s="43" t="s">
        <v>2926</v>
      </c>
      <c r="K13" s="43" t="s">
        <v>2927</v>
      </c>
      <c r="L13" s="43" t="s">
        <v>2928</v>
      </c>
      <c r="M13" s="43" t="s">
        <v>2929</v>
      </c>
      <c r="N13" s="43" t="s">
        <v>2930</v>
      </c>
      <c r="O13" s="43" t="s">
        <v>2931</v>
      </c>
      <c r="P13" s="67" t="s">
        <v>2932</v>
      </c>
      <c r="Q13" s="57" t="s">
        <v>2933</v>
      </c>
      <c r="R13" s="43" t="s">
        <v>2934</v>
      </c>
      <c r="S13" s="43" t="s">
        <v>2935</v>
      </c>
      <c r="T13" s="43" t="s">
        <v>2936</v>
      </c>
      <c r="U13" s="43" t="s">
        <v>2937</v>
      </c>
      <c r="V13" s="43" t="s">
        <v>2923</v>
      </c>
      <c r="W13" s="43" t="s">
        <v>2924</v>
      </c>
      <c r="X13" s="43" t="s">
        <v>2938</v>
      </c>
      <c r="Y13" s="43" t="s">
        <v>2901</v>
      </c>
      <c r="Z13" s="43" t="s">
        <v>2926</v>
      </c>
      <c r="AA13" s="43" t="s">
        <v>2927</v>
      </c>
      <c r="AB13" s="43" t="s">
        <v>2939</v>
      </c>
      <c r="AC13" s="43" t="s">
        <v>2940</v>
      </c>
      <c r="AD13" s="43" t="s">
        <v>2941</v>
      </c>
      <c r="AE13" s="43" t="s">
        <v>2942</v>
      </c>
      <c r="AF13" s="67" t="s">
        <v>2943</v>
      </c>
      <c r="AG13" s="57" t="s">
        <v>2918</v>
      </c>
      <c r="AH13" s="43" t="s">
        <v>2934</v>
      </c>
      <c r="AI13" s="43" t="s">
        <v>2935</v>
      </c>
      <c r="AJ13" s="43" t="s">
        <v>2936</v>
      </c>
      <c r="AK13" s="43" t="s">
        <v>2937</v>
      </c>
      <c r="AL13" s="43" t="s">
        <v>2923</v>
      </c>
      <c r="AM13" s="43" t="s">
        <v>2924</v>
      </c>
      <c r="AN13" s="72"/>
      <c r="AO13" s="43" t="s">
        <v>2925</v>
      </c>
      <c r="AP13" s="43" t="s">
        <v>2926</v>
      </c>
      <c r="AQ13" s="43" t="s">
        <v>2927</v>
      </c>
      <c r="AR13" s="43" t="s">
        <v>2928</v>
      </c>
      <c r="AS13" s="43" t="s">
        <v>2929</v>
      </c>
      <c r="AT13" s="43" t="s">
        <v>2930</v>
      </c>
      <c r="AU13" s="43" t="s">
        <v>2931</v>
      </c>
      <c r="AV13" s="67" t="s">
        <v>2932</v>
      </c>
      <c r="AW13" s="63" t="s">
        <v>2933</v>
      </c>
      <c r="AX13" s="64" t="s">
        <v>2934</v>
      </c>
      <c r="AY13" s="64" t="s">
        <v>2935</v>
      </c>
      <c r="AZ13" s="64" t="s">
        <v>2936</v>
      </c>
      <c r="BA13" s="64" t="s">
        <v>2937</v>
      </c>
      <c r="BB13" s="64" t="s">
        <v>2923</v>
      </c>
      <c r="BC13" s="64" t="s">
        <v>2924</v>
      </c>
      <c r="BD13" s="64" t="s">
        <v>2938</v>
      </c>
      <c r="BE13" s="64" t="s">
        <v>2901</v>
      </c>
      <c r="BF13" s="64" t="s">
        <v>2926</v>
      </c>
      <c r="BG13" s="64" t="s">
        <v>2927</v>
      </c>
      <c r="BH13" s="43" t="s">
        <v>2939</v>
      </c>
      <c r="BI13" s="43" t="s">
        <v>2940</v>
      </c>
      <c r="BJ13" s="43" t="s">
        <v>2941</v>
      </c>
      <c r="BK13" s="43" t="s">
        <v>2942</v>
      </c>
      <c r="BL13" s="67" t="s">
        <v>2943</v>
      </c>
      <c r="BM13" s="63" t="s">
        <v>2933</v>
      </c>
      <c r="BN13" s="64" t="s">
        <v>2934</v>
      </c>
      <c r="BO13" s="64" t="s">
        <v>2935</v>
      </c>
      <c r="BP13" s="64" t="s">
        <v>2936</v>
      </c>
      <c r="BQ13" s="64" t="s">
        <v>2937</v>
      </c>
      <c r="BR13" s="64" t="s">
        <v>2923</v>
      </c>
      <c r="BS13" s="64" t="s">
        <v>2924</v>
      </c>
      <c r="BT13" s="64" t="s">
        <v>2938</v>
      </c>
      <c r="BU13" s="64" t="s">
        <v>2901</v>
      </c>
      <c r="BV13" s="64" t="s">
        <v>2926</v>
      </c>
      <c r="BW13" s="64" t="s">
        <v>2927</v>
      </c>
      <c r="BX13" s="43" t="s">
        <v>2939</v>
      </c>
      <c r="BY13" s="43" t="s">
        <v>2940</v>
      </c>
      <c r="BZ13" s="43" t="s">
        <v>2941</v>
      </c>
      <c r="CA13" s="43" t="s">
        <v>2942</v>
      </c>
      <c r="CB13" s="67" t="s">
        <v>2943</v>
      </c>
      <c r="CC13" s="57" t="s">
        <v>2918</v>
      </c>
      <c r="CD13" s="43" t="s">
        <v>2919</v>
      </c>
      <c r="CE13" s="43" t="s">
        <v>2920</v>
      </c>
      <c r="CF13" s="43" t="s">
        <v>2921</v>
      </c>
      <c r="CG13" s="43" t="s">
        <v>2922</v>
      </c>
      <c r="CH13" s="43" t="s">
        <v>2923</v>
      </c>
      <c r="CI13" s="43" t="s">
        <v>2924</v>
      </c>
      <c r="CJ13" s="43" t="s">
        <v>2944</v>
      </c>
      <c r="CK13" s="43" t="s">
        <v>2925</v>
      </c>
      <c r="CL13" s="43" t="s">
        <v>2926</v>
      </c>
      <c r="CM13" s="43" t="s">
        <v>2927</v>
      </c>
      <c r="CN13" s="43" t="s">
        <v>2928</v>
      </c>
      <c r="CO13" s="43" t="s">
        <v>2929</v>
      </c>
      <c r="CP13" s="43" t="s">
        <v>2930</v>
      </c>
      <c r="CQ13" s="43" t="s">
        <v>2931</v>
      </c>
      <c r="CR13" s="67" t="s">
        <v>2932</v>
      </c>
    </row>
    <row r="14">
      <c r="A14" s="57" t="s">
        <v>2945</v>
      </c>
      <c r="B14" s="43" t="s">
        <v>2946</v>
      </c>
      <c r="C14" s="43" t="s">
        <v>2947</v>
      </c>
      <c r="D14" s="43" t="s">
        <v>2948</v>
      </c>
      <c r="E14" s="43" t="s">
        <v>2949</v>
      </c>
      <c r="F14" s="43" t="s">
        <v>2950</v>
      </c>
      <c r="G14" s="43" t="s">
        <v>2951</v>
      </c>
      <c r="H14" s="43" t="s">
        <v>2952</v>
      </c>
      <c r="I14" s="43" t="s">
        <v>2953</v>
      </c>
      <c r="J14" s="43" t="s">
        <v>2954</v>
      </c>
      <c r="K14" s="43" t="s">
        <v>2955</v>
      </c>
      <c r="L14" s="43" t="s">
        <v>2956</v>
      </c>
      <c r="M14" s="43" t="s">
        <v>2957</v>
      </c>
      <c r="N14" s="43" t="s">
        <v>2958</v>
      </c>
      <c r="O14" s="43" t="s">
        <v>2959</v>
      </c>
      <c r="P14" s="67" t="s">
        <v>2960</v>
      </c>
      <c r="Q14" s="57" t="s">
        <v>2961</v>
      </c>
      <c r="R14" s="43" t="s">
        <v>2962</v>
      </c>
      <c r="S14" s="43" t="s">
        <v>2963</v>
      </c>
      <c r="T14" s="43" t="s">
        <v>2964</v>
      </c>
      <c r="U14" s="43" t="s">
        <v>2965</v>
      </c>
      <c r="V14" s="43" t="s">
        <v>2966</v>
      </c>
      <c r="W14" s="43" t="s">
        <v>2967</v>
      </c>
      <c r="X14" s="43" t="s">
        <v>2968</v>
      </c>
      <c r="Y14" s="43" t="s">
        <v>2969</v>
      </c>
      <c r="Z14" s="43" t="s">
        <v>2970</v>
      </c>
      <c r="AA14" s="43" t="s">
        <v>2971</v>
      </c>
      <c r="AB14" s="43" t="s">
        <v>2972</v>
      </c>
      <c r="AC14" s="43" t="s">
        <v>2973</v>
      </c>
      <c r="AD14" s="43" t="s">
        <v>2974</v>
      </c>
      <c r="AE14" s="43" t="s">
        <v>2975</v>
      </c>
      <c r="AF14" s="67" t="s">
        <v>2976</v>
      </c>
      <c r="AG14" s="57" t="s">
        <v>2945</v>
      </c>
      <c r="AH14" s="43" t="s">
        <v>2946</v>
      </c>
      <c r="AI14" s="43" t="s">
        <v>2947</v>
      </c>
      <c r="AJ14" s="43" t="s">
        <v>2948</v>
      </c>
      <c r="AK14" s="43" t="s">
        <v>2949</v>
      </c>
      <c r="AL14" s="43" t="s">
        <v>2950</v>
      </c>
      <c r="AM14" s="43" t="s">
        <v>2951</v>
      </c>
      <c r="AN14" s="43" t="s">
        <v>2952</v>
      </c>
      <c r="AO14" s="43" t="s">
        <v>2953</v>
      </c>
      <c r="AP14" s="43" t="s">
        <v>2954</v>
      </c>
      <c r="AQ14" s="43" t="s">
        <v>2955</v>
      </c>
      <c r="AR14" s="43" t="s">
        <v>2956</v>
      </c>
      <c r="AS14" s="43" t="s">
        <v>2957</v>
      </c>
      <c r="AT14" s="43" t="s">
        <v>2958</v>
      </c>
      <c r="AU14" s="43" t="s">
        <v>2959</v>
      </c>
      <c r="AV14" s="67" t="s">
        <v>2960</v>
      </c>
      <c r="AW14" s="57" t="s">
        <v>2961</v>
      </c>
      <c r="AX14" s="43" t="s">
        <v>2962</v>
      </c>
      <c r="AY14" s="43" t="s">
        <v>2963</v>
      </c>
      <c r="AZ14" s="43" t="s">
        <v>2964</v>
      </c>
      <c r="BA14" s="43" t="s">
        <v>2965</v>
      </c>
      <c r="BB14" s="43" t="s">
        <v>2966</v>
      </c>
      <c r="BC14" s="43" t="s">
        <v>2967</v>
      </c>
      <c r="BD14" s="43" t="s">
        <v>2968</v>
      </c>
      <c r="BE14" s="43" t="s">
        <v>2969</v>
      </c>
      <c r="BF14" s="43" t="s">
        <v>2970</v>
      </c>
      <c r="BG14" s="43" t="s">
        <v>2971</v>
      </c>
      <c r="BH14" s="43" t="s">
        <v>2972</v>
      </c>
      <c r="BI14" s="43" t="s">
        <v>2973</v>
      </c>
      <c r="BJ14" s="43" t="s">
        <v>2974</v>
      </c>
      <c r="BK14" s="43" t="s">
        <v>2975</v>
      </c>
      <c r="BL14" s="67" t="s">
        <v>2976</v>
      </c>
      <c r="BM14" s="57" t="s">
        <v>2961</v>
      </c>
      <c r="BN14" s="43" t="s">
        <v>2962</v>
      </c>
      <c r="BO14" s="43" t="s">
        <v>2963</v>
      </c>
      <c r="BP14" s="43" t="s">
        <v>2964</v>
      </c>
      <c r="BQ14" s="43" t="s">
        <v>2965</v>
      </c>
      <c r="BR14" s="43" t="s">
        <v>2966</v>
      </c>
      <c r="BS14" s="43" t="s">
        <v>2967</v>
      </c>
      <c r="BT14" s="43" t="s">
        <v>2968</v>
      </c>
      <c r="BU14" s="43" t="s">
        <v>2969</v>
      </c>
      <c r="BV14" s="43" t="s">
        <v>2970</v>
      </c>
      <c r="BW14" s="43" t="s">
        <v>2971</v>
      </c>
      <c r="BX14" s="43" t="s">
        <v>2972</v>
      </c>
      <c r="BY14" s="43" t="s">
        <v>2973</v>
      </c>
      <c r="BZ14" s="43" t="s">
        <v>2974</v>
      </c>
      <c r="CA14" s="43" t="s">
        <v>2975</v>
      </c>
      <c r="CB14" s="67" t="s">
        <v>2976</v>
      </c>
      <c r="CC14" s="57" t="s">
        <v>2945</v>
      </c>
      <c r="CD14" s="43" t="s">
        <v>2946</v>
      </c>
      <c r="CE14" s="43" t="s">
        <v>2947</v>
      </c>
      <c r="CF14" s="43" t="s">
        <v>2948</v>
      </c>
      <c r="CG14" s="43" t="s">
        <v>2949</v>
      </c>
      <c r="CH14" s="43" t="s">
        <v>2950</v>
      </c>
      <c r="CI14" s="43" t="s">
        <v>2951</v>
      </c>
      <c r="CJ14" s="43" t="s">
        <v>2952</v>
      </c>
      <c r="CK14" s="43" t="s">
        <v>2953</v>
      </c>
      <c r="CL14" s="43" t="s">
        <v>2954</v>
      </c>
      <c r="CM14" s="43" t="s">
        <v>2955</v>
      </c>
      <c r="CN14" s="43" t="s">
        <v>2956</v>
      </c>
      <c r="CO14" s="43" t="s">
        <v>2957</v>
      </c>
      <c r="CP14" s="43" t="s">
        <v>2958</v>
      </c>
      <c r="CQ14" s="43" t="s">
        <v>2959</v>
      </c>
      <c r="CR14" s="67" t="s">
        <v>2960</v>
      </c>
    </row>
    <row r="15">
      <c r="A15" s="57" t="s">
        <v>2977</v>
      </c>
      <c r="B15" s="43" t="s">
        <v>2978</v>
      </c>
      <c r="C15" s="43" t="s">
        <v>2979</v>
      </c>
      <c r="D15" s="43" t="s">
        <v>2980</v>
      </c>
      <c r="E15" s="43" t="s">
        <v>2981</v>
      </c>
      <c r="F15" s="43" t="s">
        <v>2982</v>
      </c>
      <c r="G15" s="43" t="s">
        <v>2983</v>
      </c>
      <c r="H15" s="43" t="s">
        <v>2984</v>
      </c>
      <c r="I15" s="43" t="s">
        <v>2985</v>
      </c>
      <c r="J15" s="43" t="s">
        <v>2986</v>
      </c>
      <c r="K15" s="43" t="s">
        <v>2987</v>
      </c>
      <c r="L15" s="43" t="s">
        <v>2988</v>
      </c>
      <c r="M15" s="43" t="s">
        <v>2989</v>
      </c>
      <c r="N15" s="43" t="s">
        <v>2990</v>
      </c>
      <c r="O15" s="43" t="s">
        <v>2991</v>
      </c>
      <c r="P15" s="67" t="s">
        <v>2992</v>
      </c>
      <c r="Q15" s="57" t="s">
        <v>2993</v>
      </c>
      <c r="R15" s="43" t="s">
        <v>2994</v>
      </c>
      <c r="S15" s="43" t="s">
        <v>2995</v>
      </c>
      <c r="T15" s="43" t="s">
        <v>2996</v>
      </c>
      <c r="U15" s="43" t="s">
        <v>2997</v>
      </c>
      <c r="V15" s="43" t="s">
        <v>2998</v>
      </c>
      <c r="W15" s="43" t="s">
        <v>2999</v>
      </c>
      <c r="X15" s="43" t="s">
        <v>3000</v>
      </c>
      <c r="Y15" s="43" t="s">
        <v>3001</v>
      </c>
      <c r="Z15" s="43" t="s">
        <v>3002</v>
      </c>
      <c r="AA15" s="43" t="s">
        <v>3003</v>
      </c>
      <c r="AB15" s="43" t="s">
        <v>3004</v>
      </c>
      <c r="AC15" s="43" t="s">
        <v>3005</v>
      </c>
      <c r="AD15" s="43" t="s">
        <v>3006</v>
      </c>
      <c r="AE15" s="43" t="s">
        <v>3007</v>
      </c>
      <c r="AF15" s="67" t="s">
        <v>3008</v>
      </c>
      <c r="AG15" s="57" t="s">
        <v>2977</v>
      </c>
      <c r="AH15" s="43" t="s">
        <v>2978</v>
      </c>
      <c r="AI15" s="43" t="s">
        <v>2979</v>
      </c>
      <c r="AJ15" s="43" t="s">
        <v>2980</v>
      </c>
      <c r="AK15" s="43" t="s">
        <v>2981</v>
      </c>
      <c r="AL15" s="43" t="s">
        <v>2982</v>
      </c>
      <c r="AM15" s="43" t="s">
        <v>2983</v>
      </c>
      <c r="AN15" s="43" t="s">
        <v>2984</v>
      </c>
      <c r="AO15" s="43" t="s">
        <v>2985</v>
      </c>
      <c r="AP15" s="43" t="s">
        <v>2986</v>
      </c>
      <c r="AQ15" s="43" t="s">
        <v>2987</v>
      </c>
      <c r="AR15" s="43" t="s">
        <v>2988</v>
      </c>
      <c r="AS15" s="43" t="s">
        <v>2989</v>
      </c>
      <c r="AT15" s="43" t="s">
        <v>2990</v>
      </c>
      <c r="AU15" s="43" t="s">
        <v>2991</v>
      </c>
      <c r="AV15" s="67" t="s">
        <v>2992</v>
      </c>
      <c r="AW15" s="57" t="s">
        <v>2993</v>
      </c>
      <c r="AX15" s="43" t="s">
        <v>2994</v>
      </c>
      <c r="AY15" s="43" t="s">
        <v>2995</v>
      </c>
      <c r="AZ15" s="43" t="s">
        <v>2996</v>
      </c>
      <c r="BA15" s="43" t="s">
        <v>2997</v>
      </c>
      <c r="BB15" s="43" t="s">
        <v>2998</v>
      </c>
      <c r="BC15" s="43" t="s">
        <v>2999</v>
      </c>
      <c r="BD15" s="43" t="s">
        <v>3000</v>
      </c>
      <c r="BE15" s="43" t="s">
        <v>3001</v>
      </c>
      <c r="BF15" s="43" t="s">
        <v>3002</v>
      </c>
      <c r="BG15" s="43" t="s">
        <v>3003</v>
      </c>
      <c r="BH15" s="43" t="s">
        <v>3004</v>
      </c>
      <c r="BI15" s="43" t="s">
        <v>3005</v>
      </c>
      <c r="BJ15" s="43" t="s">
        <v>3006</v>
      </c>
      <c r="BK15" s="43" t="s">
        <v>3007</v>
      </c>
      <c r="BL15" s="67" t="s">
        <v>3008</v>
      </c>
      <c r="BM15" s="57" t="s">
        <v>2993</v>
      </c>
      <c r="BN15" s="43" t="s">
        <v>2994</v>
      </c>
      <c r="BO15" s="43" t="s">
        <v>2995</v>
      </c>
      <c r="BP15" s="43" t="s">
        <v>2996</v>
      </c>
      <c r="BQ15" s="43" t="s">
        <v>2997</v>
      </c>
      <c r="BR15" s="43" t="s">
        <v>2998</v>
      </c>
      <c r="BS15" s="43" t="s">
        <v>2999</v>
      </c>
      <c r="BT15" s="43" t="s">
        <v>3000</v>
      </c>
      <c r="BU15" s="43" t="s">
        <v>3001</v>
      </c>
      <c r="BV15" s="43" t="s">
        <v>3002</v>
      </c>
      <c r="BW15" s="43" t="s">
        <v>3003</v>
      </c>
      <c r="BX15" s="43" t="s">
        <v>3004</v>
      </c>
      <c r="BY15" s="43" t="s">
        <v>3005</v>
      </c>
      <c r="BZ15" s="43" t="s">
        <v>3006</v>
      </c>
      <c r="CA15" s="43" t="s">
        <v>3007</v>
      </c>
      <c r="CB15" s="67" t="s">
        <v>3008</v>
      </c>
      <c r="CC15" s="57" t="s">
        <v>2977</v>
      </c>
      <c r="CD15" s="43" t="s">
        <v>2978</v>
      </c>
      <c r="CE15" s="43" t="s">
        <v>2979</v>
      </c>
      <c r="CF15" s="43" t="s">
        <v>2980</v>
      </c>
      <c r="CG15" s="43" t="s">
        <v>2981</v>
      </c>
      <c r="CH15" s="43" t="s">
        <v>2982</v>
      </c>
      <c r="CI15" s="43" t="s">
        <v>2983</v>
      </c>
      <c r="CJ15" s="43" t="s">
        <v>2984</v>
      </c>
      <c r="CK15" s="43" t="s">
        <v>2985</v>
      </c>
      <c r="CL15" s="43" t="s">
        <v>2986</v>
      </c>
      <c r="CM15" s="43" t="s">
        <v>2987</v>
      </c>
      <c r="CN15" s="43" t="s">
        <v>2988</v>
      </c>
      <c r="CO15" s="43" t="s">
        <v>2989</v>
      </c>
      <c r="CP15" s="43" t="s">
        <v>2990</v>
      </c>
      <c r="CQ15" s="43" t="s">
        <v>2991</v>
      </c>
      <c r="CR15" s="67" t="s">
        <v>2992</v>
      </c>
    </row>
    <row r="16">
      <c r="A16" s="57" t="s">
        <v>3009</v>
      </c>
      <c r="B16" s="43" t="s">
        <v>3010</v>
      </c>
      <c r="C16" s="43" t="s">
        <v>3011</v>
      </c>
      <c r="D16" s="43" t="s">
        <v>3012</v>
      </c>
      <c r="E16" s="43" t="s">
        <v>3013</v>
      </c>
      <c r="F16" s="43" t="s">
        <v>3014</v>
      </c>
      <c r="G16" s="43" t="s">
        <v>3015</v>
      </c>
      <c r="H16" s="43" t="s">
        <v>3016</v>
      </c>
      <c r="I16" s="43" t="s">
        <v>3017</v>
      </c>
      <c r="J16" s="43" t="s">
        <v>3018</v>
      </c>
      <c r="K16" s="43" t="s">
        <v>3019</v>
      </c>
      <c r="L16" s="43" t="s">
        <v>3020</v>
      </c>
      <c r="M16" s="43" t="s">
        <v>3021</v>
      </c>
      <c r="N16" s="43" t="s">
        <v>3022</v>
      </c>
      <c r="O16" s="43" t="s">
        <v>3023</v>
      </c>
      <c r="P16" s="67" t="s">
        <v>3024</v>
      </c>
      <c r="Q16" s="57" t="s">
        <v>2735</v>
      </c>
      <c r="R16" s="43" t="s">
        <v>3025</v>
      </c>
      <c r="S16" s="43" t="s">
        <v>2825</v>
      </c>
      <c r="T16" s="43" t="s">
        <v>3026</v>
      </c>
      <c r="U16" s="43" t="s">
        <v>3027</v>
      </c>
      <c r="V16" s="43" t="s">
        <v>3028</v>
      </c>
      <c r="W16" s="43" t="s">
        <v>3029</v>
      </c>
      <c r="X16" s="43" t="s">
        <v>3030</v>
      </c>
      <c r="Y16" s="43" t="s">
        <v>3031</v>
      </c>
      <c r="Z16" s="43" t="s">
        <v>3032</v>
      </c>
      <c r="AA16" s="43" t="s">
        <v>3033</v>
      </c>
      <c r="AB16" s="43" t="s">
        <v>3034</v>
      </c>
      <c r="AC16" s="43" t="s">
        <v>3035</v>
      </c>
      <c r="AD16" s="43" t="s">
        <v>3036</v>
      </c>
      <c r="AE16" s="43" t="s">
        <v>3037</v>
      </c>
      <c r="AF16" s="58" t="s">
        <v>147</v>
      </c>
      <c r="AG16" s="57" t="s">
        <v>3009</v>
      </c>
      <c r="AH16" s="43" t="s">
        <v>3010</v>
      </c>
      <c r="AI16" s="43" t="s">
        <v>3011</v>
      </c>
      <c r="AJ16" s="43" t="s">
        <v>3012</v>
      </c>
      <c r="AK16" s="43" t="s">
        <v>3013</v>
      </c>
      <c r="AL16" s="43" t="s">
        <v>3014</v>
      </c>
      <c r="AM16" s="43" t="s">
        <v>3015</v>
      </c>
      <c r="AN16" s="43" t="s">
        <v>3016</v>
      </c>
      <c r="AO16" s="43" t="s">
        <v>3017</v>
      </c>
      <c r="AP16" s="43" t="s">
        <v>3018</v>
      </c>
      <c r="AQ16" s="43" t="s">
        <v>3019</v>
      </c>
      <c r="AR16" s="43" t="s">
        <v>3020</v>
      </c>
      <c r="AS16" s="43" t="s">
        <v>3021</v>
      </c>
      <c r="AT16" s="43" t="s">
        <v>3022</v>
      </c>
      <c r="AU16" s="43" t="s">
        <v>3023</v>
      </c>
      <c r="AV16" s="67" t="s">
        <v>3024</v>
      </c>
      <c r="AW16" s="57" t="s">
        <v>2735</v>
      </c>
      <c r="AX16" s="43" t="s">
        <v>3025</v>
      </c>
      <c r="AY16" s="43" t="s">
        <v>2825</v>
      </c>
      <c r="AZ16" s="43" t="s">
        <v>3026</v>
      </c>
      <c r="BA16" s="43" t="s">
        <v>3027</v>
      </c>
      <c r="BB16" s="43" t="s">
        <v>3028</v>
      </c>
      <c r="BC16" s="43" t="s">
        <v>3029</v>
      </c>
      <c r="BD16" s="43" t="s">
        <v>3030</v>
      </c>
      <c r="BE16" s="43" t="s">
        <v>3031</v>
      </c>
      <c r="BF16" s="43" t="s">
        <v>3032</v>
      </c>
      <c r="BG16" s="43" t="s">
        <v>3033</v>
      </c>
      <c r="BH16" s="43" t="s">
        <v>3034</v>
      </c>
      <c r="BI16" s="43" t="s">
        <v>3035</v>
      </c>
      <c r="BJ16" s="43" t="s">
        <v>3036</v>
      </c>
      <c r="BK16" s="43" t="s">
        <v>3037</v>
      </c>
      <c r="BL16" s="58" t="s">
        <v>147</v>
      </c>
      <c r="BM16" s="57" t="s">
        <v>2735</v>
      </c>
      <c r="BN16" s="43" t="s">
        <v>3025</v>
      </c>
      <c r="BO16" s="43" t="s">
        <v>2825</v>
      </c>
      <c r="BP16" s="43" t="s">
        <v>3026</v>
      </c>
      <c r="BQ16" s="43" t="s">
        <v>3027</v>
      </c>
      <c r="BR16" s="43" t="s">
        <v>3028</v>
      </c>
      <c r="BS16" s="43" t="s">
        <v>3029</v>
      </c>
      <c r="BT16" s="43" t="s">
        <v>3030</v>
      </c>
      <c r="BU16" s="43" t="s">
        <v>3031</v>
      </c>
      <c r="BV16" s="43" t="s">
        <v>3032</v>
      </c>
      <c r="BW16" s="43" t="s">
        <v>3033</v>
      </c>
      <c r="BX16" s="43" t="s">
        <v>3034</v>
      </c>
      <c r="BY16" s="43" t="s">
        <v>3035</v>
      </c>
      <c r="BZ16" s="43" t="s">
        <v>3036</v>
      </c>
      <c r="CA16" s="43" t="s">
        <v>3037</v>
      </c>
      <c r="CB16" s="58" t="s">
        <v>147</v>
      </c>
      <c r="CC16" s="57" t="s">
        <v>3009</v>
      </c>
      <c r="CD16" s="43" t="s">
        <v>3010</v>
      </c>
      <c r="CE16" s="43" t="s">
        <v>3011</v>
      </c>
      <c r="CF16" s="43" t="s">
        <v>3012</v>
      </c>
      <c r="CG16" s="43" t="s">
        <v>3013</v>
      </c>
      <c r="CH16" s="43" t="s">
        <v>3014</v>
      </c>
      <c r="CI16" s="43" t="s">
        <v>3015</v>
      </c>
      <c r="CJ16" s="43" t="s">
        <v>3016</v>
      </c>
      <c r="CK16" s="43" t="s">
        <v>3017</v>
      </c>
      <c r="CL16" s="43" t="s">
        <v>3018</v>
      </c>
      <c r="CM16" s="43" t="s">
        <v>3019</v>
      </c>
      <c r="CN16" s="43" t="s">
        <v>3020</v>
      </c>
      <c r="CO16" s="43" t="s">
        <v>3021</v>
      </c>
      <c r="CP16" s="43" t="s">
        <v>3022</v>
      </c>
      <c r="CQ16" s="43" t="s">
        <v>3023</v>
      </c>
      <c r="CR16" s="67" t="s">
        <v>3024</v>
      </c>
    </row>
    <row r="17">
      <c r="A17" s="84" t="s">
        <v>3038</v>
      </c>
      <c r="B17" s="85" t="s">
        <v>3039</v>
      </c>
      <c r="C17" s="85" t="s">
        <v>3040</v>
      </c>
      <c r="D17" s="85" t="s">
        <v>3041</v>
      </c>
      <c r="E17" s="85" t="s">
        <v>3042</v>
      </c>
      <c r="F17" s="85" t="s">
        <v>3043</v>
      </c>
      <c r="G17" s="85" t="s">
        <v>3044</v>
      </c>
      <c r="H17" s="86" t="s">
        <v>3045</v>
      </c>
      <c r="I17" s="87"/>
      <c r="J17" s="87"/>
      <c r="K17" s="86" t="s">
        <v>3046</v>
      </c>
      <c r="L17" s="86" t="s">
        <v>3047</v>
      </c>
      <c r="M17" s="86" t="s">
        <v>3048</v>
      </c>
      <c r="N17" s="86" t="s">
        <v>3049</v>
      </c>
      <c r="O17" s="86" t="s">
        <v>3050</v>
      </c>
      <c r="P17" s="88" t="s">
        <v>3051</v>
      </c>
      <c r="Q17" s="84" t="s">
        <v>3052</v>
      </c>
      <c r="R17" s="85"/>
      <c r="S17" s="85"/>
      <c r="T17" s="85"/>
      <c r="U17" s="89" t="s">
        <v>2662</v>
      </c>
      <c r="V17" s="85" t="s">
        <v>2687</v>
      </c>
      <c r="W17" s="85"/>
      <c r="X17" s="86" t="s">
        <v>3045</v>
      </c>
      <c r="Y17" s="89" t="s">
        <v>3053</v>
      </c>
      <c r="Z17" s="89"/>
      <c r="AA17" s="86" t="s">
        <v>3046</v>
      </c>
      <c r="AB17" s="86" t="s">
        <v>3047</v>
      </c>
      <c r="AC17" s="86" t="s">
        <v>3048</v>
      </c>
      <c r="AD17" s="86" t="s">
        <v>3049</v>
      </c>
      <c r="AE17" s="86" t="s">
        <v>3050</v>
      </c>
      <c r="AF17" s="88" t="s">
        <v>3051</v>
      </c>
      <c r="AG17" s="84" t="s">
        <v>3038</v>
      </c>
      <c r="AH17" s="85" t="s">
        <v>3039</v>
      </c>
      <c r="AI17" s="85" t="s">
        <v>3040</v>
      </c>
      <c r="AJ17" s="85" t="s">
        <v>3041</v>
      </c>
      <c r="AK17" s="85" t="s">
        <v>3042</v>
      </c>
      <c r="AL17" s="85" t="s">
        <v>3043</v>
      </c>
      <c r="AM17" s="85" t="s">
        <v>3044</v>
      </c>
      <c r="AN17" s="86" t="s">
        <v>3045</v>
      </c>
      <c r="AO17" s="87"/>
      <c r="AP17" s="87"/>
      <c r="AQ17" s="86" t="s">
        <v>3046</v>
      </c>
      <c r="AR17" s="86" t="s">
        <v>3047</v>
      </c>
      <c r="AS17" s="86" t="s">
        <v>3048</v>
      </c>
      <c r="AT17" s="86" t="s">
        <v>3049</v>
      </c>
      <c r="AU17" s="86" t="s">
        <v>3050</v>
      </c>
      <c r="AV17" s="88" t="s">
        <v>3051</v>
      </c>
      <c r="AW17" s="90" t="s">
        <v>3052</v>
      </c>
      <c r="AX17" s="91"/>
      <c r="AY17" s="91"/>
      <c r="AZ17" s="91"/>
      <c r="BA17" s="92"/>
      <c r="BB17" s="91"/>
      <c r="BC17" s="91"/>
      <c r="BD17" s="93" t="s">
        <v>3045</v>
      </c>
      <c r="BE17" s="92" t="s">
        <v>3053</v>
      </c>
      <c r="BF17" s="92"/>
      <c r="BG17" s="93" t="s">
        <v>3046</v>
      </c>
      <c r="BH17" s="93" t="s">
        <v>3047</v>
      </c>
      <c r="BI17" s="93" t="s">
        <v>3048</v>
      </c>
      <c r="BJ17" s="93" t="s">
        <v>3049</v>
      </c>
      <c r="BK17" s="93" t="s">
        <v>3050</v>
      </c>
      <c r="BL17" s="94" t="s">
        <v>3051</v>
      </c>
      <c r="BM17" s="90" t="s">
        <v>3052</v>
      </c>
      <c r="BN17" s="91"/>
      <c r="BO17" s="91"/>
      <c r="BP17" s="91"/>
      <c r="BQ17" s="92"/>
      <c r="BR17" s="91"/>
      <c r="BS17" s="91"/>
      <c r="BT17" s="93" t="s">
        <v>3045</v>
      </c>
      <c r="BU17" s="92" t="s">
        <v>3053</v>
      </c>
      <c r="BV17" s="92"/>
      <c r="BW17" s="93" t="s">
        <v>3046</v>
      </c>
      <c r="BX17" s="93" t="s">
        <v>3047</v>
      </c>
      <c r="BY17" s="93" t="s">
        <v>3048</v>
      </c>
      <c r="BZ17" s="93" t="s">
        <v>3049</v>
      </c>
      <c r="CA17" s="93" t="s">
        <v>3050</v>
      </c>
      <c r="CB17" s="94" t="s">
        <v>3051</v>
      </c>
      <c r="CC17" s="84" t="s">
        <v>3038</v>
      </c>
      <c r="CD17" s="85" t="s">
        <v>3039</v>
      </c>
      <c r="CE17" s="85" t="s">
        <v>3040</v>
      </c>
      <c r="CF17" s="85" t="s">
        <v>3041</v>
      </c>
      <c r="CG17" s="85" t="s">
        <v>3042</v>
      </c>
      <c r="CH17" s="85" t="s">
        <v>3043</v>
      </c>
      <c r="CI17" s="85" t="s">
        <v>3044</v>
      </c>
      <c r="CJ17" s="86" t="s">
        <v>3045</v>
      </c>
      <c r="CK17" s="87"/>
      <c r="CL17" s="87"/>
      <c r="CM17" s="86" t="s">
        <v>3046</v>
      </c>
      <c r="CN17" s="86" t="s">
        <v>3047</v>
      </c>
      <c r="CO17" s="86" t="s">
        <v>3048</v>
      </c>
      <c r="CP17" s="86" t="s">
        <v>3049</v>
      </c>
      <c r="CQ17" s="86" t="s">
        <v>3050</v>
      </c>
      <c r="CR17" s="88" t="s">
        <v>3051</v>
      </c>
    </row>
    <row r="18">
      <c r="A18" s="95" t="s">
        <v>3054</v>
      </c>
      <c r="AG18" s="96"/>
      <c r="AH18" s="97" t="s">
        <v>3055</v>
      </c>
      <c r="AI18" s="97" t="s">
        <v>3056</v>
      </c>
      <c r="AJ18" s="97" t="s">
        <v>3057</v>
      </c>
      <c r="AK18" s="97" t="s">
        <v>3058</v>
      </c>
      <c r="AL18" s="97" t="s">
        <v>3059</v>
      </c>
      <c r="AM18" s="97" t="s">
        <v>3060</v>
      </c>
      <c r="AN18" s="97" t="s">
        <v>3061</v>
      </c>
      <c r="AO18" s="97" t="s">
        <v>3062</v>
      </c>
      <c r="AP18" s="97" t="s">
        <v>3063</v>
      </c>
      <c r="AQ18" s="97" t="s">
        <v>3064</v>
      </c>
      <c r="AR18" s="97" t="s">
        <v>3065</v>
      </c>
      <c r="AS18" s="97" t="s">
        <v>3066</v>
      </c>
      <c r="AT18" s="97" t="s">
        <v>3067</v>
      </c>
      <c r="AU18" s="97" t="s">
        <v>3068</v>
      </c>
      <c r="AV18" s="98" t="s">
        <v>3069</v>
      </c>
      <c r="AW18" s="99" t="s">
        <v>3070</v>
      </c>
      <c r="AX18" s="97" t="s">
        <v>3071</v>
      </c>
      <c r="AY18" s="97" t="s">
        <v>3072</v>
      </c>
      <c r="AZ18" s="97" t="s">
        <v>3073</v>
      </c>
      <c r="BA18" s="97" t="s">
        <v>3074</v>
      </c>
      <c r="BB18" s="97" t="s">
        <v>3075</v>
      </c>
      <c r="BC18" s="97" t="s">
        <v>3076</v>
      </c>
      <c r="BD18" s="97" t="s">
        <v>3077</v>
      </c>
      <c r="BE18" s="97" t="s">
        <v>3078</v>
      </c>
      <c r="BF18" s="97" t="s">
        <v>3079</v>
      </c>
      <c r="BG18" s="97" t="s">
        <v>3080</v>
      </c>
      <c r="BH18" s="97" t="s">
        <v>3081</v>
      </c>
      <c r="BI18" s="97" t="s">
        <v>3082</v>
      </c>
      <c r="BJ18" s="97" t="s">
        <v>3083</v>
      </c>
      <c r="BK18" s="97" t="s">
        <v>3084</v>
      </c>
      <c r="BL18" s="98" t="s">
        <v>3085</v>
      </c>
      <c r="BM18" s="99" t="s">
        <v>3070</v>
      </c>
      <c r="BN18" s="97" t="s">
        <v>3071</v>
      </c>
      <c r="BO18" s="97" t="s">
        <v>3072</v>
      </c>
      <c r="BP18" s="97" t="s">
        <v>3073</v>
      </c>
      <c r="BQ18" s="97" t="s">
        <v>3074</v>
      </c>
      <c r="BR18" s="97" t="s">
        <v>3075</v>
      </c>
      <c r="BS18" s="97" t="s">
        <v>3076</v>
      </c>
      <c r="BT18" s="97" t="s">
        <v>3086</v>
      </c>
      <c r="BU18" s="97" t="s">
        <v>3078</v>
      </c>
      <c r="BV18" s="97" t="s">
        <v>3079</v>
      </c>
      <c r="BW18" s="97" t="s">
        <v>3080</v>
      </c>
      <c r="BX18" s="97" t="s">
        <v>3081</v>
      </c>
      <c r="BY18" s="97" t="s">
        <v>3082</v>
      </c>
      <c r="BZ18" s="97" t="s">
        <v>3083</v>
      </c>
      <c r="CA18" s="97" t="s">
        <v>3084</v>
      </c>
      <c r="CB18" s="98" t="s">
        <v>3085</v>
      </c>
      <c r="CC18" s="44" t="s">
        <v>3087</v>
      </c>
      <c r="CD18" s="49" t="s">
        <v>2621</v>
      </c>
      <c r="CE18" s="49" t="s">
        <v>2622</v>
      </c>
      <c r="CF18" s="49" t="s">
        <v>2623</v>
      </c>
      <c r="CG18" s="49" t="s">
        <v>2624</v>
      </c>
      <c r="CH18" s="49" t="s">
        <v>2625</v>
      </c>
      <c r="CI18" s="49" t="s">
        <v>2626</v>
      </c>
      <c r="CJ18" s="49" t="s">
        <v>2627</v>
      </c>
      <c r="CK18" s="49" t="s">
        <v>2628</v>
      </c>
      <c r="CL18" s="49" t="s">
        <v>2629</v>
      </c>
      <c r="CM18" s="49" t="s">
        <v>2630</v>
      </c>
      <c r="CN18" s="49" t="s">
        <v>2631</v>
      </c>
      <c r="CO18" s="49" t="s">
        <v>2632</v>
      </c>
      <c r="CP18" s="49" t="s">
        <v>2633</v>
      </c>
      <c r="CQ18" s="49" t="s">
        <v>2634</v>
      </c>
      <c r="CR18" s="51" t="s">
        <v>2635</v>
      </c>
    </row>
    <row r="19">
      <c r="A19" s="95" t="s">
        <v>3088</v>
      </c>
      <c r="D19" s="95" t="s">
        <v>3089</v>
      </c>
      <c r="G19" s="95"/>
      <c r="AG19" s="100" t="s">
        <v>3090</v>
      </c>
      <c r="AH19" s="101" t="s">
        <v>3091</v>
      </c>
      <c r="AI19" s="101" t="s">
        <v>3092</v>
      </c>
      <c r="AJ19" s="101" t="s">
        <v>3093</v>
      </c>
      <c r="AK19" s="101" t="s">
        <v>3094</v>
      </c>
      <c r="AL19" s="101" t="s">
        <v>3095</v>
      </c>
      <c r="AM19" s="101" t="s">
        <v>3096</v>
      </c>
      <c r="AN19" s="101" t="s">
        <v>3097</v>
      </c>
      <c r="AO19" s="101" t="s">
        <v>3098</v>
      </c>
      <c r="AP19" s="101" t="s">
        <v>3099</v>
      </c>
      <c r="AQ19" s="101" t="s">
        <v>3100</v>
      </c>
      <c r="AR19" s="101" t="s">
        <v>3101</v>
      </c>
      <c r="AS19" s="101" t="s">
        <v>3102</v>
      </c>
      <c r="AT19" s="101" t="s">
        <v>3103</v>
      </c>
      <c r="AU19" s="101" t="s">
        <v>3104</v>
      </c>
      <c r="AV19" s="102" t="s">
        <v>3105</v>
      </c>
      <c r="AW19" s="100" t="s">
        <v>3106</v>
      </c>
      <c r="AX19" s="101" t="s">
        <v>3107</v>
      </c>
      <c r="AY19" s="101" t="s">
        <v>3108</v>
      </c>
      <c r="AZ19" s="101" t="s">
        <v>3109</v>
      </c>
      <c r="BA19" s="101" t="s">
        <v>3110</v>
      </c>
      <c r="BB19" s="101" t="s">
        <v>3111</v>
      </c>
      <c r="BC19" s="101" t="s">
        <v>3112</v>
      </c>
      <c r="BD19" s="101" t="s">
        <v>3113</v>
      </c>
      <c r="BE19" s="101" t="s">
        <v>3114</v>
      </c>
      <c r="BF19" s="101" t="s">
        <v>3115</v>
      </c>
      <c r="BG19" s="101" t="s">
        <v>3116</v>
      </c>
      <c r="BH19" s="101" t="s">
        <v>3117</v>
      </c>
      <c r="BI19" s="101" t="s">
        <v>3118</v>
      </c>
      <c r="BJ19" s="101" t="s">
        <v>3119</v>
      </c>
      <c r="BK19" s="101" t="s">
        <v>3120</v>
      </c>
      <c r="BL19" s="102" t="s">
        <v>3121</v>
      </c>
      <c r="BM19" s="100" t="s">
        <v>3106</v>
      </c>
      <c r="BN19" s="101" t="s">
        <v>3107</v>
      </c>
      <c r="BO19" s="101" t="s">
        <v>3108</v>
      </c>
      <c r="BP19" s="101" t="s">
        <v>3122</v>
      </c>
      <c r="BQ19" s="101" t="s">
        <v>3110</v>
      </c>
      <c r="BR19" s="101" t="s">
        <v>3123</v>
      </c>
      <c r="BS19" s="101" t="s">
        <v>3112</v>
      </c>
      <c r="BT19" s="101" t="s">
        <v>3113</v>
      </c>
      <c r="BU19" s="101" t="s">
        <v>3114</v>
      </c>
      <c r="BV19" s="101" t="s">
        <v>3115</v>
      </c>
      <c r="BW19" s="101" t="s">
        <v>3116</v>
      </c>
      <c r="BX19" s="101" t="s">
        <v>3117</v>
      </c>
      <c r="BY19" s="101" t="s">
        <v>3118</v>
      </c>
      <c r="BZ19" s="101" t="s">
        <v>3119</v>
      </c>
      <c r="CA19" s="101" t="s">
        <v>3120</v>
      </c>
      <c r="CB19" s="102" t="s">
        <v>3121</v>
      </c>
      <c r="CC19" s="57" t="s">
        <v>2667</v>
      </c>
      <c r="CD19" s="43" t="s">
        <v>2668</v>
      </c>
      <c r="CE19" s="43" t="s">
        <v>2669</v>
      </c>
      <c r="CF19" s="43" t="s">
        <v>2670</v>
      </c>
      <c r="CG19" s="43" t="s">
        <v>2671</v>
      </c>
      <c r="CH19" s="43" t="s">
        <v>2672</v>
      </c>
      <c r="CI19" s="43" t="s">
        <v>2673</v>
      </c>
      <c r="CJ19" s="43" t="s">
        <v>2674</v>
      </c>
      <c r="CK19" s="43" t="s">
        <v>2675</v>
      </c>
      <c r="CL19" s="43" t="s">
        <v>2676</v>
      </c>
      <c r="CM19" s="43" t="s">
        <v>2677</v>
      </c>
      <c r="CN19" s="43" t="s">
        <v>2678</v>
      </c>
      <c r="CO19" s="43" t="s">
        <v>2679</v>
      </c>
      <c r="CP19" s="43" t="s">
        <v>2680</v>
      </c>
      <c r="CQ19" s="43" t="s">
        <v>2681</v>
      </c>
      <c r="CR19" s="67" t="s">
        <v>2682</v>
      </c>
    </row>
    <row r="20">
      <c r="A20" s="43" t="s">
        <v>3046</v>
      </c>
      <c r="D20" s="103" t="s">
        <v>3124</v>
      </c>
      <c r="G20" s="104" t="s">
        <v>3125</v>
      </c>
      <c r="AG20" s="100" t="s">
        <v>3126</v>
      </c>
      <c r="AH20" s="101" t="s">
        <v>3127</v>
      </c>
      <c r="AI20" s="101" t="s">
        <v>3128</v>
      </c>
      <c r="AJ20" s="101" t="s">
        <v>3129</v>
      </c>
      <c r="AK20" s="101" t="s">
        <v>3130</v>
      </c>
      <c r="AL20" s="101" t="s">
        <v>3131</v>
      </c>
      <c r="AM20" s="101" t="s">
        <v>3132</v>
      </c>
      <c r="AN20" s="101" t="s">
        <v>3133</v>
      </c>
      <c r="AO20" s="101" t="s">
        <v>3134</v>
      </c>
      <c r="AP20" s="101" t="s">
        <v>3135</v>
      </c>
      <c r="AQ20" s="101" t="s">
        <v>3136</v>
      </c>
      <c r="AR20" s="101" t="s">
        <v>3137</v>
      </c>
      <c r="AS20" s="101" t="s">
        <v>3138</v>
      </c>
      <c r="AT20" s="101" t="s">
        <v>3139</v>
      </c>
      <c r="AU20" s="101" t="s">
        <v>3140</v>
      </c>
      <c r="AV20" s="102" t="s">
        <v>3141</v>
      </c>
      <c r="AW20" s="100" t="s">
        <v>3142</v>
      </c>
      <c r="AX20" s="101" t="s">
        <v>3143</v>
      </c>
      <c r="AY20" s="101" t="s">
        <v>3144</v>
      </c>
      <c r="AZ20" s="101" t="s">
        <v>3145</v>
      </c>
      <c r="BA20" s="101" t="s">
        <v>3146</v>
      </c>
      <c r="BB20" s="101" t="s">
        <v>3147</v>
      </c>
      <c r="BC20" s="101" t="s">
        <v>3148</v>
      </c>
      <c r="BD20" s="101" t="s">
        <v>3149</v>
      </c>
      <c r="BE20" s="101" t="s">
        <v>3150</v>
      </c>
      <c r="BF20" s="101" t="s">
        <v>3151</v>
      </c>
      <c r="BG20" s="101" t="s">
        <v>3152</v>
      </c>
      <c r="BH20" s="101" t="s">
        <v>3153</v>
      </c>
      <c r="BI20" s="101" t="s">
        <v>3154</v>
      </c>
      <c r="BJ20" s="101" t="s">
        <v>3155</v>
      </c>
      <c r="BK20" s="101" t="s">
        <v>3156</v>
      </c>
      <c r="BL20" s="102" t="s">
        <v>3157</v>
      </c>
      <c r="BM20" s="100" t="s">
        <v>3142</v>
      </c>
      <c r="BN20" s="101" t="s">
        <v>3143</v>
      </c>
      <c r="BO20" s="101" t="s">
        <v>3144</v>
      </c>
      <c r="BP20" s="101" t="s">
        <v>3158</v>
      </c>
      <c r="BQ20" s="101" t="s">
        <v>3146</v>
      </c>
      <c r="BR20" s="101" t="s">
        <v>3147</v>
      </c>
      <c r="BS20" s="101" t="s">
        <v>3148</v>
      </c>
      <c r="BT20" s="101" t="s">
        <v>3149</v>
      </c>
      <c r="BU20" s="101" t="s">
        <v>3150</v>
      </c>
      <c r="BV20" s="101" t="s">
        <v>3151</v>
      </c>
      <c r="BW20" s="101" t="s">
        <v>3152</v>
      </c>
      <c r="BX20" s="101" t="s">
        <v>3159</v>
      </c>
      <c r="BY20" s="101" t="s">
        <v>3154</v>
      </c>
      <c r="BZ20" s="101" t="s">
        <v>3155</v>
      </c>
      <c r="CA20" s="101" t="s">
        <v>3160</v>
      </c>
      <c r="CB20" s="102" t="s">
        <v>3161</v>
      </c>
      <c r="CC20" s="57" t="s">
        <v>2703</v>
      </c>
      <c r="CD20" s="43" t="s">
        <v>2704</v>
      </c>
      <c r="CE20" s="43" t="s">
        <v>2705</v>
      </c>
      <c r="CF20" s="43" t="s">
        <v>2706</v>
      </c>
      <c r="CG20" s="43" t="s">
        <v>2707</v>
      </c>
      <c r="CH20" s="43" t="s">
        <v>2708</v>
      </c>
      <c r="CI20" s="43" t="s">
        <v>2709</v>
      </c>
      <c r="CJ20" s="43" t="s">
        <v>2710</v>
      </c>
      <c r="CK20" s="43" t="s">
        <v>2711</v>
      </c>
      <c r="CL20" s="43" t="s">
        <v>2712</v>
      </c>
      <c r="CM20" s="43" t="s">
        <v>2713</v>
      </c>
      <c r="CN20" s="43" t="s">
        <v>2714</v>
      </c>
      <c r="CO20" s="43" t="s">
        <v>2715</v>
      </c>
      <c r="CP20" s="43" t="s">
        <v>2716</v>
      </c>
      <c r="CQ20" s="43" t="s">
        <v>2717</v>
      </c>
      <c r="CR20" s="67" t="s">
        <v>2718</v>
      </c>
    </row>
    <row r="21">
      <c r="A21" s="43" t="s">
        <v>3047</v>
      </c>
      <c r="D21" s="103" t="s">
        <v>3162</v>
      </c>
      <c r="G21" s="104" t="s">
        <v>3163</v>
      </c>
      <c r="AG21" s="100" t="s">
        <v>3164</v>
      </c>
      <c r="AH21" s="101" t="s">
        <v>3165</v>
      </c>
      <c r="AI21" s="101" t="s">
        <v>3166</v>
      </c>
      <c r="AJ21" s="101" t="s">
        <v>3167</v>
      </c>
      <c r="AK21" s="101" t="s">
        <v>3168</v>
      </c>
      <c r="AL21" s="101" t="s">
        <v>3169</v>
      </c>
      <c r="AM21" s="101" t="s">
        <v>3170</v>
      </c>
      <c r="AN21" s="101" t="s">
        <v>3171</v>
      </c>
      <c r="AO21" s="101" t="s">
        <v>3172</v>
      </c>
      <c r="AP21" s="101" t="s">
        <v>3173</v>
      </c>
      <c r="AQ21" s="101" t="s">
        <v>3174</v>
      </c>
      <c r="AR21" s="101" t="s">
        <v>3175</v>
      </c>
      <c r="AS21" s="101" t="s">
        <v>3176</v>
      </c>
      <c r="AT21" s="101" t="s">
        <v>3177</v>
      </c>
      <c r="AU21" s="101" t="s">
        <v>3178</v>
      </c>
      <c r="AV21" s="102" t="s">
        <v>3179</v>
      </c>
      <c r="AW21" s="100" t="s">
        <v>3180</v>
      </c>
      <c r="AX21" s="101" t="s">
        <v>3181</v>
      </c>
      <c r="AY21" s="101" t="s">
        <v>3182</v>
      </c>
      <c r="AZ21" s="101" t="s">
        <v>3183</v>
      </c>
      <c r="BA21" s="101" t="s">
        <v>3184</v>
      </c>
      <c r="BB21" s="101" t="s">
        <v>3185</v>
      </c>
      <c r="BC21" s="101" t="s">
        <v>3186</v>
      </c>
      <c r="BD21" s="101" t="s">
        <v>3187</v>
      </c>
      <c r="BE21" s="101" t="s">
        <v>3188</v>
      </c>
      <c r="BF21" s="101" t="s">
        <v>3189</v>
      </c>
      <c r="BG21" s="101" t="s">
        <v>3190</v>
      </c>
      <c r="BH21" s="101" t="s">
        <v>3191</v>
      </c>
      <c r="BI21" s="101" t="s">
        <v>3192</v>
      </c>
      <c r="BJ21" s="101" t="s">
        <v>3193</v>
      </c>
      <c r="BK21" s="101" t="s">
        <v>3194</v>
      </c>
      <c r="BL21" s="102" t="s">
        <v>3195</v>
      </c>
      <c r="BM21" s="100" t="s">
        <v>3180</v>
      </c>
      <c r="BN21" s="101" t="s">
        <v>3181</v>
      </c>
      <c r="BO21" s="101" t="s">
        <v>3182</v>
      </c>
      <c r="BP21" s="101" t="s">
        <v>3183</v>
      </c>
      <c r="BQ21" s="101" t="s">
        <v>3184</v>
      </c>
      <c r="BR21" s="101" t="s">
        <v>3196</v>
      </c>
      <c r="BS21" s="101" t="s">
        <v>3186</v>
      </c>
      <c r="BT21" s="101" t="s">
        <v>3187</v>
      </c>
      <c r="BU21" s="101" t="s">
        <v>3197</v>
      </c>
      <c r="BV21" s="101" t="s">
        <v>3189</v>
      </c>
      <c r="BW21" s="101" t="s">
        <v>3190</v>
      </c>
      <c r="BX21" s="101" t="s">
        <v>3191</v>
      </c>
      <c r="BY21" s="101" t="s">
        <v>3192</v>
      </c>
      <c r="BZ21" s="101" t="s">
        <v>3193</v>
      </c>
      <c r="CA21" s="101" t="s">
        <v>3194</v>
      </c>
      <c r="CB21" s="102" t="s">
        <v>3195</v>
      </c>
      <c r="CC21" s="57" t="s">
        <v>2743</v>
      </c>
      <c r="CD21" s="43" t="s">
        <v>2744</v>
      </c>
      <c r="CE21" s="43" t="s">
        <v>2745</v>
      </c>
      <c r="CF21" s="43" t="s">
        <v>2746</v>
      </c>
      <c r="CG21" s="43" t="s">
        <v>2747</v>
      </c>
      <c r="CH21" s="43" t="s">
        <v>2748</v>
      </c>
      <c r="CI21" s="43" t="s">
        <v>2749</v>
      </c>
      <c r="CJ21" s="43" t="s">
        <v>2750</v>
      </c>
      <c r="CK21" s="43" t="s">
        <v>2751</v>
      </c>
      <c r="CL21" s="43" t="s">
        <v>2752</v>
      </c>
      <c r="CM21" s="43" t="s">
        <v>2753</v>
      </c>
      <c r="CN21" s="43" t="s">
        <v>2754</v>
      </c>
      <c r="CO21" s="43" t="s">
        <v>2755</v>
      </c>
      <c r="CP21" s="43" t="s">
        <v>2756</v>
      </c>
      <c r="CQ21" s="43" t="s">
        <v>2757</v>
      </c>
      <c r="CR21" s="67" t="s">
        <v>2758</v>
      </c>
    </row>
    <row r="22">
      <c r="A22" s="103" t="s">
        <v>3198</v>
      </c>
      <c r="G22" s="104" t="s">
        <v>3199</v>
      </c>
      <c r="AG22" s="100" t="s">
        <v>3200</v>
      </c>
      <c r="AH22" s="101" t="s">
        <v>3201</v>
      </c>
      <c r="AI22" s="101" t="s">
        <v>3202</v>
      </c>
      <c r="AJ22" s="101" t="s">
        <v>3203</v>
      </c>
      <c r="AK22" s="101" t="s">
        <v>3204</v>
      </c>
      <c r="AL22" s="101" t="s">
        <v>3205</v>
      </c>
      <c r="AM22" s="101" t="s">
        <v>3206</v>
      </c>
      <c r="AN22" s="101" t="s">
        <v>3207</v>
      </c>
      <c r="AO22" s="101" t="s">
        <v>3208</v>
      </c>
      <c r="AP22" s="101" t="s">
        <v>3209</v>
      </c>
      <c r="AQ22" s="101" t="s">
        <v>3210</v>
      </c>
      <c r="AR22" s="101" t="s">
        <v>3211</v>
      </c>
      <c r="AS22" s="101" t="s">
        <v>3212</v>
      </c>
      <c r="AT22" s="101" t="s">
        <v>3213</v>
      </c>
      <c r="AU22" s="101" t="s">
        <v>3214</v>
      </c>
      <c r="AV22" s="102" t="s">
        <v>3215</v>
      </c>
      <c r="AW22" s="100" t="s">
        <v>3216</v>
      </c>
      <c r="AX22" s="101" t="s">
        <v>3217</v>
      </c>
      <c r="AY22" s="101" t="s">
        <v>3218</v>
      </c>
      <c r="AZ22" s="101" t="s">
        <v>3219</v>
      </c>
      <c r="BA22" s="101" t="s">
        <v>3220</v>
      </c>
      <c r="BB22" s="101" t="s">
        <v>3221</v>
      </c>
      <c r="BC22" s="101" t="s">
        <v>3222</v>
      </c>
      <c r="BD22" s="101" t="s">
        <v>3223</v>
      </c>
      <c r="BE22" s="101" t="s">
        <v>3224</v>
      </c>
      <c r="BF22" s="101" t="s">
        <v>3225</v>
      </c>
      <c r="BG22" s="101" t="s">
        <v>3226</v>
      </c>
      <c r="BH22" s="101" t="s">
        <v>3227</v>
      </c>
      <c r="BI22" s="101" t="s">
        <v>3228</v>
      </c>
      <c r="BJ22" s="101" t="s">
        <v>3229</v>
      </c>
      <c r="BK22" s="101" t="s">
        <v>3230</v>
      </c>
      <c r="BL22" s="102" t="s">
        <v>3231</v>
      </c>
      <c r="BM22" s="100" t="s">
        <v>3216</v>
      </c>
      <c r="BN22" s="101" t="s">
        <v>3217</v>
      </c>
      <c r="BO22" s="101" t="s">
        <v>3218</v>
      </c>
      <c r="BP22" s="101" t="s">
        <v>3219</v>
      </c>
      <c r="BQ22" s="101" t="s">
        <v>3220</v>
      </c>
      <c r="BR22" s="101" t="s">
        <v>3221</v>
      </c>
      <c r="BS22" s="101" t="s">
        <v>3222</v>
      </c>
      <c r="BT22" s="101" t="s">
        <v>3223</v>
      </c>
      <c r="BU22" s="101" t="s">
        <v>3224</v>
      </c>
      <c r="BV22" s="101" t="s">
        <v>3225</v>
      </c>
      <c r="BW22" s="101" t="s">
        <v>3226</v>
      </c>
      <c r="BX22" s="101" t="s">
        <v>3227</v>
      </c>
      <c r="BY22" s="101" t="s">
        <v>3228</v>
      </c>
      <c r="BZ22" s="101" t="s">
        <v>3229</v>
      </c>
      <c r="CA22" s="101" t="s">
        <v>3232</v>
      </c>
      <c r="CB22" s="102" t="s">
        <v>3231</v>
      </c>
      <c r="CC22" s="57" t="s">
        <v>2765</v>
      </c>
      <c r="CD22" s="43" t="s">
        <v>2766</v>
      </c>
      <c r="CE22" s="43" t="s">
        <v>2767</v>
      </c>
      <c r="CF22" s="43" t="s">
        <v>2768</v>
      </c>
      <c r="CG22" s="43" t="s">
        <v>2769</v>
      </c>
      <c r="CH22" s="43" t="s">
        <v>2770</v>
      </c>
      <c r="CI22" s="43" t="s">
        <v>2771</v>
      </c>
      <c r="CJ22" s="43" t="s">
        <v>2772</v>
      </c>
      <c r="CK22" s="43" t="s">
        <v>2773</v>
      </c>
      <c r="CL22" s="43" t="s">
        <v>2774</v>
      </c>
      <c r="CM22" s="43" t="s">
        <v>2775</v>
      </c>
      <c r="CN22" s="43" t="s">
        <v>2776</v>
      </c>
      <c r="CO22" s="43" t="s">
        <v>2777</v>
      </c>
      <c r="CP22" s="43" t="s">
        <v>2778</v>
      </c>
      <c r="CQ22" s="43" t="s">
        <v>2779</v>
      </c>
      <c r="CR22" s="67" t="s">
        <v>2780</v>
      </c>
    </row>
    <row r="23">
      <c r="A23" s="103" t="s">
        <v>3233</v>
      </c>
      <c r="G23" s="104" t="s">
        <v>3234</v>
      </c>
      <c r="AG23" s="105"/>
      <c r="AH23" s="106"/>
      <c r="AI23" s="106"/>
      <c r="AJ23" s="106"/>
      <c r="AK23" s="106"/>
      <c r="AL23" s="106"/>
      <c r="AM23" s="106"/>
      <c r="AN23" s="106"/>
      <c r="AO23" s="106"/>
      <c r="AP23" s="106"/>
      <c r="AQ23" s="106"/>
      <c r="AR23" s="106"/>
      <c r="AS23" s="106"/>
      <c r="AT23" s="106"/>
      <c r="AU23" s="106"/>
      <c r="AV23" s="107"/>
      <c r="AW23" s="100" t="s">
        <v>3235</v>
      </c>
      <c r="AX23" s="101" t="s">
        <v>3236</v>
      </c>
      <c r="AY23" s="101" t="s">
        <v>3237</v>
      </c>
      <c r="AZ23" s="101" t="s">
        <v>3238</v>
      </c>
      <c r="BA23" s="101" t="s">
        <v>3239</v>
      </c>
      <c r="BB23" s="101" t="s">
        <v>3240</v>
      </c>
      <c r="BC23" s="101" t="s">
        <v>3241</v>
      </c>
      <c r="BD23" s="101" t="s">
        <v>3242</v>
      </c>
      <c r="BE23" s="101" t="s">
        <v>3243</v>
      </c>
      <c r="BF23" s="101" t="s">
        <v>3244</v>
      </c>
      <c r="BG23" s="101" t="s">
        <v>3245</v>
      </c>
      <c r="BH23" s="101" t="s">
        <v>3246</v>
      </c>
      <c r="BI23" s="101" t="s">
        <v>3247</v>
      </c>
      <c r="BJ23" s="101" t="s">
        <v>3248</v>
      </c>
      <c r="BK23" s="101" t="s">
        <v>3249</v>
      </c>
      <c r="BL23" s="102" t="s">
        <v>3250</v>
      </c>
      <c r="BM23" s="100" t="s">
        <v>3235</v>
      </c>
      <c r="BN23" s="101" t="s">
        <v>3236</v>
      </c>
      <c r="BO23" s="101" t="s">
        <v>3237</v>
      </c>
      <c r="BP23" s="101" t="s">
        <v>3238</v>
      </c>
      <c r="BQ23" s="101" t="s">
        <v>3239</v>
      </c>
      <c r="BR23" s="101" t="s">
        <v>3240</v>
      </c>
      <c r="BS23" s="101" t="s">
        <v>3251</v>
      </c>
      <c r="BT23" s="101" t="s">
        <v>3242</v>
      </c>
      <c r="BU23" s="101" t="s">
        <v>3243</v>
      </c>
      <c r="BV23" s="101" t="s">
        <v>3244</v>
      </c>
      <c r="BW23" s="101" t="s">
        <v>3245</v>
      </c>
      <c r="BX23" s="101" t="s">
        <v>3252</v>
      </c>
      <c r="BY23" s="101" t="s">
        <v>3247</v>
      </c>
      <c r="BZ23" s="101" t="s">
        <v>3253</v>
      </c>
      <c r="CA23" s="101" t="s">
        <v>3249</v>
      </c>
      <c r="CB23" s="102" t="s">
        <v>3250</v>
      </c>
      <c r="CC23" s="57" t="s">
        <v>2788</v>
      </c>
      <c r="CD23" s="43" t="s">
        <v>2789</v>
      </c>
      <c r="CE23" s="43" t="s">
        <v>2790</v>
      </c>
      <c r="CF23" s="43" t="s">
        <v>2791</v>
      </c>
      <c r="CG23" s="43" t="s">
        <v>2792</v>
      </c>
      <c r="CH23" s="43" t="s">
        <v>2793</v>
      </c>
      <c r="CI23" s="43" t="s">
        <v>2794</v>
      </c>
      <c r="CJ23" s="43" t="s">
        <v>2795</v>
      </c>
      <c r="CK23" s="43" t="s">
        <v>2796</v>
      </c>
      <c r="CL23" s="43" t="s">
        <v>2797</v>
      </c>
      <c r="CM23" s="43" t="s">
        <v>2798</v>
      </c>
      <c r="CN23" s="43" t="s">
        <v>2799</v>
      </c>
      <c r="CO23" s="43" t="s">
        <v>2800</v>
      </c>
      <c r="CP23" s="43" t="s">
        <v>2801</v>
      </c>
      <c r="CQ23" s="43" t="s">
        <v>2802</v>
      </c>
      <c r="CR23" s="67" t="s">
        <v>2803</v>
      </c>
    </row>
    <row r="24">
      <c r="A24" s="103" t="s">
        <v>3254</v>
      </c>
      <c r="G24" s="104" t="s">
        <v>3255</v>
      </c>
      <c r="AG24" s="100" t="s">
        <v>3256</v>
      </c>
      <c r="AH24" s="101" t="s">
        <v>3257</v>
      </c>
      <c r="AI24" s="101" t="s">
        <v>3258</v>
      </c>
      <c r="AJ24" s="101" t="s">
        <v>3259</v>
      </c>
      <c r="AK24" s="101" t="s">
        <v>3260</v>
      </c>
      <c r="AL24" s="101" t="s">
        <v>3261</v>
      </c>
      <c r="AM24" s="101" t="s">
        <v>3262</v>
      </c>
      <c r="AN24" s="101" t="s">
        <v>3263</v>
      </c>
      <c r="AO24" s="101" t="s">
        <v>3264</v>
      </c>
      <c r="AP24" s="101" t="s">
        <v>3265</v>
      </c>
      <c r="AQ24" s="101" t="s">
        <v>3266</v>
      </c>
      <c r="AR24" s="101" t="s">
        <v>3267</v>
      </c>
      <c r="AS24" s="101" t="s">
        <v>3268</v>
      </c>
      <c r="AT24" s="101" t="s">
        <v>3269</v>
      </c>
      <c r="AU24" s="101" t="s">
        <v>3270</v>
      </c>
      <c r="AV24" s="107"/>
      <c r="AW24" s="100" t="s">
        <v>3271</v>
      </c>
      <c r="AX24" s="101" t="s">
        <v>3272</v>
      </c>
      <c r="AY24" s="101" t="s">
        <v>3273</v>
      </c>
      <c r="AZ24" s="101" t="s">
        <v>3274</v>
      </c>
      <c r="BA24" s="101" t="s">
        <v>3275</v>
      </c>
      <c r="BB24" s="101" t="s">
        <v>3276</v>
      </c>
      <c r="BC24" s="101" t="s">
        <v>3277</v>
      </c>
      <c r="BD24" s="101" t="s">
        <v>3278</v>
      </c>
      <c r="BE24" s="101" t="s">
        <v>3279</v>
      </c>
      <c r="BF24" s="101" t="s">
        <v>3280</v>
      </c>
      <c r="BG24" s="101" t="s">
        <v>3281</v>
      </c>
      <c r="BH24" s="101" t="s">
        <v>3282</v>
      </c>
      <c r="BI24" s="101" t="s">
        <v>3283</v>
      </c>
      <c r="BJ24" s="101" t="s">
        <v>3284</v>
      </c>
      <c r="BK24" s="101" t="s">
        <v>3285</v>
      </c>
      <c r="BL24" s="102" t="s">
        <v>3286</v>
      </c>
      <c r="BM24" s="100" t="s">
        <v>3271</v>
      </c>
      <c r="BN24" s="101" t="s">
        <v>3287</v>
      </c>
      <c r="BO24" s="101" t="s">
        <v>3273</v>
      </c>
      <c r="BP24" s="101" t="s">
        <v>3274</v>
      </c>
      <c r="BQ24" s="101" t="s">
        <v>3275</v>
      </c>
      <c r="BR24" s="101" t="s">
        <v>3288</v>
      </c>
      <c r="BS24" s="101" t="s">
        <v>3277</v>
      </c>
      <c r="BT24" s="101" t="s">
        <v>3278</v>
      </c>
      <c r="BU24" s="101" t="s">
        <v>3279</v>
      </c>
      <c r="BV24" s="101" t="s">
        <v>3280</v>
      </c>
      <c r="BW24" s="101" t="s">
        <v>3281</v>
      </c>
      <c r="BX24" s="101" t="s">
        <v>3289</v>
      </c>
      <c r="BY24" s="101" t="s">
        <v>3283</v>
      </c>
      <c r="BZ24" s="101" t="s">
        <v>3284</v>
      </c>
      <c r="CA24" s="101" t="s">
        <v>3285</v>
      </c>
      <c r="CB24" s="102" t="s">
        <v>3290</v>
      </c>
      <c r="CC24" s="57" t="s">
        <v>2808</v>
      </c>
      <c r="CD24" s="43" t="s">
        <v>2809</v>
      </c>
      <c r="CE24" s="43" t="s">
        <v>2810</v>
      </c>
      <c r="CF24" s="43" t="s">
        <v>2811</v>
      </c>
      <c r="CG24" s="43" t="s">
        <v>2812</v>
      </c>
      <c r="CH24" s="43" t="s">
        <v>2813</v>
      </c>
      <c r="CI24" s="43" t="s">
        <v>2814</v>
      </c>
      <c r="CJ24" s="43" t="s">
        <v>2815</v>
      </c>
      <c r="CK24" s="43" t="s">
        <v>2816</v>
      </c>
      <c r="CL24" s="43" t="s">
        <v>2817</v>
      </c>
      <c r="CM24" s="43" t="s">
        <v>2818</v>
      </c>
      <c r="CN24" s="43" t="s">
        <v>2819</v>
      </c>
      <c r="CO24" s="43" t="s">
        <v>2820</v>
      </c>
      <c r="CP24" s="43" t="s">
        <v>2821</v>
      </c>
      <c r="CQ24" s="43" t="s">
        <v>2822</v>
      </c>
      <c r="CR24" s="67" t="s">
        <v>2823</v>
      </c>
    </row>
    <row r="25">
      <c r="A25" s="103" t="s">
        <v>3291</v>
      </c>
      <c r="G25" s="104" t="s">
        <v>3292</v>
      </c>
      <c r="AG25" s="105"/>
      <c r="AH25" s="101" t="s">
        <v>3293</v>
      </c>
      <c r="AI25" s="101" t="s">
        <v>3294</v>
      </c>
      <c r="AJ25" s="101" t="s">
        <v>3295</v>
      </c>
      <c r="AK25" s="101" t="s">
        <v>3296</v>
      </c>
      <c r="AL25" s="101" t="s">
        <v>3297</v>
      </c>
      <c r="AM25" s="101" t="s">
        <v>3298</v>
      </c>
      <c r="AN25" s="101" t="s">
        <v>3299</v>
      </c>
      <c r="AO25" s="101" t="s">
        <v>3300</v>
      </c>
      <c r="AP25" s="101" t="s">
        <v>3301</v>
      </c>
      <c r="AQ25" s="101" t="s">
        <v>3302</v>
      </c>
      <c r="AR25" s="101" t="s">
        <v>3303</v>
      </c>
      <c r="AS25" s="101" t="s">
        <v>3304</v>
      </c>
      <c r="AT25" s="101" t="s">
        <v>3305</v>
      </c>
      <c r="AU25" s="101" t="s">
        <v>3306</v>
      </c>
      <c r="AV25" s="102" t="s">
        <v>3307</v>
      </c>
      <c r="AW25" s="100" t="s">
        <v>3308</v>
      </c>
      <c r="AX25" s="101" t="s">
        <v>3309</v>
      </c>
      <c r="AY25" s="101" t="s">
        <v>3310</v>
      </c>
      <c r="AZ25" s="101" t="s">
        <v>3311</v>
      </c>
      <c r="BA25" s="101" t="s">
        <v>3312</v>
      </c>
      <c r="BB25" s="101" t="s">
        <v>3313</v>
      </c>
      <c r="BC25" s="101" t="s">
        <v>3314</v>
      </c>
      <c r="BD25" s="101" t="s">
        <v>3315</v>
      </c>
      <c r="BE25" s="101" t="s">
        <v>3316</v>
      </c>
      <c r="BF25" s="101" t="s">
        <v>3317</v>
      </c>
      <c r="BG25" s="101" t="s">
        <v>3318</v>
      </c>
      <c r="BH25" s="101" t="s">
        <v>3319</v>
      </c>
      <c r="BI25" s="101" t="s">
        <v>3320</v>
      </c>
      <c r="BJ25" s="101" t="s">
        <v>3321</v>
      </c>
      <c r="BK25" s="101" t="s">
        <v>3322</v>
      </c>
      <c r="BL25" s="102" t="s">
        <v>3323</v>
      </c>
      <c r="BM25" s="100" t="s">
        <v>3308</v>
      </c>
      <c r="BN25" s="101" t="s">
        <v>3309</v>
      </c>
      <c r="BO25" s="101" t="s">
        <v>3310</v>
      </c>
      <c r="BP25" s="101" t="s">
        <v>3311</v>
      </c>
      <c r="BQ25" s="101" t="s">
        <v>3312</v>
      </c>
      <c r="BR25" s="101" t="s">
        <v>3313</v>
      </c>
      <c r="BS25" s="101" t="s">
        <v>3314</v>
      </c>
      <c r="BT25" s="101" t="s">
        <v>3324</v>
      </c>
      <c r="BU25" s="101" t="s">
        <v>3325</v>
      </c>
      <c r="BV25" s="101" t="s">
        <v>3317</v>
      </c>
      <c r="BW25" s="101" t="s">
        <v>3318</v>
      </c>
      <c r="BX25" s="101" t="s">
        <v>3319</v>
      </c>
      <c r="BY25" s="101" t="s">
        <v>3326</v>
      </c>
      <c r="BZ25" s="101" t="s">
        <v>3321</v>
      </c>
      <c r="CA25" s="101" t="s">
        <v>3327</v>
      </c>
      <c r="CB25" s="102" t="s">
        <v>3323</v>
      </c>
      <c r="CC25" s="57" t="s">
        <v>2833</v>
      </c>
      <c r="CD25" s="43" t="s">
        <v>2834</v>
      </c>
      <c r="CE25" s="43" t="s">
        <v>2835</v>
      </c>
      <c r="CF25" s="43" t="s">
        <v>2836</v>
      </c>
      <c r="CG25" s="43" t="s">
        <v>2837</v>
      </c>
      <c r="CH25" s="43" t="s">
        <v>2838</v>
      </c>
      <c r="CI25" s="43" t="s">
        <v>2839</v>
      </c>
      <c r="CJ25" s="43" t="s">
        <v>2840</v>
      </c>
      <c r="CK25" s="43" t="s">
        <v>2841</v>
      </c>
      <c r="CL25" s="43" t="s">
        <v>2842</v>
      </c>
      <c r="CM25" s="43" t="s">
        <v>2843</v>
      </c>
      <c r="CN25" s="43" t="s">
        <v>2844</v>
      </c>
      <c r="CO25" s="43" t="s">
        <v>2845</v>
      </c>
      <c r="CP25" s="43" t="s">
        <v>2846</v>
      </c>
      <c r="CQ25" s="43" t="s">
        <v>2847</v>
      </c>
      <c r="CR25" s="67" t="s">
        <v>2848</v>
      </c>
    </row>
    <row r="26">
      <c r="A26" s="43" t="s">
        <v>3049</v>
      </c>
      <c r="D26" s="103" t="s">
        <v>3328</v>
      </c>
      <c r="G26" s="104" t="s">
        <v>3329</v>
      </c>
      <c r="AG26" s="100" t="s">
        <v>3330</v>
      </c>
      <c r="AH26" s="101" t="s">
        <v>3331</v>
      </c>
      <c r="AI26" s="101" t="s">
        <v>3332</v>
      </c>
      <c r="AJ26" s="101" t="s">
        <v>3333</v>
      </c>
      <c r="AK26" s="101" t="s">
        <v>3334</v>
      </c>
      <c r="AL26" s="101" t="s">
        <v>3335</v>
      </c>
      <c r="AM26" s="101" t="s">
        <v>3336</v>
      </c>
      <c r="AN26" s="101" t="s">
        <v>3337</v>
      </c>
      <c r="AO26" s="101" t="s">
        <v>3338</v>
      </c>
      <c r="AP26" s="101" t="s">
        <v>3339</v>
      </c>
      <c r="AQ26" s="101" t="s">
        <v>3340</v>
      </c>
      <c r="AR26" s="101" t="s">
        <v>3341</v>
      </c>
      <c r="AS26" s="101" t="s">
        <v>3342</v>
      </c>
      <c r="AT26" s="101" t="s">
        <v>3343</v>
      </c>
      <c r="AU26" s="101" t="s">
        <v>3344</v>
      </c>
      <c r="AV26" s="102" t="s">
        <v>3345</v>
      </c>
      <c r="AW26" s="100" t="s">
        <v>3346</v>
      </c>
      <c r="AX26" s="101" t="s">
        <v>3347</v>
      </c>
      <c r="AY26" s="101" t="s">
        <v>3348</v>
      </c>
      <c r="AZ26" s="101" t="s">
        <v>3349</v>
      </c>
      <c r="BA26" s="101" t="s">
        <v>3350</v>
      </c>
      <c r="BB26" s="101" t="s">
        <v>3351</v>
      </c>
      <c r="BC26" s="101" t="s">
        <v>3352</v>
      </c>
      <c r="BD26" s="101" t="s">
        <v>3353</v>
      </c>
      <c r="BE26" s="101" t="s">
        <v>3354</v>
      </c>
      <c r="BF26" s="101" t="s">
        <v>3355</v>
      </c>
      <c r="BG26" s="101" t="s">
        <v>3356</v>
      </c>
      <c r="BH26" s="101" t="s">
        <v>3357</v>
      </c>
      <c r="BI26" s="101" t="s">
        <v>3358</v>
      </c>
      <c r="BJ26" s="101" t="s">
        <v>3359</v>
      </c>
      <c r="BK26" s="101" t="s">
        <v>3360</v>
      </c>
      <c r="BL26" s="102" t="s">
        <v>3361</v>
      </c>
      <c r="BM26" s="100" t="s">
        <v>3346</v>
      </c>
      <c r="BN26" s="101" t="s">
        <v>3347</v>
      </c>
      <c r="BO26" s="101" t="s">
        <v>3348</v>
      </c>
      <c r="BP26" s="101" t="s">
        <v>3362</v>
      </c>
      <c r="BQ26" s="101" t="s">
        <v>3363</v>
      </c>
      <c r="BR26" s="101" t="s">
        <v>3351</v>
      </c>
      <c r="BS26" s="101" t="s">
        <v>3364</v>
      </c>
      <c r="BT26" s="101" t="s">
        <v>3353</v>
      </c>
      <c r="BU26" s="101" t="s">
        <v>3365</v>
      </c>
      <c r="BV26" s="101" t="s">
        <v>3355</v>
      </c>
      <c r="BW26" s="101" t="s">
        <v>3356</v>
      </c>
      <c r="BX26" s="101" t="s">
        <v>3366</v>
      </c>
      <c r="BY26" s="101" t="s">
        <v>3367</v>
      </c>
      <c r="BZ26" s="101" t="s">
        <v>3359</v>
      </c>
      <c r="CA26" s="101" t="s">
        <v>3360</v>
      </c>
      <c r="CB26" s="102" t="s">
        <v>3361</v>
      </c>
      <c r="CC26" s="57" t="s">
        <v>2854</v>
      </c>
      <c r="CD26" s="43" t="s">
        <v>2855</v>
      </c>
      <c r="CE26" s="43" t="s">
        <v>2856</v>
      </c>
      <c r="CF26" s="43" t="s">
        <v>2857</v>
      </c>
      <c r="CG26" s="43" t="s">
        <v>2858</v>
      </c>
      <c r="CH26" s="43" t="s">
        <v>2859</v>
      </c>
      <c r="CI26" s="43" t="s">
        <v>2860</v>
      </c>
      <c r="CJ26" s="43" t="s">
        <v>2861</v>
      </c>
      <c r="CK26" s="43" t="s">
        <v>2862</v>
      </c>
      <c r="CL26" s="43" t="s">
        <v>2863</v>
      </c>
      <c r="CM26" s="43" t="s">
        <v>2864</v>
      </c>
      <c r="CN26" s="43" t="s">
        <v>2865</v>
      </c>
      <c r="CO26" s="43" t="s">
        <v>2866</v>
      </c>
      <c r="CP26" s="43" t="s">
        <v>2867</v>
      </c>
      <c r="CQ26" s="43" t="s">
        <v>2868</v>
      </c>
      <c r="CR26" s="67" t="s">
        <v>2869</v>
      </c>
    </row>
    <row r="27">
      <c r="A27" s="103" t="s">
        <v>3368</v>
      </c>
      <c r="G27" s="104" t="s">
        <v>3369</v>
      </c>
      <c r="AG27" s="100" t="s">
        <v>3370</v>
      </c>
      <c r="AH27" s="101" t="s">
        <v>3371</v>
      </c>
      <c r="AI27" s="101" t="s">
        <v>3372</v>
      </c>
      <c r="AJ27" s="101" t="s">
        <v>3373</v>
      </c>
      <c r="AK27" s="101" t="s">
        <v>3374</v>
      </c>
      <c r="AL27" s="101" t="s">
        <v>3375</v>
      </c>
      <c r="AM27" s="101" t="s">
        <v>3376</v>
      </c>
      <c r="AN27" s="101" t="s">
        <v>3377</v>
      </c>
      <c r="AO27" s="101" t="s">
        <v>3378</v>
      </c>
      <c r="AP27" s="101" t="s">
        <v>3379</v>
      </c>
      <c r="AQ27" s="101" t="s">
        <v>3380</v>
      </c>
      <c r="AR27" s="101" t="s">
        <v>3381</v>
      </c>
      <c r="AS27" s="101" t="s">
        <v>3382</v>
      </c>
      <c r="AT27" s="101" t="s">
        <v>3383</v>
      </c>
      <c r="AU27" s="101" t="s">
        <v>3384</v>
      </c>
      <c r="AV27" s="102" t="s">
        <v>3385</v>
      </c>
      <c r="AW27" s="100" t="s">
        <v>3386</v>
      </c>
      <c r="AX27" s="101" t="s">
        <v>3387</v>
      </c>
      <c r="AY27" s="101" t="s">
        <v>3388</v>
      </c>
      <c r="AZ27" s="101" t="s">
        <v>3389</v>
      </c>
      <c r="BA27" s="101" t="s">
        <v>3390</v>
      </c>
      <c r="BB27" s="101" t="s">
        <v>3391</v>
      </c>
      <c r="BC27" s="101" t="s">
        <v>3392</v>
      </c>
      <c r="BD27" s="101" t="s">
        <v>3393</v>
      </c>
      <c r="BE27" s="101" t="s">
        <v>3394</v>
      </c>
      <c r="BF27" s="101" t="s">
        <v>3395</v>
      </c>
      <c r="BG27" s="101" t="s">
        <v>3396</v>
      </c>
      <c r="BH27" s="101" t="s">
        <v>3397</v>
      </c>
      <c r="BI27" s="101" t="s">
        <v>3398</v>
      </c>
      <c r="BJ27" s="101" t="s">
        <v>3399</v>
      </c>
      <c r="BK27" s="101" t="s">
        <v>3400</v>
      </c>
      <c r="BL27" s="102" t="s">
        <v>3401</v>
      </c>
      <c r="BM27" s="100" t="s">
        <v>3402</v>
      </c>
      <c r="BN27" s="101" t="s">
        <v>3387</v>
      </c>
      <c r="BO27" s="101" t="s">
        <v>3403</v>
      </c>
      <c r="BP27" s="101" t="s">
        <v>3404</v>
      </c>
      <c r="BQ27" s="101" t="s">
        <v>3405</v>
      </c>
      <c r="BR27" s="101" t="s">
        <v>3391</v>
      </c>
      <c r="BS27" s="101" t="s">
        <v>3392</v>
      </c>
      <c r="BT27" s="101" t="s">
        <v>3393</v>
      </c>
      <c r="BU27" s="101" t="s">
        <v>3394</v>
      </c>
      <c r="BV27" s="101" t="s">
        <v>3395</v>
      </c>
      <c r="BW27" s="101" t="s">
        <v>3396</v>
      </c>
      <c r="BX27" s="101" t="s">
        <v>3397</v>
      </c>
      <c r="BY27" s="101" t="s">
        <v>3398</v>
      </c>
      <c r="BZ27" s="101" t="s">
        <v>3399</v>
      </c>
      <c r="CA27" s="101" t="s">
        <v>3400</v>
      </c>
      <c r="CB27" s="102" t="s">
        <v>3406</v>
      </c>
      <c r="CC27" s="57" t="s">
        <v>2870</v>
      </c>
      <c r="CD27" s="43" t="s">
        <v>2871</v>
      </c>
      <c r="CE27" s="43" t="s">
        <v>2872</v>
      </c>
      <c r="CF27" s="43" t="s">
        <v>2873</v>
      </c>
      <c r="CG27" s="43" t="s">
        <v>2874</v>
      </c>
      <c r="CH27" s="43" t="s">
        <v>2875</v>
      </c>
      <c r="CI27" s="43" t="s">
        <v>2876</v>
      </c>
      <c r="CJ27" s="43" t="s">
        <v>2877</v>
      </c>
      <c r="CK27" s="43" t="s">
        <v>2878</v>
      </c>
      <c r="CL27" s="43" t="s">
        <v>2879</v>
      </c>
      <c r="CM27" s="43" t="s">
        <v>2880</v>
      </c>
      <c r="CN27" s="43" t="s">
        <v>2881</v>
      </c>
      <c r="CO27" s="43" t="s">
        <v>2882</v>
      </c>
      <c r="CP27" s="43" t="s">
        <v>2883</v>
      </c>
      <c r="CQ27" s="43" t="s">
        <v>2884</v>
      </c>
      <c r="CR27" s="67" t="s">
        <v>2885</v>
      </c>
    </row>
    <row r="28">
      <c r="A28" s="103" t="s">
        <v>3407</v>
      </c>
      <c r="G28" s="104" t="s">
        <v>3408</v>
      </c>
      <c r="AG28" s="100" t="s">
        <v>3409</v>
      </c>
      <c r="AH28" s="101" t="s">
        <v>3410</v>
      </c>
      <c r="AI28" s="101" t="s">
        <v>3411</v>
      </c>
      <c r="AJ28" s="101" t="s">
        <v>3412</v>
      </c>
      <c r="AK28" s="101" t="s">
        <v>3413</v>
      </c>
      <c r="AL28" s="101" t="s">
        <v>3414</v>
      </c>
      <c r="AM28" s="101" t="s">
        <v>3415</v>
      </c>
      <c r="AN28" s="101" t="s">
        <v>3416</v>
      </c>
      <c r="AO28" s="101" t="s">
        <v>3417</v>
      </c>
      <c r="AP28" s="101" t="s">
        <v>3418</v>
      </c>
      <c r="AQ28" s="101" t="s">
        <v>3419</v>
      </c>
      <c r="AR28" s="101" t="s">
        <v>3420</v>
      </c>
      <c r="AS28" s="101" t="s">
        <v>3421</v>
      </c>
      <c r="AT28" s="101" t="s">
        <v>695</v>
      </c>
      <c r="AU28" s="101" t="s">
        <v>3422</v>
      </c>
      <c r="AV28" s="102" t="s">
        <v>3423</v>
      </c>
      <c r="AW28" s="100" t="s">
        <v>3424</v>
      </c>
      <c r="AX28" s="101" t="s">
        <v>3425</v>
      </c>
      <c r="AY28" s="101" t="s">
        <v>3426</v>
      </c>
      <c r="AZ28" s="101" t="s">
        <v>3427</v>
      </c>
      <c r="BA28" s="101" t="s">
        <v>3428</v>
      </c>
      <c r="BB28" s="101" t="s">
        <v>3429</v>
      </c>
      <c r="BC28" s="101" t="s">
        <v>3430</v>
      </c>
      <c r="BD28" s="101" t="s">
        <v>3431</v>
      </c>
      <c r="BE28" s="101" t="s">
        <v>3432</v>
      </c>
      <c r="BF28" s="101" t="s">
        <v>3433</v>
      </c>
      <c r="BG28" s="101" t="s">
        <v>3434</v>
      </c>
      <c r="BH28" s="101" t="s">
        <v>3435</v>
      </c>
      <c r="BI28" s="101" t="s">
        <v>3436</v>
      </c>
      <c r="BJ28" s="101" t="s">
        <v>3437</v>
      </c>
      <c r="BK28" s="101" t="s">
        <v>3438</v>
      </c>
      <c r="BL28" s="102" t="s">
        <v>3439</v>
      </c>
      <c r="BM28" s="100" t="s">
        <v>3440</v>
      </c>
      <c r="BN28" s="101" t="s">
        <v>3425</v>
      </c>
      <c r="BO28" s="101" t="s">
        <v>3426</v>
      </c>
      <c r="BP28" s="101" t="s">
        <v>3441</v>
      </c>
      <c r="BQ28" s="101" t="s">
        <v>3428</v>
      </c>
      <c r="BR28" s="101" t="s">
        <v>3429</v>
      </c>
      <c r="BS28" s="101" t="s">
        <v>3442</v>
      </c>
      <c r="BT28" s="101" t="s">
        <v>3431</v>
      </c>
      <c r="BU28" s="101" t="s">
        <v>3432</v>
      </c>
      <c r="BV28" s="101" t="s">
        <v>3433</v>
      </c>
      <c r="BW28" s="101" t="s">
        <v>3434</v>
      </c>
      <c r="BX28" s="101" t="s">
        <v>3435</v>
      </c>
      <c r="BY28" s="101" t="s">
        <v>3436</v>
      </c>
      <c r="BZ28" s="101" t="s">
        <v>3443</v>
      </c>
      <c r="CA28" s="101" t="s">
        <v>3444</v>
      </c>
      <c r="CB28" s="102" t="s">
        <v>3445</v>
      </c>
      <c r="CC28" s="57" t="s">
        <v>2903</v>
      </c>
      <c r="CD28" s="43" t="s">
        <v>2904</v>
      </c>
      <c r="CE28" s="43" t="s">
        <v>2905</v>
      </c>
      <c r="CF28" s="43" t="s">
        <v>2906</v>
      </c>
      <c r="CG28" s="43" t="s">
        <v>2907</v>
      </c>
      <c r="CH28" s="43" t="s">
        <v>2908</v>
      </c>
      <c r="CI28" s="43" t="s">
        <v>2909</v>
      </c>
      <c r="CJ28" s="43" t="s">
        <v>2910</v>
      </c>
      <c r="CK28" s="43" t="s">
        <v>2911</v>
      </c>
      <c r="CL28" s="43" t="s">
        <v>2912</v>
      </c>
      <c r="CM28" s="43" t="s">
        <v>2913</v>
      </c>
      <c r="CN28" s="43" t="s">
        <v>2914</v>
      </c>
      <c r="CO28" s="43" t="s">
        <v>2915</v>
      </c>
      <c r="CP28" s="43" t="s">
        <v>2916</v>
      </c>
      <c r="CQ28" s="43" t="s">
        <v>2917</v>
      </c>
      <c r="CR28" s="67"/>
    </row>
    <row r="29">
      <c r="A29" s="43" t="s">
        <v>3050</v>
      </c>
      <c r="D29" s="103" t="s">
        <v>3446</v>
      </c>
      <c r="G29" s="104" t="s">
        <v>3447</v>
      </c>
      <c r="AG29" s="100" t="s">
        <v>3448</v>
      </c>
      <c r="AH29" s="101" t="s">
        <v>3449</v>
      </c>
      <c r="AI29" s="101" t="s">
        <v>3450</v>
      </c>
      <c r="AJ29" s="101" t="s">
        <v>3451</v>
      </c>
      <c r="AK29" s="101" t="s">
        <v>3452</v>
      </c>
      <c r="AL29" s="101" t="s">
        <v>3453</v>
      </c>
      <c r="AM29" s="101" t="s">
        <v>3454</v>
      </c>
      <c r="AN29" s="101" t="s">
        <v>3455</v>
      </c>
      <c r="AO29" s="101" t="s">
        <v>3456</v>
      </c>
      <c r="AP29" s="101" t="s">
        <v>3457</v>
      </c>
      <c r="AQ29" s="101" t="s">
        <v>3458</v>
      </c>
      <c r="AR29" s="101" t="s">
        <v>3459</v>
      </c>
      <c r="AS29" s="101" t="s">
        <v>3460</v>
      </c>
      <c r="AT29" s="101" t="s">
        <v>3461</v>
      </c>
      <c r="AU29" s="101" t="s">
        <v>3462</v>
      </c>
      <c r="AV29" s="102" t="s">
        <v>3463</v>
      </c>
      <c r="AW29" s="100" t="s">
        <v>3464</v>
      </c>
      <c r="AX29" s="101" t="s">
        <v>3465</v>
      </c>
      <c r="AY29" s="101" t="s">
        <v>3466</v>
      </c>
      <c r="AZ29" s="101" t="s">
        <v>3467</v>
      </c>
      <c r="BA29" s="101" t="s">
        <v>3468</v>
      </c>
      <c r="BB29" s="101" t="s">
        <v>3469</v>
      </c>
      <c r="BC29" s="101" t="s">
        <v>3470</v>
      </c>
      <c r="BD29" s="101" t="s">
        <v>3471</v>
      </c>
      <c r="BE29" s="101" t="s">
        <v>3472</v>
      </c>
      <c r="BF29" s="101" t="s">
        <v>3473</v>
      </c>
      <c r="BG29" s="101" t="s">
        <v>3474</v>
      </c>
      <c r="BH29" s="101" t="s">
        <v>3475</v>
      </c>
      <c r="BI29" s="101" t="s">
        <v>3476</v>
      </c>
      <c r="BJ29" s="101" t="s">
        <v>3477</v>
      </c>
      <c r="BK29" s="101" t="s">
        <v>3478</v>
      </c>
      <c r="BL29" s="102" t="s">
        <v>3479</v>
      </c>
      <c r="BM29" s="100" t="s">
        <v>3464</v>
      </c>
      <c r="BN29" s="101" t="s">
        <v>3480</v>
      </c>
      <c r="BO29" s="101" t="s">
        <v>3466</v>
      </c>
      <c r="BP29" s="101" t="s">
        <v>3467</v>
      </c>
      <c r="BQ29" s="101" t="s">
        <v>3481</v>
      </c>
      <c r="BR29" s="101" t="s">
        <v>3482</v>
      </c>
      <c r="BS29" s="101" t="s">
        <v>3483</v>
      </c>
      <c r="BT29" s="101" t="s">
        <v>3471</v>
      </c>
      <c r="BU29" s="101" t="s">
        <v>3472</v>
      </c>
      <c r="BV29" s="101" t="s">
        <v>3473</v>
      </c>
      <c r="BW29" s="101" t="s">
        <v>3474</v>
      </c>
      <c r="BX29" s="101" t="s">
        <v>3475</v>
      </c>
      <c r="BY29" s="101" t="s">
        <v>3484</v>
      </c>
      <c r="BZ29" s="101" t="s">
        <v>3485</v>
      </c>
      <c r="CA29" s="101" t="s">
        <v>3478</v>
      </c>
      <c r="CB29" s="102" t="s">
        <v>3486</v>
      </c>
      <c r="CC29" s="57" t="s">
        <v>2933</v>
      </c>
      <c r="CD29" s="43" t="s">
        <v>2934</v>
      </c>
      <c r="CE29" s="43" t="s">
        <v>2935</v>
      </c>
      <c r="CF29" s="43" t="s">
        <v>2936</v>
      </c>
      <c r="CG29" s="43" t="s">
        <v>2937</v>
      </c>
      <c r="CH29" s="43" t="s">
        <v>3052</v>
      </c>
      <c r="CI29" s="43" t="s">
        <v>3053</v>
      </c>
      <c r="CJ29" s="43" t="s">
        <v>2938</v>
      </c>
      <c r="CK29" s="43" t="s">
        <v>3487</v>
      </c>
      <c r="CL29" s="43" t="s">
        <v>3488</v>
      </c>
      <c r="CM29" s="43"/>
      <c r="CN29" s="43" t="s">
        <v>2939</v>
      </c>
      <c r="CO29" s="43" t="s">
        <v>2940</v>
      </c>
      <c r="CP29" s="43" t="s">
        <v>2941</v>
      </c>
      <c r="CQ29" s="43" t="s">
        <v>2942</v>
      </c>
      <c r="CR29" s="67" t="s">
        <v>2943</v>
      </c>
    </row>
    <row r="30">
      <c r="A30" s="43" t="s">
        <v>2735</v>
      </c>
      <c r="D30" s="103" t="s">
        <v>883</v>
      </c>
      <c r="G30" s="108" t="s">
        <v>3489</v>
      </c>
      <c r="AG30" s="100" t="s">
        <v>3490</v>
      </c>
      <c r="AH30" s="101" t="s">
        <v>3491</v>
      </c>
      <c r="AI30" s="101" t="s">
        <v>3492</v>
      </c>
      <c r="AJ30" s="101" t="s">
        <v>3493</v>
      </c>
      <c r="AK30" s="101" t="s">
        <v>3494</v>
      </c>
      <c r="AL30" s="101" t="s">
        <v>3495</v>
      </c>
      <c r="AM30" s="101" t="s">
        <v>3496</v>
      </c>
      <c r="AN30" s="101" t="s">
        <v>3497</v>
      </c>
      <c r="AO30" s="101" t="s">
        <v>3498</v>
      </c>
      <c r="AP30" s="101" t="s">
        <v>3499</v>
      </c>
      <c r="AQ30" s="101" t="s">
        <v>3500</v>
      </c>
      <c r="AR30" s="101" t="s">
        <v>3501</v>
      </c>
      <c r="AS30" s="101" t="s">
        <v>3502</v>
      </c>
      <c r="AT30" s="101" t="s">
        <v>3503</v>
      </c>
      <c r="AU30" s="101" t="s">
        <v>3504</v>
      </c>
      <c r="AV30" s="107"/>
      <c r="AW30" s="100" t="s">
        <v>3505</v>
      </c>
      <c r="AX30" s="101" t="s">
        <v>3506</v>
      </c>
      <c r="AY30" s="101" t="s">
        <v>3507</v>
      </c>
      <c r="AZ30" s="101" t="s">
        <v>3508</v>
      </c>
      <c r="BA30" s="101" t="s">
        <v>3509</v>
      </c>
      <c r="BB30" s="101" t="s">
        <v>3510</v>
      </c>
      <c r="BC30" s="101" t="s">
        <v>3511</v>
      </c>
      <c r="BD30" s="101" t="s">
        <v>3512</v>
      </c>
      <c r="BE30" s="101" t="s">
        <v>3513</v>
      </c>
      <c r="BF30" s="101" t="s">
        <v>3514</v>
      </c>
      <c r="BG30" s="101" t="s">
        <v>3515</v>
      </c>
      <c r="BH30" s="101" t="s">
        <v>3516</v>
      </c>
      <c r="BI30" s="101" t="s">
        <v>3517</v>
      </c>
      <c r="BJ30" s="101" t="s">
        <v>3518</v>
      </c>
      <c r="BK30" s="101" t="s">
        <v>3519</v>
      </c>
      <c r="BL30" s="102" t="s">
        <v>3520</v>
      </c>
      <c r="BM30" s="100" t="s">
        <v>3505</v>
      </c>
      <c r="BN30" s="101" t="s">
        <v>3506</v>
      </c>
      <c r="BO30" s="101" t="s">
        <v>3507</v>
      </c>
      <c r="BP30" s="101" t="s">
        <v>3508</v>
      </c>
      <c r="BQ30" s="101" t="s">
        <v>3521</v>
      </c>
      <c r="BR30" s="101" t="s">
        <v>3510</v>
      </c>
      <c r="BS30" s="101" t="s">
        <v>3511</v>
      </c>
      <c r="BT30" s="101" t="s">
        <v>3512</v>
      </c>
      <c r="BU30" s="101" t="s">
        <v>3513</v>
      </c>
      <c r="BV30" s="101" t="s">
        <v>3514</v>
      </c>
      <c r="BW30" s="101" t="s">
        <v>3515</v>
      </c>
      <c r="BX30" s="101" t="s">
        <v>3522</v>
      </c>
      <c r="BY30" s="101" t="s">
        <v>3517</v>
      </c>
      <c r="BZ30" s="101" t="s">
        <v>3523</v>
      </c>
      <c r="CA30" s="101" t="s">
        <v>3519</v>
      </c>
      <c r="CB30" s="102" t="s">
        <v>3520</v>
      </c>
      <c r="CC30" s="57" t="s">
        <v>2961</v>
      </c>
      <c r="CD30" s="43" t="s">
        <v>2962</v>
      </c>
      <c r="CE30" s="43" t="s">
        <v>2963</v>
      </c>
      <c r="CF30" s="43" t="s">
        <v>2964</v>
      </c>
      <c r="CG30" s="43" t="s">
        <v>2965</v>
      </c>
      <c r="CH30" s="43" t="s">
        <v>2966</v>
      </c>
      <c r="CI30" s="43" t="s">
        <v>2967</v>
      </c>
      <c r="CJ30" s="43" t="s">
        <v>2968</v>
      </c>
      <c r="CK30" s="43" t="s">
        <v>2969</v>
      </c>
      <c r="CL30" s="43" t="s">
        <v>2970</v>
      </c>
      <c r="CM30" s="43" t="s">
        <v>2971</v>
      </c>
      <c r="CN30" s="43" t="s">
        <v>2972</v>
      </c>
      <c r="CO30" s="43" t="s">
        <v>2973</v>
      </c>
      <c r="CP30" s="43" t="s">
        <v>2974</v>
      </c>
      <c r="CQ30" s="43" t="s">
        <v>2975</v>
      </c>
      <c r="CR30" s="67" t="s">
        <v>2976</v>
      </c>
    </row>
    <row r="31">
      <c r="A31" s="43" t="s">
        <v>2736</v>
      </c>
      <c r="AG31" s="105"/>
      <c r="AH31" s="101" t="s">
        <v>3524</v>
      </c>
      <c r="AI31" s="101" t="s">
        <v>3525</v>
      </c>
      <c r="AJ31" s="101" t="s">
        <v>3526</v>
      </c>
      <c r="AK31" s="101" t="s">
        <v>3527</v>
      </c>
      <c r="AL31" s="101" t="s">
        <v>3528</v>
      </c>
      <c r="AM31" s="101" t="s">
        <v>3529</v>
      </c>
      <c r="AN31" s="101" t="s">
        <v>3530</v>
      </c>
      <c r="AO31" s="101" t="s">
        <v>3531</v>
      </c>
      <c r="AP31" s="101" t="s">
        <v>3532</v>
      </c>
      <c r="AQ31" s="101" t="s">
        <v>3533</v>
      </c>
      <c r="AR31" s="101" t="s">
        <v>3534</v>
      </c>
      <c r="AS31" s="101" t="s">
        <v>3535</v>
      </c>
      <c r="AT31" s="101" t="s">
        <v>3536</v>
      </c>
      <c r="AU31" s="101" t="s">
        <v>3537</v>
      </c>
      <c r="AV31" s="102" t="s">
        <v>3538</v>
      </c>
      <c r="AW31" s="100" t="s">
        <v>3539</v>
      </c>
      <c r="AX31" s="101" t="s">
        <v>3540</v>
      </c>
      <c r="AY31" s="101" t="s">
        <v>3541</v>
      </c>
      <c r="AZ31" s="101" t="s">
        <v>3542</v>
      </c>
      <c r="BA31" s="101" t="s">
        <v>3543</v>
      </c>
      <c r="BB31" s="101" t="s">
        <v>3544</v>
      </c>
      <c r="BC31" s="101" t="s">
        <v>3545</v>
      </c>
      <c r="BD31" s="101" t="s">
        <v>3546</v>
      </c>
      <c r="BE31" s="101" t="s">
        <v>3547</v>
      </c>
      <c r="BF31" s="101" t="s">
        <v>3548</v>
      </c>
      <c r="BG31" s="101" t="s">
        <v>3549</v>
      </c>
      <c r="BH31" s="101" t="s">
        <v>3550</v>
      </c>
      <c r="BI31" s="101" t="s">
        <v>3551</v>
      </c>
      <c r="BJ31" s="101" t="s">
        <v>3552</v>
      </c>
      <c r="BK31" s="101" t="s">
        <v>3553</v>
      </c>
      <c r="BL31" s="102" t="s">
        <v>3554</v>
      </c>
      <c r="BM31" s="100" t="s">
        <v>3555</v>
      </c>
      <c r="BN31" s="101" t="s">
        <v>3540</v>
      </c>
      <c r="BO31" s="101" t="s">
        <v>3541</v>
      </c>
      <c r="BP31" s="101" t="s">
        <v>3556</v>
      </c>
      <c r="BQ31" s="101" t="s">
        <v>3557</v>
      </c>
      <c r="BR31" s="101" t="s">
        <v>3558</v>
      </c>
      <c r="BS31" s="101" t="s">
        <v>3545</v>
      </c>
      <c r="BT31" s="101" t="s">
        <v>3546</v>
      </c>
      <c r="BU31" s="101" t="s">
        <v>3559</v>
      </c>
      <c r="BV31" s="101" t="s">
        <v>3548</v>
      </c>
      <c r="BW31" s="101" t="s">
        <v>3549</v>
      </c>
      <c r="BX31" s="101" t="s">
        <v>3560</v>
      </c>
      <c r="BY31" s="101" t="s">
        <v>3551</v>
      </c>
      <c r="BZ31" s="101" t="s">
        <v>3552</v>
      </c>
      <c r="CA31" s="101" t="s">
        <v>3553</v>
      </c>
      <c r="CB31" s="102" t="s">
        <v>3554</v>
      </c>
      <c r="CC31" s="57" t="s">
        <v>2993</v>
      </c>
      <c r="CD31" s="43" t="s">
        <v>2994</v>
      </c>
      <c r="CE31" s="43" t="s">
        <v>2995</v>
      </c>
      <c r="CF31" s="43" t="s">
        <v>2996</v>
      </c>
      <c r="CG31" s="43" t="s">
        <v>2997</v>
      </c>
      <c r="CH31" s="43" t="s">
        <v>2998</v>
      </c>
      <c r="CI31" s="43" t="s">
        <v>2999</v>
      </c>
      <c r="CJ31" s="43" t="s">
        <v>3000</v>
      </c>
      <c r="CK31" s="43" t="s">
        <v>3001</v>
      </c>
      <c r="CL31" s="43" t="s">
        <v>3002</v>
      </c>
      <c r="CM31" s="43" t="s">
        <v>3003</v>
      </c>
      <c r="CN31" s="43" t="s">
        <v>3004</v>
      </c>
      <c r="CO31" s="43" t="s">
        <v>3005</v>
      </c>
      <c r="CP31" s="43" t="s">
        <v>3006</v>
      </c>
      <c r="CQ31" s="43" t="s">
        <v>3007</v>
      </c>
      <c r="CR31" s="67" t="s">
        <v>3008</v>
      </c>
    </row>
    <row r="32">
      <c r="A32" s="43" t="s">
        <v>2737</v>
      </c>
      <c r="AG32" s="100" t="s">
        <v>3561</v>
      </c>
      <c r="AH32" s="101" t="s">
        <v>3562</v>
      </c>
      <c r="AI32" s="101" t="s">
        <v>3563</v>
      </c>
      <c r="AJ32" s="101" t="s">
        <v>3564</v>
      </c>
      <c r="AK32" s="101" t="s">
        <v>3565</v>
      </c>
      <c r="AL32" s="101" t="s">
        <v>3566</v>
      </c>
      <c r="AM32" s="101" t="s">
        <v>3567</v>
      </c>
      <c r="AN32" s="101" t="s">
        <v>3568</v>
      </c>
      <c r="AO32" s="101" t="s">
        <v>3569</v>
      </c>
      <c r="AP32" s="101" t="s">
        <v>3570</v>
      </c>
      <c r="AQ32" s="101" t="s">
        <v>3571</v>
      </c>
      <c r="AR32" s="101" t="s">
        <v>3572</v>
      </c>
      <c r="AS32" s="101" t="s">
        <v>3573</v>
      </c>
      <c r="AT32" s="101" t="s">
        <v>3574</v>
      </c>
      <c r="AU32" s="101" t="s">
        <v>3575</v>
      </c>
      <c r="AV32" s="102" t="s">
        <v>3576</v>
      </c>
      <c r="AW32" s="100" t="s">
        <v>3577</v>
      </c>
      <c r="AX32" s="101" t="s">
        <v>3578</v>
      </c>
      <c r="AY32" s="101" t="s">
        <v>3579</v>
      </c>
      <c r="AZ32" s="101" t="s">
        <v>3580</v>
      </c>
      <c r="BA32" s="101" t="s">
        <v>3581</v>
      </c>
      <c r="BB32" s="101" t="s">
        <v>3582</v>
      </c>
      <c r="BC32" s="101" t="s">
        <v>3583</v>
      </c>
      <c r="BD32" s="101" t="s">
        <v>3584</v>
      </c>
      <c r="BE32" s="101" t="s">
        <v>3585</v>
      </c>
      <c r="BF32" s="101" t="s">
        <v>3586</v>
      </c>
      <c r="BG32" s="101" t="s">
        <v>3587</v>
      </c>
      <c r="BH32" s="101" t="s">
        <v>3588</v>
      </c>
      <c r="BI32" s="101" t="s">
        <v>3589</v>
      </c>
      <c r="BJ32" s="101" t="s">
        <v>3590</v>
      </c>
      <c r="BK32" s="101" t="s">
        <v>3591</v>
      </c>
      <c r="BL32" s="102" t="s">
        <v>3592</v>
      </c>
      <c r="BM32" s="100" t="s">
        <v>3577</v>
      </c>
      <c r="BN32" s="101" t="s">
        <v>3578</v>
      </c>
      <c r="BO32" s="101" t="s">
        <v>3593</v>
      </c>
      <c r="BP32" s="101" t="s">
        <v>3594</v>
      </c>
      <c r="BQ32" s="101" t="s">
        <v>3595</v>
      </c>
      <c r="BR32" s="101" t="s">
        <v>3596</v>
      </c>
      <c r="BS32" s="101" t="s">
        <v>3597</v>
      </c>
      <c r="BT32" s="101" t="s">
        <v>3584</v>
      </c>
      <c r="BU32" s="101" t="s">
        <v>3585</v>
      </c>
      <c r="BV32" s="101" t="s">
        <v>3598</v>
      </c>
      <c r="BW32" s="101" t="s">
        <v>3599</v>
      </c>
      <c r="BX32" s="101" t="s">
        <v>3600</v>
      </c>
      <c r="BY32" s="101" t="s">
        <v>3601</v>
      </c>
      <c r="BZ32" s="101" t="s">
        <v>3590</v>
      </c>
      <c r="CA32" s="101" t="s">
        <v>3591</v>
      </c>
      <c r="CB32" s="102" t="s">
        <v>3592</v>
      </c>
      <c r="CC32" s="57" t="s">
        <v>2735</v>
      </c>
      <c r="CD32" s="43" t="s">
        <v>3025</v>
      </c>
      <c r="CE32" s="43" t="s">
        <v>2825</v>
      </c>
      <c r="CF32" s="43" t="s">
        <v>3026</v>
      </c>
      <c r="CG32" s="43" t="s">
        <v>3027</v>
      </c>
      <c r="CH32" s="43" t="s">
        <v>3028</v>
      </c>
      <c r="CI32" s="43" t="s">
        <v>3029</v>
      </c>
      <c r="CJ32" s="43" t="s">
        <v>3030</v>
      </c>
      <c r="CK32" s="43" t="s">
        <v>3031</v>
      </c>
      <c r="CL32" s="43" t="s">
        <v>3032</v>
      </c>
      <c r="CM32" s="43" t="s">
        <v>3033</v>
      </c>
      <c r="CN32" s="43" t="s">
        <v>3034</v>
      </c>
      <c r="CO32" s="43" t="s">
        <v>3035</v>
      </c>
      <c r="CP32" s="43" t="s">
        <v>3036</v>
      </c>
      <c r="CQ32" s="43" t="s">
        <v>3037</v>
      </c>
      <c r="CR32" s="109"/>
    </row>
    <row r="33">
      <c r="A33" s="43" t="s">
        <v>2738</v>
      </c>
      <c r="AG33" s="110" t="s">
        <v>3602</v>
      </c>
      <c r="AH33" s="111" t="s">
        <v>3603</v>
      </c>
      <c r="AI33" s="111" t="s">
        <v>3604</v>
      </c>
      <c r="AJ33" s="111" t="s">
        <v>3605</v>
      </c>
      <c r="AK33" s="111" t="s">
        <v>3606</v>
      </c>
      <c r="AL33" s="111" t="s">
        <v>3607</v>
      </c>
      <c r="AM33" s="111" t="s">
        <v>3608</v>
      </c>
      <c r="AN33" s="111" t="s">
        <v>3609</v>
      </c>
      <c r="AO33" s="111" t="s">
        <v>3610</v>
      </c>
      <c r="AP33" s="111" t="s">
        <v>3611</v>
      </c>
      <c r="AQ33" s="111" t="s">
        <v>3612</v>
      </c>
      <c r="AR33" s="111" t="s">
        <v>3613</v>
      </c>
      <c r="AS33" s="111" t="s">
        <v>3614</v>
      </c>
      <c r="AT33" s="111" t="s">
        <v>3615</v>
      </c>
      <c r="AU33" s="111" t="s">
        <v>3616</v>
      </c>
      <c r="AV33" s="112" t="s">
        <v>3617</v>
      </c>
      <c r="AW33" s="110" t="s">
        <v>3618</v>
      </c>
      <c r="AX33" s="111" t="s">
        <v>3619</v>
      </c>
      <c r="AY33" s="111" t="s">
        <v>3620</v>
      </c>
      <c r="AZ33" s="111" t="s">
        <v>3621</v>
      </c>
      <c r="BA33" s="111" t="s">
        <v>3622</v>
      </c>
      <c r="BB33" s="111" t="s">
        <v>3623</v>
      </c>
      <c r="BC33" s="111" t="s">
        <v>3624</v>
      </c>
      <c r="BD33" s="111" t="s">
        <v>3625</v>
      </c>
      <c r="BE33" s="111" t="s">
        <v>3626</v>
      </c>
      <c r="BF33" s="111" t="s">
        <v>3627</v>
      </c>
      <c r="BG33" s="111" t="s">
        <v>3628</v>
      </c>
      <c r="BH33" s="111" t="s">
        <v>3629</v>
      </c>
      <c r="BI33" s="111" t="s">
        <v>3630</v>
      </c>
      <c r="BJ33" s="111" t="s">
        <v>3631</v>
      </c>
      <c r="BK33" s="111" t="s">
        <v>3632</v>
      </c>
      <c r="BL33" s="112" t="s">
        <v>3633</v>
      </c>
      <c r="BM33" s="110" t="s">
        <v>3634</v>
      </c>
      <c r="BN33" s="111" t="s">
        <v>3619</v>
      </c>
      <c r="BO33" s="111" t="s">
        <v>3620</v>
      </c>
      <c r="BP33" s="111" t="s">
        <v>3621</v>
      </c>
      <c r="BQ33" s="111" t="s">
        <v>3622</v>
      </c>
      <c r="BR33" s="111" t="s">
        <v>3623</v>
      </c>
      <c r="BS33" s="111" t="s">
        <v>3624</v>
      </c>
      <c r="BT33" s="111" t="s">
        <v>3625</v>
      </c>
      <c r="BU33" s="111" t="s">
        <v>3626</v>
      </c>
      <c r="BV33" s="111" t="s">
        <v>3627</v>
      </c>
      <c r="BW33" s="111" t="s">
        <v>3635</v>
      </c>
      <c r="BX33" s="111" t="s">
        <v>3629</v>
      </c>
      <c r="BY33" s="111" t="s">
        <v>3636</v>
      </c>
      <c r="BZ33" s="111" t="s">
        <v>3631</v>
      </c>
      <c r="CA33" s="111" t="s">
        <v>3637</v>
      </c>
      <c r="CB33" s="112" t="s">
        <v>3638</v>
      </c>
      <c r="CC33" s="84"/>
      <c r="CD33" s="85"/>
      <c r="CE33" s="85"/>
      <c r="CF33" s="85"/>
      <c r="CG33" s="89"/>
      <c r="CH33" s="85"/>
      <c r="CI33" s="85"/>
      <c r="CJ33" s="89"/>
      <c r="CK33" s="89"/>
      <c r="CL33" s="89"/>
      <c r="CM33" s="89"/>
      <c r="CN33" s="89"/>
      <c r="CO33" s="89"/>
      <c r="CP33" s="89"/>
      <c r="CQ33" s="89"/>
      <c r="CR33" s="113"/>
    </row>
    <row r="34">
      <c r="A34" s="43" t="s">
        <v>2739</v>
      </c>
      <c r="AG34" s="99" t="s">
        <v>3639</v>
      </c>
      <c r="AH34" s="97" t="s">
        <v>3640</v>
      </c>
      <c r="AI34" s="97" t="s">
        <v>3641</v>
      </c>
      <c r="AJ34" s="97" t="s">
        <v>3642</v>
      </c>
      <c r="AK34" s="97" t="s">
        <v>3643</v>
      </c>
      <c r="AL34" s="97" t="s">
        <v>3644</v>
      </c>
      <c r="AM34" s="97" t="s">
        <v>3645</v>
      </c>
      <c r="AN34" s="97" t="s">
        <v>3646</v>
      </c>
      <c r="AO34" s="97" t="s">
        <v>3647</v>
      </c>
      <c r="AP34" s="97" t="s">
        <v>3648</v>
      </c>
      <c r="AQ34" s="97" t="s">
        <v>3649</v>
      </c>
      <c r="AR34" s="97" t="s">
        <v>3650</v>
      </c>
      <c r="AS34" s="97" t="s">
        <v>3651</v>
      </c>
      <c r="AT34" s="97" t="s">
        <v>3652</v>
      </c>
      <c r="AU34" s="97" t="s">
        <v>3653</v>
      </c>
      <c r="AV34" s="98" t="s">
        <v>3654</v>
      </c>
      <c r="AW34" s="99" t="s">
        <v>3655</v>
      </c>
      <c r="AX34" s="97" t="s">
        <v>3656</v>
      </c>
      <c r="AY34" s="97" t="s">
        <v>3657</v>
      </c>
      <c r="AZ34" s="97" t="s">
        <v>3658</v>
      </c>
      <c r="BA34" s="97" t="s">
        <v>3659</v>
      </c>
      <c r="BB34" s="97" t="s">
        <v>3660</v>
      </c>
      <c r="BC34" s="97" t="s">
        <v>3661</v>
      </c>
      <c r="BD34" s="97" t="s">
        <v>3662</v>
      </c>
      <c r="BE34" s="97" t="s">
        <v>3663</v>
      </c>
      <c r="BF34" s="97" t="s">
        <v>3664</v>
      </c>
      <c r="BG34" s="97" t="s">
        <v>3665</v>
      </c>
      <c r="BH34" s="97" t="s">
        <v>3666</v>
      </c>
      <c r="BI34" s="97" t="s">
        <v>3667</v>
      </c>
      <c r="BJ34" s="97" t="s">
        <v>3668</v>
      </c>
      <c r="BK34" s="97" t="s">
        <v>3669</v>
      </c>
      <c r="BL34" s="98" t="s">
        <v>3670</v>
      </c>
      <c r="BM34" s="99" t="s">
        <v>3655</v>
      </c>
      <c r="BN34" s="97" t="s">
        <v>3656</v>
      </c>
      <c r="BO34" s="97" t="s">
        <v>3671</v>
      </c>
      <c r="BP34" s="97" t="s">
        <v>3658</v>
      </c>
      <c r="BQ34" s="97" t="s">
        <v>3672</v>
      </c>
      <c r="BR34" s="97" t="s">
        <v>3660</v>
      </c>
      <c r="BS34" s="97" t="s">
        <v>3661</v>
      </c>
      <c r="BT34" s="97" t="s">
        <v>3662</v>
      </c>
      <c r="BU34" s="97" t="s">
        <v>3673</v>
      </c>
      <c r="BV34" s="97" t="s">
        <v>3664</v>
      </c>
      <c r="BW34" s="97" t="s">
        <v>3665</v>
      </c>
      <c r="BX34" s="97" t="s">
        <v>3674</v>
      </c>
      <c r="BY34" s="97" t="s">
        <v>3675</v>
      </c>
      <c r="BZ34" s="97" t="s">
        <v>3668</v>
      </c>
      <c r="CA34" s="97" t="s">
        <v>3676</v>
      </c>
      <c r="CB34" s="98" t="s">
        <v>3670</v>
      </c>
      <c r="CC34" s="96"/>
      <c r="CD34" s="97" t="s">
        <v>3055</v>
      </c>
      <c r="CE34" s="97" t="s">
        <v>3056</v>
      </c>
      <c r="CF34" s="97" t="s">
        <v>3057</v>
      </c>
      <c r="CG34" s="97" t="s">
        <v>3058</v>
      </c>
      <c r="CH34" s="97" t="s">
        <v>3059</v>
      </c>
      <c r="CI34" s="97" t="s">
        <v>3060</v>
      </c>
      <c r="CJ34" s="97" t="s">
        <v>3061</v>
      </c>
      <c r="CK34" s="97" t="s">
        <v>3062</v>
      </c>
      <c r="CL34" s="97" t="s">
        <v>3063</v>
      </c>
      <c r="CM34" s="97" t="s">
        <v>3064</v>
      </c>
      <c r="CN34" s="97" t="s">
        <v>3065</v>
      </c>
      <c r="CO34" s="97" t="s">
        <v>3066</v>
      </c>
      <c r="CP34" s="97" t="s">
        <v>3067</v>
      </c>
      <c r="CQ34" s="97" t="s">
        <v>3068</v>
      </c>
      <c r="CR34" s="98" t="s">
        <v>3069</v>
      </c>
    </row>
    <row r="35">
      <c r="A35" s="43" t="s">
        <v>2804</v>
      </c>
      <c r="D35" s="103" t="s">
        <v>3677</v>
      </c>
      <c r="G35" s="108" t="s">
        <v>3678</v>
      </c>
      <c r="AG35" s="100" t="s">
        <v>3679</v>
      </c>
      <c r="AH35" s="101" t="s">
        <v>3680</v>
      </c>
      <c r="AI35" s="101" t="s">
        <v>3681</v>
      </c>
      <c r="AJ35" s="101" t="s">
        <v>3682</v>
      </c>
      <c r="AK35" s="101" t="s">
        <v>3683</v>
      </c>
      <c r="AL35" s="101" t="s">
        <v>3684</v>
      </c>
      <c r="AM35" s="101" t="s">
        <v>3685</v>
      </c>
      <c r="AN35" s="101" t="s">
        <v>3686</v>
      </c>
      <c r="AO35" s="101" t="s">
        <v>3687</v>
      </c>
      <c r="AP35" s="101" t="s">
        <v>3688</v>
      </c>
      <c r="AQ35" s="101" t="s">
        <v>3689</v>
      </c>
      <c r="AR35" s="101" t="s">
        <v>3690</v>
      </c>
      <c r="AS35" s="101" t="s">
        <v>3691</v>
      </c>
      <c r="AT35" s="101" t="s">
        <v>3692</v>
      </c>
      <c r="AU35" s="101" t="s">
        <v>3693</v>
      </c>
      <c r="AV35" s="102" t="s">
        <v>3694</v>
      </c>
      <c r="AW35" s="100" t="s">
        <v>3695</v>
      </c>
      <c r="AX35" s="101" t="s">
        <v>3696</v>
      </c>
      <c r="AY35" s="101" t="s">
        <v>3697</v>
      </c>
      <c r="AZ35" s="101" t="s">
        <v>3698</v>
      </c>
      <c r="BA35" s="101" t="s">
        <v>3699</v>
      </c>
      <c r="BB35" s="101" t="s">
        <v>3700</v>
      </c>
      <c r="BC35" s="101" t="s">
        <v>3701</v>
      </c>
      <c r="BD35" s="101" t="s">
        <v>3702</v>
      </c>
      <c r="BE35" s="101" t="s">
        <v>3703</v>
      </c>
      <c r="BF35" s="101" t="s">
        <v>3704</v>
      </c>
      <c r="BG35" s="101" t="s">
        <v>3705</v>
      </c>
      <c r="BH35" s="101" t="s">
        <v>3706</v>
      </c>
      <c r="BI35" s="101" t="s">
        <v>3707</v>
      </c>
      <c r="BJ35" s="101" t="s">
        <v>3708</v>
      </c>
      <c r="BK35" s="101" t="s">
        <v>3709</v>
      </c>
      <c r="BL35" s="102" t="s">
        <v>3710</v>
      </c>
      <c r="BM35" s="100" t="s">
        <v>3711</v>
      </c>
      <c r="BN35" s="101" t="s">
        <v>3696</v>
      </c>
      <c r="BO35" s="101" t="s">
        <v>3712</v>
      </c>
      <c r="BP35" s="101" t="s">
        <v>3713</v>
      </c>
      <c r="BQ35" s="101" t="s">
        <v>3714</v>
      </c>
      <c r="BR35" s="101" t="s">
        <v>3700</v>
      </c>
      <c r="BS35" s="101" t="s">
        <v>3715</v>
      </c>
      <c r="BT35" s="101" t="s">
        <v>3716</v>
      </c>
      <c r="BU35" s="101" t="s">
        <v>3717</v>
      </c>
      <c r="BV35" s="101" t="s">
        <v>3718</v>
      </c>
      <c r="BW35" s="101" t="s">
        <v>3719</v>
      </c>
      <c r="BX35" s="101" t="s">
        <v>3720</v>
      </c>
      <c r="BY35" s="101" t="s">
        <v>3721</v>
      </c>
      <c r="BZ35" s="101" t="s">
        <v>3722</v>
      </c>
      <c r="CA35" s="101" t="s">
        <v>3723</v>
      </c>
      <c r="CB35" s="102" t="s">
        <v>3724</v>
      </c>
      <c r="CC35" s="100" t="s">
        <v>3090</v>
      </c>
      <c r="CD35" s="101" t="s">
        <v>3091</v>
      </c>
      <c r="CE35" s="101" t="s">
        <v>3092</v>
      </c>
      <c r="CF35" s="101" t="s">
        <v>3093</v>
      </c>
      <c r="CG35" s="101" t="s">
        <v>3094</v>
      </c>
      <c r="CH35" s="101" t="s">
        <v>3095</v>
      </c>
      <c r="CI35" s="101" t="s">
        <v>3096</v>
      </c>
      <c r="CJ35" s="101" t="s">
        <v>3097</v>
      </c>
      <c r="CK35" s="101" t="s">
        <v>3098</v>
      </c>
      <c r="CL35" s="101" t="s">
        <v>3099</v>
      </c>
      <c r="CM35" s="101" t="s">
        <v>3100</v>
      </c>
      <c r="CN35" s="101" t="s">
        <v>3101</v>
      </c>
      <c r="CO35" s="101" t="s">
        <v>3102</v>
      </c>
      <c r="CP35" s="101" t="s">
        <v>3103</v>
      </c>
      <c r="CQ35" s="101" t="s">
        <v>3104</v>
      </c>
      <c r="CR35" s="102" t="s">
        <v>3105</v>
      </c>
    </row>
    <row r="36">
      <c r="A36" s="43" t="s">
        <v>2805</v>
      </c>
      <c r="AG36" s="100" t="s">
        <v>3725</v>
      </c>
      <c r="AH36" s="101" t="s">
        <v>3726</v>
      </c>
      <c r="AI36" s="101" t="s">
        <v>3727</v>
      </c>
      <c r="AJ36" s="101" t="s">
        <v>3728</v>
      </c>
      <c r="AK36" s="101" t="s">
        <v>3729</v>
      </c>
      <c r="AL36" s="101" t="s">
        <v>3730</v>
      </c>
      <c r="AM36" s="101" t="s">
        <v>3731</v>
      </c>
      <c r="AN36" s="101" t="s">
        <v>3732</v>
      </c>
      <c r="AO36" s="101" t="s">
        <v>3733</v>
      </c>
      <c r="AP36" s="101" t="s">
        <v>3734</v>
      </c>
      <c r="AQ36" s="101" t="s">
        <v>3735</v>
      </c>
      <c r="AR36" s="101" t="s">
        <v>3736</v>
      </c>
      <c r="AS36" s="101" t="s">
        <v>3737</v>
      </c>
      <c r="AT36" s="101" t="s">
        <v>3738</v>
      </c>
      <c r="AU36" s="101" t="s">
        <v>3739</v>
      </c>
      <c r="AV36" s="107"/>
      <c r="AW36" s="100" t="s">
        <v>3740</v>
      </c>
      <c r="AX36" s="101" t="s">
        <v>3741</v>
      </c>
      <c r="AY36" s="101" t="s">
        <v>3742</v>
      </c>
      <c r="AZ36" s="101" t="s">
        <v>3743</v>
      </c>
      <c r="BA36" s="101" t="s">
        <v>3744</v>
      </c>
      <c r="BB36" s="101" t="s">
        <v>3745</v>
      </c>
      <c r="BC36" s="101" t="s">
        <v>3746</v>
      </c>
      <c r="BD36" s="101" t="s">
        <v>3747</v>
      </c>
      <c r="BE36" s="101" t="s">
        <v>3748</v>
      </c>
      <c r="BF36" s="101" t="s">
        <v>3749</v>
      </c>
      <c r="BG36" s="101" t="s">
        <v>3750</v>
      </c>
      <c r="BH36" s="101" t="s">
        <v>3751</v>
      </c>
      <c r="BI36" s="101" t="s">
        <v>3752</v>
      </c>
      <c r="BJ36" s="101" t="s">
        <v>3753</v>
      </c>
      <c r="BK36" s="101" t="s">
        <v>3754</v>
      </c>
      <c r="BL36" s="102" t="s">
        <v>3755</v>
      </c>
      <c r="BM36" s="100" t="s">
        <v>3756</v>
      </c>
      <c r="BN36" s="101" t="s">
        <v>3741</v>
      </c>
      <c r="BO36" s="101" t="s">
        <v>3757</v>
      </c>
      <c r="BP36" s="101" t="s">
        <v>3758</v>
      </c>
      <c r="BQ36" s="101" t="s">
        <v>3759</v>
      </c>
      <c r="BR36" s="101" t="s">
        <v>3760</v>
      </c>
      <c r="BS36" s="101" t="s">
        <v>3761</v>
      </c>
      <c r="BT36" s="101" t="s">
        <v>3762</v>
      </c>
      <c r="BU36" s="101" t="s">
        <v>3763</v>
      </c>
      <c r="BV36" s="101" t="s">
        <v>3764</v>
      </c>
      <c r="BW36" s="101" t="s">
        <v>3765</v>
      </c>
      <c r="BX36" s="101" t="s">
        <v>3766</v>
      </c>
      <c r="BY36" s="101" t="s">
        <v>3752</v>
      </c>
      <c r="BZ36" s="101" t="s">
        <v>3753</v>
      </c>
      <c r="CA36" s="101" t="s">
        <v>3754</v>
      </c>
      <c r="CB36" s="102" t="s">
        <v>3755</v>
      </c>
      <c r="CC36" s="100" t="s">
        <v>3126</v>
      </c>
      <c r="CD36" s="101" t="s">
        <v>3127</v>
      </c>
      <c r="CE36" s="101" t="s">
        <v>3128</v>
      </c>
      <c r="CF36" s="101" t="s">
        <v>3129</v>
      </c>
      <c r="CG36" s="101" t="s">
        <v>3130</v>
      </c>
      <c r="CH36" s="101" t="s">
        <v>3131</v>
      </c>
      <c r="CI36" s="101" t="s">
        <v>3132</v>
      </c>
      <c r="CJ36" s="101" t="s">
        <v>3133</v>
      </c>
      <c r="CK36" s="101" t="s">
        <v>3134</v>
      </c>
      <c r="CL36" s="101" t="s">
        <v>3135</v>
      </c>
      <c r="CM36" s="101" t="s">
        <v>3136</v>
      </c>
      <c r="CN36" s="101" t="s">
        <v>3137</v>
      </c>
      <c r="CO36" s="101" t="s">
        <v>3138</v>
      </c>
      <c r="CP36" s="101" t="s">
        <v>3139</v>
      </c>
      <c r="CQ36" s="101" t="s">
        <v>3140</v>
      </c>
      <c r="CR36" s="102" t="s">
        <v>3141</v>
      </c>
    </row>
    <row r="37">
      <c r="A37" s="43" t="s">
        <v>2826</v>
      </c>
      <c r="D37" s="103" t="s">
        <v>3767</v>
      </c>
      <c r="G37" s="108" t="s">
        <v>3768</v>
      </c>
      <c r="AG37" s="105"/>
      <c r="AH37" s="101" t="s">
        <v>3769</v>
      </c>
      <c r="AI37" s="101" t="s">
        <v>3770</v>
      </c>
      <c r="AJ37" s="101" t="s">
        <v>3771</v>
      </c>
      <c r="AK37" s="101" t="s">
        <v>3772</v>
      </c>
      <c r="AL37" s="101" t="s">
        <v>3773</v>
      </c>
      <c r="AM37" s="101" t="s">
        <v>3774</v>
      </c>
      <c r="AN37" s="101" t="s">
        <v>3775</v>
      </c>
      <c r="AO37" s="101" t="s">
        <v>3776</v>
      </c>
      <c r="AP37" s="101" t="s">
        <v>3777</v>
      </c>
      <c r="AQ37" s="101" t="s">
        <v>3778</v>
      </c>
      <c r="AR37" s="101" t="s">
        <v>3779</v>
      </c>
      <c r="AS37" s="101" t="s">
        <v>3780</v>
      </c>
      <c r="AT37" s="101" t="s">
        <v>3781</v>
      </c>
      <c r="AU37" s="101" t="s">
        <v>3782</v>
      </c>
      <c r="AV37" s="102" t="s">
        <v>3783</v>
      </c>
      <c r="AW37" s="100" t="s">
        <v>3784</v>
      </c>
      <c r="AX37" s="101" t="s">
        <v>3785</v>
      </c>
      <c r="AY37" s="101" t="s">
        <v>3786</v>
      </c>
      <c r="AZ37" s="101" t="s">
        <v>3787</v>
      </c>
      <c r="BA37" s="101" t="s">
        <v>3788</v>
      </c>
      <c r="BB37" s="101" t="s">
        <v>3789</v>
      </c>
      <c r="BC37" s="101" t="s">
        <v>3790</v>
      </c>
      <c r="BD37" s="101" t="s">
        <v>3791</v>
      </c>
      <c r="BE37" s="101" t="s">
        <v>3792</v>
      </c>
      <c r="BF37" s="101" t="s">
        <v>3793</v>
      </c>
      <c r="BG37" s="101" t="s">
        <v>3794</v>
      </c>
      <c r="BH37" s="101" t="s">
        <v>3795</v>
      </c>
      <c r="BI37" s="101" t="s">
        <v>3796</v>
      </c>
      <c r="BJ37" s="101" t="s">
        <v>3797</v>
      </c>
      <c r="BK37" s="101" t="s">
        <v>3798</v>
      </c>
      <c r="BL37" s="102" t="s">
        <v>3799</v>
      </c>
      <c r="BM37" s="100" t="s">
        <v>3784</v>
      </c>
      <c r="BN37" s="101" t="s">
        <v>3785</v>
      </c>
      <c r="BO37" s="101" t="s">
        <v>3786</v>
      </c>
      <c r="BP37" s="101" t="s">
        <v>3787</v>
      </c>
      <c r="BQ37" s="101" t="s">
        <v>3788</v>
      </c>
      <c r="BR37" s="101" t="s">
        <v>3789</v>
      </c>
      <c r="BS37" s="101" t="s">
        <v>3790</v>
      </c>
      <c r="BT37" s="101" t="s">
        <v>3791</v>
      </c>
      <c r="BU37" s="101" t="s">
        <v>3792</v>
      </c>
      <c r="BV37" s="101" t="s">
        <v>3793</v>
      </c>
      <c r="BW37" s="101" t="s">
        <v>3794</v>
      </c>
      <c r="BX37" s="101" t="s">
        <v>3795</v>
      </c>
      <c r="BY37" s="101" t="s">
        <v>3796</v>
      </c>
      <c r="BZ37" s="101" t="s">
        <v>3797</v>
      </c>
      <c r="CA37" s="101" t="s">
        <v>3798</v>
      </c>
      <c r="CB37" s="102" t="s">
        <v>3799</v>
      </c>
      <c r="CC37" s="100" t="s">
        <v>3164</v>
      </c>
      <c r="CD37" s="101" t="s">
        <v>3165</v>
      </c>
      <c r="CE37" s="101" t="s">
        <v>3166</v>
      </c>
      <c r="CF37" s="101" t="s">
        <v>3167</v>
      </c>
      <c r="CG37" s="101" t="s">
        <v>3168</v>
      </c>
      <c r="CH37" s="101" t="s">
        <v>3169</v>
      </c>
      <c r="CI37" s="101" t="s">
        <v>3170</v>
      </c>
      <c r="CJ37" s="101" t="s">
        <v>3171</v>
      </c>
      <c r="CK37" s="101" t="s">
        <v>3172</v>
      </c>
      <c r="CL37" s="101" t="s">
        <v>3173</v>
      </c>
      <c r="CM37" s="101" t="s">
        <v>3174</v>
      </c>
      <c r="CN37" s="101" t="s">
        <v>3175</v>
      </c>
      <c r="CO37" s="101" t="s">
        <v>3176</v>
      </c>
      <c r="CP37" s="101" t="s">
        <v>3177</v>
      </c>
      <c r="CQ37" s="101" t="s">
        <v>3178</v>
      </c>
      <c r="CR37" s="102" t="s">
        <v>3179</v>
      </c>
    </row>
    <row r="38">
      <c r="A38" s="43" t="s">
        <v>2827</v>
      </c>
      <c r="AG38" s="100" t="s">
        <v>3800</v>
      </c>
      <c r="AH38" s="101" t="s">
        <v>3801</v>
      </c>
      <c r="AI38" s="101" t="s">
        <v>3802</v>
      </c>
      <c r="AJ38" s="101" t="s">
        <v>3803</v>
      </c>
      <c r="AK38" s="101" t="s">
        <v>3804</v>
      </c>
      <c r="AL38" s="101" t="s">
        <v>3805</v>
      </c>
      <c r="AM38" s="101" t="s">
        <v>3806</v>
      </c>
      <c r="AN38" s="101" t="s">
        <v>3807</v>
      </c>
      <c r="AO38" s="101" t="s">
        <v>3808</v>
      </c>
      <c r="AP38" s="101" t="s">
        <v>3809</v>
      </c>
      <c r="AQ38" s="101" t="s">
        <v>3810</v>
      </c>
      <c r="AR38" s="101" t="s">
        <v>3811</v>
      </c>
      <c r="AS38" s="101" t="s">
        <v>3812</v>
      </c>
      <c r="AT38" s="101" t="s">
        <v>3813</v>
      </c>
      <c r="AU38" s="101" t="s">
        <v>3814</v>
      </c>
      <c r="AV38" s="102" t="s">
        <v>3815</v>
      </c>
      <c r="AW38" s="100" t="s">
        <v>3816</v>
      </c>
      <c r="AX38" s="101" t="s">
        <v>3817</v>
      </c>
      <c r="AY38" s="101" t="s">
        <v>3818</v>
      </c>
      <c r="AZ38" s="101" t="s">
        <v>3819</v>
      </c>
      <c r="BA38" s="101" t="s">
        <v>3820</v>
      </c>
      <c r="BB38" s="101" t="s">
        <v>3821</v>
      </c>
      <c r="BC38" s="101" t="s">
        <v>3822</v>
      </c>
      <c r="BD38" s="101" t="s">
        <v>3823</v>
      </c>
      <c r="BE38" s="101" t="s">
        <v>3824</v>
      </c>
      <c r="BF38" s="101" t="s">
        <v>3825</v>
      </c>
      <c r="BG38" s="101" t="s">
        <v>3826</v>
      </c>
      <c r="BH38" s="101" t="s">
        <v>3827</v>
      </c>
      <c r="BI38" s="101" t="s">
        <v>3828</v>
      </c>
      <c r="BJ38" s="101" t="s">
        <v>3829</v>
      </c>
      <c r="BK38" s="101" t="s">
        <v>3830</v>
      </c>
      <c r="BL38" s="102" t="s">
        <v>3831</v>
      </c>
      <c r="BM38" s="100" t="s">
        <v>3816</v>
      </c>
      <c r="BN38" s="101" t="s">
        <v>3817</v>
      </c>
      <c r="BO38" s="101" t="s">
        <v>3818</v>
      </c>
      <c r="BP38" s="101" t="s">
        <v>3819</v>
      </c>
      <c r="BQ38" s="101" t="s">
        <v>3820</v>
      </c>
      <c r="BR38" s="101" t="s">
        <v>3821</v>
      </c>
      <c r="BS38" s="101" t="s">
        <v>3822</v>
      </c>
      <c r="BT38" s="101" t="s">
        <v>3823</v>
      </c>
      <c r="BU38" s="101" t="s">
        <v>3824</v>
      </c>
      <c r="BV38" s="101" t="s">
        <v>3825</v>
      </c>
      <c r="BW38" s="101" t="s">
        <v>3826</v>
      </c>
      <c r="BX38" s="101" t="s">
        <v>3827</v>
      </c>
      <c r="BY38" s="101" t="s">
        <v>3828</v>
      </c>
      <c r="BZ38" s="101" t="s">
        <v>3829</v>
      </c>
      <c r="CA38" s="101" t="s">
        <v>3830</v>
      </c>
      <c r="CB38" s="102" t="s">
        <v>3831</v>
      </c>
      <c r="CC38" s="100" t="s">
        <v>3200</v>
      </c>
      <c r="CD38" s="101" t="s">
        <v>3201</v>
      </c>
      <c r="CE38" s="101" t="s">
        <v>3202</v>
      </c>
      <c r="CF38" s="101" t="s">
        <v>3203</v>
      </c>
      <c r="CG38" s="101" t="s">
        <v>3204</v>
      </c>
      <c r="CH38" s="101" t="s">
        <v>3205</v>
      </c>
      <c r="CI38" s="101" t="s">
        <v>3206</v>
      </c>
      <c r="CJ38" s="101" t="s">
        <v>3207</v>
      </c>
      <c r="CK38" s="101" t="s">
        <v>3208</v>
      </c>
      <c r="CL38" s="101" t="s">
        <v>3209</v>
      </c>
      <c r="CM38" s="101" t="s">
        <v>3210</v>
      </c>
      <c r="CN38" s="101" t="s">
        <v>3211</v>
      </c>
      <c r="CO38" s="101" t="s">
        <v>3212</v>
      </c>
      <c r="CP38" s="101" t="s">
        <v>3213</v>
      </c>
      <c r="CQ38" s="101" t="s">
        <v>3214</v>
      </c>
      <c r="CR38" s="102" t="s">
        <v>3215</v>
      </c>
    </row>
    <row r="39">
      <c r="A39" s="43" t="s">
        <v>2825</v>
      </c>
      <c r="AG39" s="105"/>
      <c r="AH39" s="106"/>
      <c r="AI39" s="106"/>
      <c r="AJ39" s="106"/>
      <c r="AK39" s="106"/>
      <c r="AL39" s="106"/>
      <c r="AM39" s="106"/>
      <c r="AN39" s="106"/>
      <c r="AO39" s="106"/>
      <c r="AP39" s="106"/>
      <c r="AQ39" s="106"/>
      <c r="AR39" s="106"/>
      <c r="AS39" s="106"/>
      <c r="AT39" s="106"/>
      <c r="AU39" s="106"/>
      <c r="AV39" s="107"/>
      <c r="AW39" s="100" t="s">
        <v>3832</v>
      </c>
      <c r="AX39" s="101" t="s">
        <v>3833</v>
      </c>
      <c r="AY39" s="101" t="s">
        <v>3834</v>
      </c>
      <c r="AZ39" s="101" t="s">
        <v>3835</v>
      </c>
      <c r="BA39" s="101" t="s">
        <v>3836</v>
      </c>
      <c r="BB39" s="101" t="s">
        <v>3837</v>
      </c>
      <c r="BC39" s="101" t="s">
        <v>3838</v>
      </c>
      <c r="BD39" s="101" t="s">
        <v>3839</v>
      </c>
      <c r="BE39" s="101" t="s">
        <v>3840</v>
      </c>
      <c r="BF39" s="101" t="s">
        <v>3841</v>
      </c>
      <c r="BG39" s="101" t="s">
        <v>3842</v>
      </c>
      <c r="BH39" s="101" t="s">
        <v>3843</v>
      </c>
      <c r="BI39" s="101" t="s">
        <v>3844</v>
      </c>
      <c r="BJ39" s="101" t="s">
        <v>3845</v>
      </c>
      <c r="BK39" s="101" t="s">
        <v>3846</v>
      </c>
      <c r="BL39" s="102" t="s">
        <v>3847</v>
      </c>
      <c r="BM39" s="100" t="s">
        <v>3848</v>
      </c>
      <c r="BN39" s="101" t="s">
        <v>3849</v>
      </c>
      <c r="BO39" s="101" t="s">
        <v>3834</v>
      </c>
      <c r="BP39" s="101" t="s">
        <v>3835</v>
      </c>
      <c r="BQ39" s="101" t="s">
        <v>3836</v>
      </c>
      <c r="BR39" s="101" t="s">
        <v>3837</v>
      </c>
      <c r="BS39" s="101" t="s">
        <v>3838</v>
      </c>
      <c r="BT39" s="101" t="s">
        <v>3839</v>
      </c>
      <c r="BU39" s="101" t="s">
        <v>3840</v>
      </c>
      <c r="BV39" s="101" t="s">
        <v>3841</v>
      </c>
      <c r="BW39" s="101" t="s">
        <v>3842</v>
      </c>
      <c r="BX39" s="101" t="s">
        <v>3843</v>
      </c>
      <c r="BY39" s="101" t="s">
        <v>3844</v>
      </c>
      <c r="BZ39" s="101" t="s">
        <v>3850</v>
      </c>
      <c r="CA39" s="101" t="s">
        <v>3851</v>
      </c>
      <c r="CB39" s="102" t="s">
        <v>3847</v>
      </c>
      <c r="CC39" s="100" t="s">
        <v>3256</v>
      </c>
      <c r="CD39" s="101" t="s">
        <v>3257</v>
      </c>
      <c r="CE39" s="101" t="s">
        <v>3258</v>
      </c>
      <c r="CF39" s="101" t="s">
        <v>3259</v>
      </c>
      <c r="CG39" s="101" t="s">
        <v>3260</v>
      </c>
      <c r="CH39" s="101" t="s">
        <v>3261</v>
      </c>
      <c r="CI39" s="101" t="s">
        <v>3262</v>
      </c>
      <c r="CJ39" s="101" t="s">
        <v>3263</v>
      </c>
      <c r="CK39" s="101" t="s">
        <v>3264</v>
      </c>
      <c r="CL39" s="101" t="s">
        <v>3265</v>
      </c>
      <c r="CM39" s="101" t="s">
        <v>3266</v>
      </c>
      <c r="CN39" s="101" t="s">
        <v>3267</v>
      </c>
      <c r="CO39" s="101" t="s">
        <v>3268</v>
      </c>
      <c r="CP39" s="101" t="s">
        <v>3269</v>
      </c>
      <c r="CQ39" s="101" t="s">
        <v>3270</v>
      </c>
      <c r="CR39" s="107"/>
    </row>
    <row r="40">
      <c r="A40" s="43" t="s">
        <v>2828</v>
      </c>
      <c r="AG40" s="100" t="s">
        <v>3852</v>
      </c>
      <c r="AH40" s="101" t="s">
        <v>3853</v>
      </c>
      <c r="AI40" s="101" t="s">
        <v>3854</v>
      </c>
      <c r="AJ40" s="101" t="s">
        <v>3855</v>
      </c>
      <c r="AK40" s="101" t="s">
        <v>3856</v>
      </c>
      <c r="AL40" s="101" t="s">
        <v>3857</v>
      </c>
      <c r="AM40" s="101" t="s">
        <v>3858</v>
      </c>
      <c r="AN40" s="101" t="s">
        <v>3859</v>
      </c>
      <c r="AO40" s="101" t="s">
        <v>3860</v>
      </c>
      <c r="AP40" s="101" t="s">
        <v>3861</v>
      </c>
      <c r="AQ40" s="101" t="s">
        <v>3862</v>
      </c>
      <c r="AR40" s="101" t="s">
        <v>3863</v>
      </c>
      <c r="AS40" s="101" t="s">
        <v>3864</v>
      </c>
      <c r="AT40" s="101" t="s">
        <v>3865</v>
      </c>
      <c r="AU40" s="101" t="s">
        <v>3866</v>
      </c>
      <c r="AV40" s="102" t="s">
        <v>3867</v>
      </c>
      <c r="AW40" s="100" t="s">
        <v>3868</v>
      </c>
      <c r="AX40" s="101" t="s">
        <v>3869</v>
      </c>
      <c r="AY40" s="101" t="s">
        <v>3870</v>
      </c>
      <c r="AZ40" s="101" t="s">
        <v>3871</v>
      </c>
      <c r="BA40" s="101" t="s">
        <v>3872</v>
      </c>
      <c r="BB40" s="101" t="s">
        <v>3873</v>
      </c>
      <c r="BC40" s="101" t="s">
        <v>3874</v>
      </c>
      <c r="BD40" s="101" t="s">
        <v>3875</v>
      </c>
      <c r="BE40" s="101" t="s">
        <v>3876</v>
      </c>
      <c r="BF40" s="101" t="s">
        <v>3877</v>
      </c>
      <c r="BG40" s="101" t="s">
        <v>3878</v>
      </c>
      <c r="BH40" s="101" t="s">
        <v>3879</v>
      </c>
      <c r="BI40" s="101" t="s">
        <v>3880</v>
      </c>
      <c r="BJ40" s="101" t="s">
        <v>3881</v>
      </c>
      <c r="BK40" s="101" t="s">
        <v>3882</v>
      </c>
      <c r="BL40" s="102" t="s">
        <v>3883</v>
      </c>
      <c r="BM40" s="100" t="s">
        <v>3868</v>
      </c>
      <c r="BN40" s="101" t="s">
        <v>3869</v>
      </c>
      <c r="BO40" s="101" t="s">
        <v>3870</v>
      </c>
      <c r="BP40" s="101" t="s">
        <v>3871</v>
      </c>
      <c r="BQ40" s="101" t="s">
        <v>3872</v>
      </c>
      <c r="BR40" s="101" t="s">
        <v>3873</v>
      </c>
      <c r="BS40" s="101" t="s">
        <v>3884</v>
      </c>
      <c r="BT40" s="101" t="s">
        <v>3875</v>
      </c>
      <c r="BU40" s="101" t="s">
        <v>3876</v>
      </c>
      <c r="BV40" s="101" t="s">
        <v>3877</v>
      </c>
      <c r="BW40" s="101" t="s">
        <v>3878</v>
      </c>
      <c r="BX40" s="101" t="s">
        <v>3879</v>
      </c>
      <c r="BY40" s="101" t="s">
        <v>3885</v>
      </c>
      <c r="BZ40" s="101" t="s">
        <v>3881</v>
      </c>
      <c r="CA40" s="101" t="s">
        <v>3886</v>
      </c>
      <c r="CB40" s="102" t="s">
        <v>3883</v>
      </c>
      <c r="CC40" s="105"/>
      <c r="CD40" s="101" t="s">
        <v>3293</v>
      </c>
      <c r="CE40" s="101" t="s">
        <v>3294</v>
      </c>
      <c r="CF40" s="101" t="s">
        <v>3295</v>
      </c>
      <c r="CG40" s="101" t="s">
        <v>3296</v>
      </c>
      <c r="CH40" s="101" t="s">
        <v>3297</v>
      </c>
      <c r="CI40" s="101" t="s">
        <v>3298</v>
      </c>
      <c r="CJ40" s="101" t="s">
        <v>3299</v>
      </c>
      <c r="CK40" s="101" t="s">
        <v>3300</v>
      </c>
      <c r="CL40" s="101" t="s">
        <v>3301</v>
      </c>
      <c r="CM40" s="101" t="s">
        <v>3302</v>
      </c>
      <c r="CN40" s="101" t="s">
        <v>3303</v>
      </c>
      <c r="CO40" s="101" t="s">
        <v>3304</v>
      </c>
      <c r="CP40" s="101" t="s">
        <v>3305</v>
      </c>
      <c r="CQ40" s="101" t="s">
        <v>3306</v>
      </c>
      <c r="CR40" s="102" t="s">
        <v>3307</v>
      </c>
    </row>
    <row r="41">
      <c r="A41" s="43" t="s">
        <v>3887</v>
      </c>
      <c r="D41" s="103" t="s">
        <v>3888</v>
      </c>
      <c r="G41" s="108" t="s">
        <v>3889</v>
      </c>
      <c r="AG41" s="100" t="s">
        <v>3890</v>
      </c>
      <c r="AH41" s="101" t="s">
        <v>3891</v>
      </c>
      <c r="AI41" s="101" t="s">
        <v>3892</v>
      </c>
      <c r="AJ41" s="101" t="s">
        <v>3893</v>
      </c>
      <c r="AK41" s="101" t="s">
        <v>3894</v>
      </c>
      <c r="AL41" s="101" t="s">
        <v>3895</v>
      </c>
      <c r="AM41" s="101" t="s">
        <v>3896</v>
      </c>
      <c r="AN41" s="101" t="s">
        <v>3897</v>
      </c>
      <c r="AO41" s="101" t="s">
        <v>3898</v>
      </c>
      <c r="AP41" s="101" t="s">
        <v>3899</v>
      </c>
      <c r="AQ41" s="101" t="s">
        <v>3900</v>
      </c>
      <c r="AR41" s="101" t="s">
        <v>3901</v>
      </c>
      <c r="AS41" s="101" t="s">
        <v>3902</v>
      </c>
      <c r="AT41" s="101" t="s">
        <v>3903</v>
      </c>
      <c r="AU41" s="101" t="s">
        <v>3904</v>
      </c>
      <c r="AV41" s="102" t="s">
        <v>3905</v>
      </c>
      <c r="AW41" s="100" t="s">
        <v>3906</v>
      </c>
      <c r="AX41" s="101" t="s">
        <v>3907</v>
      </c>
      <c r="AY41" s="101" t="s">
        <v>3908</v>
      </c>
      <c r="AZ41" s="101" t="s">
        <v>3909</v>
      </c>
      <c r="BA41" s="101" t="s">
        <v>3910</v>
      </c>
      <c r="BB41" s="101" t="s">
        <v>3911</v>
      </c>
      <c r="BC41" s="101" t="s">
        <v>3912</v>
      </c>
      <c r="BD41" s="101" t="s">
        <v>3913</v>
      </c>
      <c r="BE41" s="101" t="s">
        <v>3914</v>
      </c>
      <c r="BF41" s="101" t="s">
        <v>3915</v>
      </c>
      <c r="BG41" s="101" t="s">
        <v>3916</v>
      </c>
      <c r="BH41" s="101" t="s">
        <v>3917</v>
      </c>
      <c r="BI41" s="101" t="s">
        <v>3918</v>
      </c>
      <c r="BJ41" s="101" t="s">
        <v>3919</v>
      </c>
      <c r="BK41" s="101" t="s">
        <v>3920</v>
      </c>
      <c r="BL41" s="102" t="s">
        <v>3921</v>
      </c>
      <c r="BM41" s="100" t="s">
        <v>3906</v>
      </c>
      <c r="BN41" s="101" t="s">
        <v>3907</v>
      </c>
      <c r="BO41" s="101" t="s">
        <v>3908</v>
      </c>
      <c r="BP41" s="101" t="s">
        <v>3909</v>
      </c>
      <c r="BQ41" s="101" t="s">
        <v>3910</v>
      </c>
      <c r="BR41" s="101" t="s">
        <v>3911</v>
      </c>
      <c r="BS41" s="101" t="s">
        <v>3922</v>
      </c>
      <c r="BT41" s="101" t="s">
        <v>3923</v>
      </c>
      <c r="BU41" s="101" t="s">
        <v>3924</v>
      </c>
      <c r="BV41" s="101" t="s">
        <v>3915</v>
      </c>
      <c r="BW41" s="101" t="s">
        <v>3916</v>
      </c>
      <c r="BX41" s="101" t="s">
        <v>3917</v>
      </c>
      <c r="BY41" s="101" t="s">
        <v>3918</v>
      </c>
      <c r="BZ41" s="101" t="s">
        <v>3919</v>
      </c>
      <c r="CA41" s="101" t="s">
        <v>3920</v>
      </c>
      <c r="CB41" s="102" t="s">
        <v>3921</v>
      </c>
      <c r="CC41" s="100" t="s">
        <v>3330</v>
      </c>
      <c r="CD41" s="101" t="s">
        <v>3331</v>
      </c>
      <c r="CE41" s="101" t="s">
        <v>3332</v>
      </c>
      <c r="CF41" s="101" t="s">
        <v>3333</v>
      </c>
      <c r="CG41" s="101" t="s">
        <v>3334</v>
      </c>
      <c r="CH41" s="101" t="s">
        <v>3335</v>
      </c>
      <c r="CI41" s="101" t="s">
        <v>3336</v>
      </c>
      <c r="CJ41" s="101" t="s">
        <v>3337</v>
      </c>
      <c r="CK41" s="101" t="s">
        <v>3338</v>
      </c>
      <c r="CL41" s="101" t="s">
        <v>3339</v>
      </c>
      <c r="CM41" s="101" t="s">
        <v>3340</v>
      </c>
      <c r="CN41" s="101" t="s">
        <v>3341</v>
      </c>
      <c r="CO41" s="101" t="s">
        <v>3342</v>
      </c>
      <c r="CP41" s="101" t="s">
        <v>3343</v>
      </c>
      <c r="CQ41" s="101" t="s">
        <v>3344</v>
      </c>
      <c r="CR41" s="102" t="s">
        <v>3345</v>
      </c>
    </row>
    <row r="42">
      <c r="A42" s="43" t="s">
        <v>3925</v>
      </c>
      <c r="D42" s="103" t="s">
        <v>3926</v>
      </c>
      <c r="AG42" s="100" t="s">
        <v>3927</v>
      </c>
      <c r="AH42" s="101" t="s">
        <v>3928</v>
      </c>
      <c r="AI42" s="101" t="s">
        <v>3929</v>
      </c>
      <c r="AJ42" s="101" t="s">
        <v>3930</v>
      </c>
      <c r="AK42" s="101" t="s">
        <v>3931</v>
      </c>
      <c r="AL42" s="101" t="s">
        <v>3932</v>
      </c>
      <c r="AM42" s="101" t="s">
        <v>3933</v>
      </c>
      <c r="AN42" s="101" t="s">
        <v>3934</v>
      </c>
      <c r="AO42" s="101" t="s">
        <v>3935</v>
      </c>
      <c r="AP42" s="101" t="s">
        <v>3936</v>
      </c>
      <c r="AQ42" s="101" t="s">
        <v>3937</v>
      </c>
      <c r="AR42" s="101" t="s">
        <v>3938</v>
      </c>
      <c r="AS42" s="101" t="s">
        <v>3939</v>
      </c>
      <c r="AT42" s="101" t="s">
        <v>3940</v>
      </c>
      <c r="AU42" s="101" t="s">
        <v>3941</v>
      </c>
      <c r="AV42" s="102" t="s">
        <v>3942</v>
      </c>
      <c r="AW42" s="100" t="s">
        <v>3943</v>
      </c>
      <c r="AX42" s="101" t="s">
        <v>3944</v>
      </c>
      <c r="AY42" s="101" t="s">
        <v>3945</v>
      </c>
      <c r="AZ42" s="101" t="s">
        <v>3946</v>
      </c>
      <c r="BA42" s="101" t="s">
        <v>3947</v>
      </c>
      <c r="BB42" s="101" t="s">
        <v>3948</v>
      </c>
      <c r="BC42" s="101" t="s">
        <v>3949</v>
      </c>
      <c r="BD42" s="101" t="s">
        <v>3950</v>
      </c>
      <c r="BE42" s="101" t="s">
        <v>3951</v>
      </c>
      <c r="BF42" s="101" t="s">
        <v>3952</v>
      </c>
      <c r="BG42" s="101" t="s">
        <v>3953</v>
      </c>
      <c r="BH42" s="101" t="s">
        <v>3954</v>
      </c>
      <c r="BI42" s="101" t="s">
        <v>3955</v>
      </c>
      <c r="BJ42" s="101" t="s">
        <v>3956</v>
      </c>
      <c r="BK42" s="101" t="s">
        <v>3957</v>
      </c>
      <c r="BL42" s="102" t="s">
        <v>3958</v>
      </c>
      <c r="BM42" s="100" t="s">
        <v>3943</v>
      </c>
      <c r="BN42" s="101" t="s">
        <v>3944</v>
      </c>
      <c r="BO42" s="101" t="s">
        <v>3945</v>
      </c>
      <c r="BP42" s="101" t="s">
        <v>3946</v>
      </c>
      <c r="BQ42" s="101" t="s">
        <v>3947</v>
      </c>
      <c r="BR42" s="101" t="s">
        <v>3948</v>
      </c>
      <c r="BS42" s="101" t="s">
        <v>3949</v>
      </c>
      <c r="BT42" s="101" t="s">
        <v>3959</v>
      </c>
      <c r="BU42" s="101" t="s">
        <v>3951</v>
      </c>
      <c r="BV42" s="101" t="s">
        <v>3952</v>
      </c>
      <c r="BW42" s="101" t="s">
        <v>3953</v>
      </c>
      <c r="BX42" s="101" t="s">
        <v>3954</v>
      </c>
      <c r="BY42" s="101" t="s">
        <v>3955</v>
      </c>
      <c r="BZ42" s="101" t="s">
        <v>3956</v>
      </c>
      <c r="CA42" s="101" t="s">
        <v>3960</v>
      </c>
      <c r="CB42" s="102" t="s">
        <v>3958</v>
      </c>
      <c r="CC42" s="100" t="s">
        <v>3370</v>
      </c>
      <c r="CD42" s="101" t="s">
        <v>3371</v>
      </c>
      <c r="CE42" s="101" t="s">
        <v>3372</v>
      </c>
      <c r="CF42" s="101" t="s">
        <v>3373</v>
      </c>
      <c r="CG42" s="101" t="s">
        <v>3374</v>
      </c>
      <c r="CH42" s="101" t="s">
        <v>3375</v>
      </c>
      <c r="CI42" s="101" t="s">
        <v>3376</v>
      </c>
      <c r="CJ42" s="101" t="s">
        <v>3377</v>
      </c>
      <c r="CK42" s="101" t="s">
        <v>3378</v>
      </c>
      <c r="CL42" s="101" t="s">
        <v>3379</v>
      </c>
      <c r="CM42" s="101" t="s">
        <v>3380</v>
      </c>
      <c r="CN42" s="101" t="s">
        <v>3381</v>
      </c>
      <c r="CO42" s="101" t="s">
        <v>3382</v>
      </c>
      <c r="CP42" s="101" t="s">
        <v>3383</v>
      </c>
      <c r="CQ42" s="101" t="s">
        <v>3384</v>
      </c>
      <c r="CR42" s="102" t="s">
        <v>3385</v>
      </c>
    </row>
    <row r="43">
      <c r="A43" s="103" t="s">
        <v>3048</v>
      </c>
      <c r="D43" s="103" t="s">
        <v>3961</v>
      </c>
      <c r="G43" s="104" t="s">
        <v>3962</v>
      </c>
      <c r="AG43" s="100" t="s">
        <v>3963</v>
      </c>
      <c r="AH43" s="101" t="s">
        <v>3964</v>
      </c>
      <c r="AI43" s="101" t="s">
        <v>3965</v>
      </c>
      <c r="AJ43" s="101" t="s">
        <v>3966</v>
      </c>
      <c r="AK43" s="101" t="s">
        <v>3967</v>
      </c>
      <c r="AL43" s="101" t="s">
        <v>3968</v>
      </c>
      <c r="AM43" s="101" t="s">
        <v>3969</v>
      </c>
      <c r="AN43" s="101" t="s">
        <v>3970</v>
      </c>
      <c r="AO43" s="101" t="s">
        <v>3971</v>
      </c>
      <c r="AP43" s="101" t="s">
        <v>3972</v>
      </c>
      <c r="AQ43" s="101" t="s">
        <v>3973</v>
      </c>
      <c r="AR43" s="101" t="s">
        <v>3974</v>
      </c>
      <c r="AS43" s="101" t="s">
        <v>3975</v>
      </c>
      <c r="AT43" s="101" t="s">
        <v>3976</v>
      </c>
      <c r="AU43" s="101" t="s">
        <v>3977</v>
      </c>
      <c r="AV43" s="107"/>
      <c r="AW43" s="100" t="s">
        <v>3978</v>
      </c>
      <c r="AX43" s="101" t="s">
        <v>3979</v>
      </c>
      <c r="AY43" s="101" t="s">
        <v>3980</v>
      </c>
      <c r="AZ43" s="101" t="s">
        <v>3981</v>
      </c>
      <c r="BA43" s="101" t="s">
        <v>3982</v>
      </c>
      <c r="BB43" s="101" t="s">
        <v>3983</v>
      </c>
      <c r="BC43" s="101" t="s">
        <v>3984</v>
      </c>
      <c r="BD43" s="101" t="s">
        <v>3985</v>
      </c>
      <c r="BE43" s="101" t="s">
        <v>3986</v>
      </c>
      <c r="BF43" s="101" t="s">
        <v>3987</v>
      </c>
      <c r="BG43" s="101" t="s">
        <v>3988</v>
      </c>
      <c r="BH43" s="101" t="s">
        <v>3989</v>
      </c>
      <c r="BI43" s="101" t="s">
        <v>3990</v>
      </c>
      <c r="BJ43" s="101" t="s">
        <v>3991</v>
      </c>
      <c r="BK43" s="101" t="s">
        <v>3992</v>
      </c>
      <c r="BL43" s="102" t="s">
        <v>3993</v>
      </c>
      <c r="BM43" s="100" t="s">
        <v>3978</v>
      </c>
      <c r="BN43" s="101" t="s">
        <v>3979</v>
      </c>
      <c r="BO43" s="101" t="s">
        <v>3980</v>
      </c>
      <c r="BP43" s="101" t="s">
        <v>3994</v>
      </c>
      <c r="BQ43" s="101" t="s">
        <v>3982</v>
      </c>
      <c r="BR43" s="101" t="s">
        <v>3983</v>
      </c>
      <c r="BS43" s="101" t="s">
        <v>3984</v>
      </c>
      <c r="BT43" s="101" t="s">
        <v>3985</v>
      </c>
      <c r="BU43" s="101" t="s">
        <v>3986</v>
      </c>
      <c r="BV43" s="101" t="s">
        <v>3995</v>
      </c>
      <c r="BW43" s="101" t="s">
        <v>3988</v>
      </c>
      <c r="BX43" s="101" t="s">
        <v>3989</v>
      </c>
      <c r="BY43" s="101" t="s">
        <v>3990</v>
      </c>
      <c r="BZ43" s="101" t="s">
        <v>3991</v>
      </c>
      <c r="CA43" s="101" t="s">
        <v>3992</v>
      </c>
      <c r="CB43" s="102" t="s">
        <v>3993</v>
      </c>
      <c r="CC43" s="100" t="s">
        <v>3409</v>
      </c>
      <c r="CD43" s="101" t="s">
        <v>3410</v>
      </c>
      <c r="CE43" s="101" t="s">
        <v>3411</v>
      </c>
      <c r="CF43" s="101" t="s">
        <v>3412</v>
      </c>
      <c r="CG43" s="101" t="s">
        <v>3413</v>
      </c>
      <c r="CH43" s="101" t="s">
        <v>3414</v>
      </c>
      <c r="CI43" s="101" t="s">
        <v>3415</v>
      </c>
      <c r="CJ43" s="101" t="s">
        <v>3416</v>
      </c>
      <c r="CK43" s="101" t="s">
        <v>3417</v>
      </c>
      <c r="CL43" s="101" t="s">
        <v>3418</v>
      </c>
      <c r="CM43" s="101" t="s">
        <v>3419</v>
      </c>
      <c r="CN43" s="101" t="s">
        <v>3420</v>
      </c>
      <c r="CO43" s="101" t="s">
        <v>3421</v>
      </c>
      <c r="CP43" s="101" t="s">
        <v>695</v>
      </c>
      <c r="CQ43" s="101" t="s">
        <v>3422</v>
      </c>
      <c r="CR43" s="102" t="s">
        <v>3423</v>
      </c>
    </row>
    <row r="44">
      <c r="A44" s="103"/>
      <c r="B44" s="103"/>
      <c r="C44" s="103"/>
      <c r="D44" s="103"/>
      <c r="E44" s="103"/>
      <c r="F44" s="103"/>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5"/>
      <c r="AH44" s="101" t="s">
        <v>3996</v>
      </c>
      <c r="AI44" s="101" t="s">
        <v>3997</v>
      </c>
      <c r="AJ44" s="101" t="s">
        <v>3998</v>
      </c>
      <c r="AK44" s="101" t="s">
        <v>3999</v>
      </c>
      <c r="AL44" s="101" t="s">
        <v>4000</v>
      </c>
      <c r="AM44" s="101" t="s">
        <v>4001</v>
      </c>
      <c r="AN44" s="101" t="s">
        <v>4002</v>
      </c>
      <c r="AO44" s="101" t="s">
        <v>4003</v>
      </c>
      <c r="AP44" s="101" t="s">
        <v>4004</v>
      </c>
      <c r="AQ44" s="101" t="s">
        <v>4005</v>
      </c>
      <c r="AR44" s="101" t="s">
        <v>4006</v>
      </c>
      <c r="AS44" s="101" t="s">
        <v>4007</v>
      </c>
      <c r="AT44" s="101" t="s">
        <v>4008</v>
      </c>
      <c r="AU44" s="101" t="s">
        <v>4009</v>
      </c>
      <c r="AV44" s="102" t="s">
        <v>4010</v>
      </c>
      <c r="AW44" s="100" t="s">
        <v>4011</v>
      </c>
      <c r="AX44" s="101" t="s">
        <v>4012</v>
      </c>
      <c r="AY44" s="101" t="s">
        <v>4013</v>
      </c>
      <c r="AZ44" s="101" t="s">
        <v>4014</v>
      </c>
      <c r="BA44" s="101" t="s">
        <v>4015</v>
      </c>
      <c r="BB44" s="101" t="s">
        <v>4016</v>
      </c>
      <c r="BC44" s="101" t="s">
        <v>4017</v>
      </c>
      <c r="BD44" s="101" t="s">
        <v>4018</v>
      </c>
      <c r="BE44" s="101" t="s">
        <v>4019</v>
      </c>
      <c r="BF44" s="101" t="s">
        <v>4020</v>
      </c>
      <c r="BG44" s="101" t="s">
        <v>4021</v>
      </c>
      <c r="BH44" s="101" t="s">
        <v>4022</v>
      </c>
      <c r="BI44" s="101" t="s">
        <v>4023</v>
      </c>
      <c r="BJ44" s="101" t="s">
        <v>4024</v>
      </c>
      <c r="BK44" s="101" t="s">
        <v>4025</v>
      </c>
      <c r="BL44" s="102" t="s">
        <v>4026</v>
      </c>
      <c r="BM44" s="100" t="s">
        <v>4011</v>
      </c>
      <c r="BN44" s="101" t="s">
        <v>4012</v>
      </c>
      <c r="BO44" s="101" t="s">
        <v>4013</v>
      </c>
      <c r="BP44" s="101" t="s">
        <v>4014</v>
      </c>
      <c r="BQ44" s="101" t="s">
        <v>4015</v>
      </c>
      <c r="BR44" s="101" t="s">
        <v>4016</v>
      </c>
      <c r="BS44" s="101" t="s">
        <v>4017</v>
      </c>
      <c r="BT44" s="101" t="s">
        <v>4027</v>
      </c>
      <c r="BU44" s="101" t="s">
        <v>4028</v>
      </c>
      <c r="BV44" s="101" t="s">
        <v>4029</v>
      </c>
      <c r="BW44" s="101" t="s">
        <v>4021</v>
      </c>
      <c r="BX44" s="101" t="s">
        <v>4030</v>
      </c>
      <c r="BY44" s="101" t="s">
        <v>4023</v>
      </c>
      <c r="BZ44" s="101" t="s">
        <v>4031</v>
      </c>
      <c r="CA44" s="101" t="s">
        <v>4025</v>
      </c>
      <c r="CB44" s="102" t="s">
        <v>4026</v>
      </c>
      <c r="CC44" s="100" t="s">
        <v>3448</v>
      </c>
      <c r="CD44" s="101" t="s">
        <v>3449</v>
      </c>
      <c r="CE44" s="101" t="s">
        <v>3450</v>
      </c>
      <c r="CF44" s="101" t="s">
        <v>3451</v>
      </c>
      <c r="CG44" s="101" t="s">
        <v>3452</v>
      </c>
      <c r="CH44" s="101" t="s">
        <v>3453</v>
      </c>
      <c r="CI44" s="101" t="s">
        <v>3454</v>
      </c>
      <c r="CJ44" s="101" t="s">
        <v>3455</v>
      </c>
      <c r="CK44" s="101" t="s">
        <v>3456</v>
      </c>
      <c r="CL44" s="101" t="s">
        <v>3457</v>
      </c>
      <c r="CM44" s="101" t="s">
        <v>3458</v>
      </c>
      <c r="CN44" s="101" t="s">
        <v>3459</v>
      </c>
      <c r="CO44" s="101" t="s">
        <v>3460</v>
      </c>
      <c r="CP44" s="101" t="s">
        <v>3461</v>
      </c>
      <c r="CQ44" s="101" t="s">
        <v>3462</v>
      </c>
      <c r="CR44" s="102" t="s">
        <v>3463</v>
      </c>
    </row>
    <row r="45">
      <c r="A45" s="103"/>
      <c r="B45" s="103"/>
      <c r="C45" s="103"/>
      <c r="D45" s="103"/>
      <c r="E45" s="103"/>
      <c r="F45" s="103"/>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0" t="s">
        <v>4032</v>
      </c>
      <c r="AH45" s="101" t="s">
        <v>4033</v>
      </c>
      <c r="AI45" s="101" t="s">
        <v>4034</v>
      </c>
      <c r="AJ45" s="101" t="s">
        <v>4035</v>
      </c>
      <c r="AK45" s="101" t="s">
        <v>4036</v>
      </c>
      <c r="AL45" s="101" t="s">
        <v>4037</v>
      </c>
      <c r="AM45" s="101" t="s">
        <v>4038</v>
      </c>
      <c r="AN45" s="101" t="s">
        <v>4039</v>
      </c>
      <c r="AO45" s="101" t="s">
        <v>4040</v>
      </c>
      <c r="AP45" s="101" t="s">
        <v>4041</v>
      </c>
      <c r="AQ45" s="101" t="s">
        <v>4042</v>
      </c>
      <c r="AR45" s="101" t="s">
        <v>4043</v>
      </c>
      <c r="AS45" s="101" t="s">
        <v>4044</v>
      </c>
      <c r="AT45" s="101" t="s">
        <v>4045</v>
      </c>
      <c r="AU45" s="101" t="s">
        <v>4046</v>
      </c>
      <c r="AV45" s="102" t="s">
        <v>4047</v>
      </c>
      <c r="AW45" s="100" t="s">
        <v>4048</v>
      </c>
      <c r="AX45" s="101" t="s">
        <v>4049</v>
      </c>
      <c r="AY45" s="101" t="s">
        <v>4050</v>
      </c>
      <c r="AZ45" s="101" t="s">
        <v>4051</v>
      </c>
      <c r="BA45" s="101" t="s">
        <v>4052</v>
      </c>
      <c r="BB45" s="101" t="s">
        <v>4053</v>
      </c>
      <c r="BC45" s="101" t="s">
        <v>4054</v>
      </c>
      <c r="BD45" s="101" t="s">
        <v>4055</v>
      </c>
      <c r="BE45" s="101" t="s">
        <v>4056</v>
      </c>
      <c r="BF45" s="101" t="s">
        <v>4057</v>
      </c>
      <c r="BG45" s="101" t="s">
        <v>4058</v>
      </c>
      <c r="BH45" s="101" t="s">
        <v>4059</v>
      </c>
      <c r="BI45" s="101" t="s">
        <v>4060</v>
      </c>
      <c r="BJ45" s="101" t="s">
        <v>4061</v>
      </c>
      <c r="BK45" s="101" t="s">
        <v>4062</v>
      </c>
      <c r="BL45" s="102" t="s">
        <v>4063</v>
      </c>
      <c r="BM45" s="100" t="s">
        <v>4048</v>
      </c>
      <c r="BN45" s="101" t="s">
        <v>4049</v>
      </c>
      <c r="BO45" s="101" t="s">
        <v>4050</v>
      </c>
      <c r="BP45" s="101" t="s">
        <v>4051</v>
      </c>
      <c r="BQ45" s="101" t="s">
        <v>4052</v>
      </c>
      <c r="BR45" s="101" t="s">
        <v>4053</v>
      </c>
      <c r="BS45" s="101" t="s">
        <v>4054</v>
      </c>
      <c r="BT45" s="101" t="s">
        <v>4055</v>
      </c>
      <c r="BU45" s="101" t="s">
        <v>4056</v>
      </c>
      <c r="BV45" s="101" t="s">
        <v>4057</v>
      </c>
      <c r="BW45" s="101" t="s">
        <v>4058</v>
      </c>
      <c r="BX45" s="101" t="s">
        <v>4059</v>
      </c>
      <c r="BY45" s="101" t="s">
        <v>4060</v>
      </c>
      <c r="BZ45" s="101" t="s">
        <v>4064</v>
      </c>
      <c r="CA45" s="101" t="s">
        <v>4065</v>
      </c>
      <c r="CB45" s="102" t="s">
        <v>4063</v>
      </c>
      <c r="CC45" s="100" t="s">
        <v>3490</v>
      </c>
      <c r="CD45" s="101" t="s">
        <v>3491</v>
      </c>
      <c r="CE45" s="101" t="s">
        <v>3492</v>
      </c>
      <c r="CF45" s="101" t="s">
        <v>3493</v>
      </c>
      <c r="CG45" s="101" t="s">
        <v>3494</v>
      </c>
      <c r="CH45" s="101" t="s">
        <v>3495</v>
      </c>
      <c r="CI45" s="101" t="s">
        <v>3496</v>
      </c>
      <c r="CJ45" s="101" t="s">
        <v>3497</v>
      </c>
      <c r="CK45" s="101" t="s">
        <v>3498</v>
      </c>
      <c r="CL45" s="101" t="s">
        <v>3499</v>
      </c>
      <c r="CM45" s="101" t="s">
        <v>3500</v>
      </c>
      <c r="CN45" s="101" t="s">
        <v>3501</v>
      </c>
      <c r="CO45" s="101" t="s">
        <v>3502</v>
      </c>
      <c r="CP45" s="101" t="s">
        <v>3503</v>
      </c>
      <c r="CQ45" s="101" t="s">
        <v>3504</v>
      </c>
      <c r="CR45" s="107"/>
    </row>
    <row r="46">
      <c r="A46" s="103"/>
      <c r="B46" s="103"/>
      <c r="C46" s="103"/>
      <c r="D46" s="103"/>
      <c r="E46" s="103"/>
      <c r="F46" s="103"/>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0" t="s">
        <v>4066</v>
      </c>
      <c r="AH46" s="101" t="s">
        <v>4067</v>
      </c>
      <c r="AI46" s="101" t="s">
        <v>4068</v>
      </c>
      <c r="AJ46" s="101" t="s">
        <v>4069</v>
      </c>
      <c r="AK46" s="101" t="s">
        <v>4070</v>
      </c>
      <c r="AL46" s="101" t="s">
        <v>4071</v>
      </c>
      <c r="AM46" s="101" t="s">
        <v>4072</v>
      </c>
      <c r="AN46" s="101" t="s">
        <v>4073</v>
      </c>
      <c r="AO46" s="101" t="s">
        <v>4074</v>
      </c>
      <c r="AP46" s="101" t="s">
        <v>4075</v>
      </c>
      <c r="AQ46" s="101" t="s">
        <v>4076</v>
      </c>
      <c r="AR46" s="101" t="s">
        <v>4077</v>
      </c>
      <c r="AS46" s="101" t="s">
        <v>4078</v>
      </c>
      <c r="AT46" s="101" t="s">
        <v>4079</v>
      </c>
      <c r="AU46" s="101" t="s">
        <v>4080</v>
      </c>
      <c r="AV46" s="102" t="s">
        <v>4081</v>
      </c>
      <c r="AW46" s="100" t="s">
        <v>4082</v>
      </c>
      <c r="AX46" s="101" t="s">
        <v>4083</v>
      </c>
      <c r="AY46" s="101" t="s">
        <v>4084</v>
      </c>
      <c r="AZ46" s="101" t="s">
        <v>4085</v>
      </c>
      <c r="BA46" s="101" t="s">
        <v>4086</v>
      </c>
      <c r="BB46" s="101" t="s">
        <v>4087</v>
      </c>
      <c r="BC46" s="101" t="s">
        <v>4088</v>
      </c>
      <c r="BD46" s="101" t="s">
        <v>4089</v>
      </c>
      <c r="BE46" s="101" t="s">
        <v>4090</v>
      </c>
      <c r="BF46" s="101" t="s">
        <v>4091</v>
      </c>
      <c r="BG46" s="101" t="s">
        <v>4092</v>
      </c>
      <c r="BH46" s="101" t="s">
        <v>4093</v>
      </c>
      <c r="BI46" s="101" t="s">
        <v>4094</v>
      </c>
      <c r="BJ46" s="101" t="s">
        <v>4095</v>
      </c>
      <c r="BK46" s="101" t="s">
        <v>4096</v>
      </c>
      <c r="BL46" s="102" t="s">
        <v>4097</v>
      </c>
      <c r="BM46" s="100" t="s">
        <v>4098</v>
      </c>
      <c r="BN46" s="101" t="s">
        <v>4083</v>
      </c>
      <c r="BO46" s="101" t="s">
        <v>4084</v>
      </c>
      <c r="BP46" s="101" t="s">
        <v>4085</v>
      </c>
      <c r="BQ46" s="101" t="s">
        <v>4086</v>
      </c>
      <c r="BR46" s="101" t="s">
        <v>4087</v>
      </c>
      <c r="BS46" s="101" t="s">
        <v>4099</v>
      </c>
      <c r="BT46" s="101" t="s">
        <v>4089</v>
      </c>
      <c r="BU46" s="101" t="s">
        <v>4090</v>
      </c>
      <c r="BV46" s="101" t="s">
        <v>4100</v>
      </c>
      <c r="BW46" s="101" t="s">
        <v>4101</v>
      </c>
      <c r="BX46" s="101" t="s">
        <v>4102</v>
      </c>
      <c r="BY46" s="101" t="s">
        <v>4094</v>
      </c>
      <c r="BZ46" s="101" t="s">
        <v>4103</v>
      </c>
      <c r="CA46" s="101" t="s">
        <v>4104</v>
      </c>
      <c r="CB46" s="102" t="s">
        <v>4105</v>
      </c>
      <c r="CC46" s="105"/>
      <c r="CD46" s="101" t="s">
        <v>3524</v>
      </c>
      <c r="CE46" s="101" t="s">
        <v>3525</v>
      </c>
      <c r="CF46" s="101" t="s">
        <v>3526</v>
      </c>
      <c r="CG46" s="101" t="s">
        <v>3527</v>
      </c>
      <c r="CH46" s="101" t="s">
        <v>3528</v>
      </c>
      <c r="CI46" s="101" t="s">
        <v>3529</v>
      </c>
      <c r="CJ46" s="101" t="s">
        <v>3530</v>
      </c>
      <c r="CK46" s="101" t="s">
        <v>3531</v>
      </c>
      <c r="CL46" s="101" t="s">
        <v>3532</v>
      </c>
      <c r="CM46" s="101" t="s">
        <v>3533</v>
      </c>
      <c r="CN46" s="101" t="s">
        <v>3534</v>
      </c>
      <c r="CO46" s="101" t="s">
        <v>3535</v>
      </c>
      <c r="CP46" s="101" t="s">
        <v>3536</v>
      </c>
      <c r="CQ46" s="101" t="s">
        <v>3537</v>
      </c>
      <c r="CR46" s="102" t="s">
        <v>3538</v>
      </c>
    </row>
    <row r="47">
      <c r="A47" s="103"/>
      <c r="B47" s="103"/>
      <c r="C47" s="103"/>
      <c r="D47" s="103"/>
      <c r="E47" s="103"/>
      <c r="F47" s="103"/>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0" t="s">
        <v>4106</v>
      </c>
      <c r="AH47" s="101" t="s">
        <v>4107</v>
      </c>
      <c r="AI47" s="101" t="s">
        <v>4108</v>
      </c>
      <c r="AJ47" s="101" t="s">
        <v>4109</v>
      </c>
      <c r="AK47" s="101" t="s">
        <v>4110</v>
      </c>
      <c r="AL47" s="101" t="s">
        <v>4111</v>
      </c>
      <c r="AM47" s="101" t="s">
        <v>4112</v>
      </c>
      <c r="AN47" s="101" t="s">
        <v>4113</v>
      </c>
      <c r="AO47" s="101" t="s">
        <v>4114</v>
      </c>
      <c r="AP47" s="101" t="s">
        <v>4115</v>
      </c>
      <c r="AQ47" s="101" t="s">
        <v>4116</v>
      </c>
      <c r="AR47" s="101" t="s">
        <v>4117</v>
      </c>
      <c r="AS47" s="101" t="s">
        <v>4118</v>
      </c>
      <c r="AT47" s="101" t="s">
        <v>4119</v>
      </c>
      <c r="AU47" s="101" t="s">
        <v>4120</v>
      </c>
      <c r="AV47" s="102" t="s">
        <v>4121</v>
      </c>
      <c r="AW47" s="100" t="s">
        <v>4122</v>
      </c>
      <c r="AX47" s="101" t="s">
        <v>4123</v>
      </c>
      <c r="AY47" s="101" t="s">
        <v>4124</v>
      </c>
      <c r="AZ47" s="101" t="s">
        <v>4125</v>
      </c>
      <c r="BA47" s="101" t="s">
        <v>4126</v>
      </c>
      <c r="BB47" s="101" t="s">
        <v>4127</v>
      </c>
      <c r="BC47" s="101" t="s">
        <v>4128</v>
      </c>
      <c r="BD47" s="101" t="s">
        <v>4129</v>
      </c>
      <c r="BE47" s="101" t="s">
        <v>4130</v>
      </c>
      <c r="BF47" s="101" t="s">
        <v>4131</v>
      </c>
      <c r="BG47" s="101" t="s">
        <v>4132</v>
      </c>
      <c r="BH47" s="101" t="s">
        <v>4133</v>
      </c>
      <c r="BI47" s="101" t="s">
        <v>4134</v>
      </c>
      <c r="BJ47" s="101" t="s">
        <v>4135</v>
      </c>
      <c r="BK47" s="101" t="s">
        <v>4136</v>
      </c>
      <c r="BL47" s="102" t="s">
        <v>4137</v>
      </c>
      <c r="BM47" s="100" t="s">
        <v>4138</v>
      </c>
      <c r="BN47" s="101" t="s">
        <v>4139</v>
      </c>
      <c r="BO47" s="101" t="s">
        <v>4124</v>
      </c>
      <c r="BP47" s="101" t="s">
        <v>4125</v>
      </c>
      <c r="BQ47" s="101" t="s">
        <v>4140</v>
      </c>
      <c r="BR47" s="101" t="s">
        <v>4127</v>
      </c>
      <c r="BS47" s="101" t="s">
        <v>4128</v>
      </c>
      <c r="BT47" s="101" t="s">
        <v>4141</v>
      </c>
      <c r="BU47" s="101" t="s">
        <v>4142</v>
      </c>
      <c r="BV47" s="101" t="s">
        <v>4143</v>
      </c>
      <c r="BW47" s="101" t="s">
        <v>4144</v>
      </c>
      <c r="BX47" s="101" t="s">
        <v>4133</v>
      </c>
      <c r="BY47" s="101" t="s">
        <v>4134</v>
      </c>
      <c r="BZ47" s="101" t="s">
        <v>4135</v>
      </c>
      <c r="CA47" s="101" t="s">
        <v>4145</v>
      </c>
      <c r="CB47" s="102" t="s">
        <v>4146</v>
      </c>
      <c r="CC47" s="100" t="s">
        <v>3561</v>
      </c>
      <c r="CD47" s="101" t="s">
        <v>3562</v>
      </c>
      <c r="CE47" s="101" t="s">
        <v>3563</v>
      </c>
      <c r="CF47" s="101" t="s">
        <v>3564</v>
      </c>
      <c r="CG47" s="101" t="s">
        <v>3565</v>
      </c>
      <c r="CH47" s="101" t="s">
        <v>3566</v>
      </c>
      <c r="CI47" s="101" t="s">
        <v>3567</v>
      </c>
      <c r="CJ47" s="101" t="s">
        <v>3568</v>
      </c>
      <c r="CK47" s="101" t="s">
        <v>3569</v>
      </c>
      <c r="CL47" s="101" t="s">
        <v>3570</v>
      </c>
      <c r="CM47" s="101" t="s">
        <v>3571</v>
      </c>
      <c r="CN47" s="101" t="s">
        <v>3572</v>
      </c>
      <c r="CO47" s="101" t="s">
        <v>3573</v>
      </c>
      <c r="CP47" s="101" t="s">
        <v>3574</v>
      </c>
      <c r="CQ47" s="101" t="s">
        <v>3575</v>
      </c>
      <c r="CR47" s="102" t="s">
        <v>3576</v>
      </c>
    </row>
    <row r="48">
      <c r="A48" s="103"/>
      <c r="B48" s="103"/>
      <c r="C48" s="103"/>
      <c r="D48" s="103"/>
      <c r="E48" s="103"/>
      <c r="F48" s="103"/>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0" t="s">
        <v>4147</v>
      </c>
      <c r="AH48" s="101" t="s">
        <v>4148</v>
      </c>
      <c r="AI48" s="101" t="s">
        <v>4149</v>
      </c>
      <c r="AJ48" s="101" t="s">
        <v>4150</v>
      </c>
      <c r="AK48" s="101" t="s">
        <v>4151</v>
      </c>
      <c r="AL48" s="101" t="s">
        <v>4152</v>
      </c>
      <c r="AM48" s="101" t="s">
        <v>4153</v>
      </c>
      <c r="AN48" s="101" t="s">
        <v>4154</v>
      </c>
      <c r="AO48" s="101" t="s">
        <v>4155</v>
      </c>
      <c r="AP48" s="101" t="s">
        <v>4156</v>
      </c>
      <c r="AQ48" s="101" t="s">
        <v>4157</v>
      </c>
      <c r="AR48" s="101" t="s">
        <v>4158</v>
      </c>
      <c r="AS48" s="101" t="s">
        <v>4159</v>
      </c>
      <c r="AT48" s="101" t="s">
        <v>4160</v>
      </c>
      <c r="AU48" s="101" t="s">
        <v>4161</v>
      </c>
      <c r="AV48" s="102" t="s">
        <v>4162</v>
      </c>
      <c r="AW48" s="100" t="s">
        <v>4163</v>
      </c>
      <c r="AX48" s="101" t="s">
        <v>4164</v>
      </c>
      <c r="AY48" s="101" t="s">
        <v>4165</v>
      </c>
      <c r="AZ48" s="101" t="s">
        <v>4166</v>
      </c>
      <c r="BA48" s="101" t="s">
        <v>4167</v>
      </c>
      <c r="BB48" s="101" t="s">
        <v>4168</v>
      </c>
      <c r="BC48" s="101" t="s">
        <v>4169</v>
      </c>
      <c r="BD48" s="101" t="s">
        <v>4170</v>
      </c>
      <c r="BE48" s="101" t="s">
        <v>4171</v>
      </c>
      <c r="BF48" s="101" t="s">
        <v>4172</v>
      </c>
      <c r="BG48" s="101" t="s">
        <v>4173</v>
      </c>
      <c r="BH48" s="101" t="s">
        <v>4174</v>
      </c>
      <c r="BI48" s="101" t="s">
        <v>4175</v>
      </c>
      <c r="BJ48" s="101" t="s">
        <v>4176</v>
      </c>
      <c r="BK48" s="101" t="s">
        <v>4177</v>
      </c>
      <c r="BL48" s="102" t="s">
        <v>4178</v>
      </c>
      <c r="BM48" s="100" t="s">
        <v>4179</v>
      </c>
      <c r="BN48" s="101" t="s">
        <v>4164</v>
      </c>
      <c r="BO48" s="101" t="s">
        <v>4165</v>
      </c>
      <c r="BP48" s="101" t="s">
        <v>4180</v>
      </c>
      <c r="BQ48" s="101" t="s">
        <v>4181</v>
      </c>
      <c r="BR48" s="101" t="s">
        <v>4168</v>
      </c>
      <c r="BS48" s="101" t="s">
        <v>4182</v>
      </c>
      <c r="BT48" s="101" t="s">
        <v>4170</v>
      </c>
      <c r="BU48" s="101" t="s">
        <v>4171</v>
      </c>
      <c r="BV48" s="101" t="s">
        <v>4172</v>
      </c>
      <c r="BW48" s="101" t="s">
        <v>4173</v>
      </c>
      <c r="BX48" s="101" t="s">
        <v>4174</v>
      </c>
      <c r="BY48" s="101" t="s">
        <v>4175</v>
      </c>
      <c r="BZ48" s="101" t="s">
        <v>4176</v>
      </c>
      <c r="CA48" s="101" t="s">
        <v>4183</v>
      </c>
      <c r="CB48" s="102" t="s">
        <v>4184</v>
      </c>
      <c r="CC48" s="100" t="s">
        <v>3602</v>
      </c>
      <c r="CD48" s="101" t="s">
        <v>3603</v>
      </c>
      <c r="CE48" s="101" t="s">
        <v>3604</v>
      </c>
      <c r="CF48" s="101" t="s">
        <v>3605</v>
      </c>
      <c r="CG48" s="101" t="s">
        <v>3606</v>
      </c>
      <c r="CH48" s="101" t="s">
        <v>3607</v>
      </c>
      <c r="CI48" s="101" t="s">
        <v>3608</v>
      </c>
      <c r="CJ48" s="101" t="s">
        <v>3609</v>
      </c>
      <c r="CK48" s="101" t="s">
        <v>3610</v>
      </c>
      <c r="CL48" s="101" t="s">
        <v>3611</v>
      </c>
      <c r="CM48" s="101" t="s">
        <v>3612</v>
      </c>
      <c r="CN48" s="101" t="s">
        <v>3613</v>
      </c>
      <c r="CO48" s="101" t="s">
        <v>3614</v>
      </c>
      <c r="CP48" s="101" t="s">
        <v>3615</v>
      </c>
      <c r="CQ48" s="101" t="s">
        <v>3616</v>
      </c>
      <c r="CR48" s="102" t="s">
        <v>3617</v>
      </c>
    </row>
    <row r="49">
      <c r="A49" s="103"/>
      <c r="B49" s="103"/>
      <c r="C49" s="103"/>
      <c r="D49" s="103"/>
      <c r="E49" s="103"/>
      <c r="F49" s="103"/>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10" t="s">
        <v>4185</v>
      </c>
      <c r="AH49" s="111" t="s">
        <v>4186</v>
      </c>
      <c r="AI49" s="111" t="s">
        <v>4187</v>
      </c>
      <c r="AJ49" s="111" t="s">
        <v>4188</v>
      </c>
      <c r="AK49" s="114"/>
      <c r="AL49" s="111" t="s">
        <v>4189</v>
      </c>
      <c r="AM49" s="111" t="s">
        <v>4190</v>
      </c>
      <c r="AN49" s="111" t="s">
        <v>4191</v>
      </c>
      <c r="AO49" s="111" t="s">
        <v>4192</v>
      </c>
      <c r="AP49" s="111" t="s">
        <v>4193</v>
      </c>
      <c r="AQ49" s="111" t="s">
        <v>4194</v>
      </c>
      <c r="AR49" s="111" t="s">
        <v>4195</v>
      </c>
      <c r="AS49" s="111" t="s">
        <v>4196</v>
      </c>
      <c r="AT49" s="111" t="s">
        <v>4197</v>
      </c>
      <c r="AU49" s="111" t="s">
        <v>4198</v>
      </c>
      <c r="AV49" s="115"/>
      <c r="AW49" s="110" t="s">
        <v>4199</v>
      </c>
      <c r="AX49" s="111" t="s">
        <v>4200</v>
      </c>
      <c r="AY49" s="111" t="s">
        <v>4201</v>
      </c>
      <c r="AZ49" s="111" t="s">
        <v>4202</v>
      </c>
      <c r="BA49" s="111" t="s">
        <v>4203</v>
      </c>
      <c r="BB49" s="111" t="s">
        <v>4204</v>
      </c>
      <c r="BC49" s="111" t="s">
        <v>4205</v>
      </c>
      <c r="BD49" s="111" t="s">
        <v>4206</v>
      </c>
      <c r="BE49" s="111" t="s">
        <v>4207</v>
      </c>
      <c r="BF49" s="111" t="s">
        <v>4208</v>
      </c>
      <c r="BG49" s="111" t="s">
        <v>4209</v>
      </c>
      <c r="BH49" s="111" t="s">
        <v>4210</v>
      </c>
      <c r="BI49" s="111" t="s">
        <v>4211</v>
      </c>
      <c r="BJ49" s="111" t="s">
        <v>4212</v>
      </c>
      <c r="BK49" s="111" t="s">
        <v>4213</v>
      </c>
      <c r="BL49" s="112" t="s">
        <v>4214</v>
      </c>
      <c r="BM49" s="110" t="s">
        <v>4199</v>
      </c>
      <c r="BN49" s="111" t="s">
        <v>4200</v>
      </c>
      <c r="BO49" s="111" t="s">
        <v>4215</v>
      </c>
      <c r="BP49" s="111" t="s">
        <v>4202</v>
      </c>
      <c r="BQ49" s="111" t="s">
        <v>4203</v>
      </c>
      <c r="BR49" s="111" t="s">
        <v>4216</v>
      </c>
      <c r="BS49" s="111" t="s">
        <v>4205</v>
      </c>
      <c r="BT49" s="111" t="s">
        <v>4206</v>
      </c>
      <c r="BU49" s="111" t="s">
        <v>4217</v>
      </c>
      <c r="BV49" s="111" t="s">
        <v>4218</v>
      </c>
      <c r="BW49" s="111" t="s">
        <v>4209</v>
      </c>
      <c r="BX49" s="111" t="s">
        <v>4219</v>
      </c>
      <c r="BY49" s="111" t="s">
        <v>4211</v>
      </c>
      <c r="BZ49" s="111" t="s">
        <v>4212</v>
      </c>
      <c r="CA49" s="111" t="s">
        <v>4213</v>
      </c>
      <c r="CB49" s="112" t="s">
        <v>4214</v>
      </c>
      <c r="CC49" s="110"/>
      <c r="CD49" s="111"/>
      <c r="CE49" s="111"/>
      <c r="CF49" s="111"/>
      <c r="CG49" s="111"/>
      <c r="CH49" s="111"/>
      <c r="CI49" s="111"/>
      <c r="CJ49" s="111"/>
      <c r="CK49" s="111"/>
      <c r="CL49" s="111"/>
      <c r="CM49" s="111"/>
      <c r="CN49" s="111"/>
      <c r="CO49" s="111"/>
      <c r="CP49" s="111"/>
      <c r="CQ49" s="111"/>
      <c r="CR49" s="112"/>
    </row>
    <row r="50">
      <c r="A50" s="103"/>
      <c r="B50" s="103"/>
      <c r="C50" s="103"/>
      <c r="D50" s="103"/>
      <c r="E50" s="103"/>
      <c r="F50" s="103"/>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96"/>
      <c r="AH50" s="97" t="s">
        <v>4220</v>
      </c>
      <c r="AI50" s="97" t="s">
        <v>4221</v>
      </c>
      <c r="AJ50" s="97" t="s">
        <v>4222</v>
      </c>
      <c r="AK50" s="97" t="s">
        <v>4223</v>
      </c>
      <c r="AL50" s="97" t="s">
        <v>4224</v>
      </c>
      <c r="AM50" s="97" t="s">
        <v>4225</v>
      </c>
      <c r="AN50" s="97" t="s">
        <v>4226</v>
      </c>
      <c r="AO50" s="97" t="s">
        <v>4227</v>
      </c>
      <c r="AP50" s="97" t="s">
        <v>4228</v>
      </c>
      <c r="AQ50" s="97" t="s">
        <v>4229</v>
      </c>
      <c r="AR50" s="97" t="s">
        <v>4230</v>
      </c>
      <c r="AS50" s="97" t="s">
        <v>4231</v>
      </c>
      <c r="AT50" s="97" t="s">
        <v>4232</v>
      </c>
      <c r="AU50" s="97" t="s">
        <v>4233</v>
      </c>
      <c r="AV50" s="98" t="s">
        <v>4234</v>
      </c>
      <c r="AW50" s="99" t="s">
        <v>4235</v>
      </c>
      <c r="AX50" s="97" t="s">
        <v>4236</v>
      </c>
      <c r="AY50" s="97" t="s">
        <v>705</v>
      </c>
      <c r="AZ50" s="97" t="s">
        <v>4237</v>
      </c>
      <c r="BA50" s="97" t="s">
        <v>4238</v>
      </c>
      <c r="BB50" s="97" t="s">
        <v>4239</v>
      </c>
      <c r="BC50" s="97" t="s">
        <v>4240</v>
      </c>
      <c r="BD50" s="97" t="s">
        <v>4241</v>
      </c>
      <c r="BE50" s="97" t="s">
        <v>4242</v>
      </c>
      <c r="BF50" s="97" t="s">
        <v>4243</v>
      </c>
      <c r="BG50" s="97" t="s">
        <v>4244</v>
      </c>
      <c r="BH50" s="97" t="s">
        <v>4245</v>
      </c>
      <c r="BI50" s="97" t="s">
        <v>4246</v>
      </c>
      <c r="BJ50" s="97" t="s">
        <v>4247</v>
      </c>
      <c r="BK50" s="97" t="s">
        <v>4248</v>
      </c>
      <c r="BL50" s="98" t="s">
        <v>4249</v>
      </c>
      <c r="BM50" s="99" t="s">
        <v>4235</v>
      </c>
      <c r="BN50" s="97" t="s">
        <v>4250</v>
      </c>
      <c r="BO50" s="97" t="s">
        <v>706</v>
      </c>
      <c r="BP50" s="97" t="s">
        <v>4237</v>
      </c>
      <c r="BQ50" s="97" t="s">
        <v>4251</v>
      </c>
      <c r="BR50" s="97" t="s">
        <v>4252</v>
      </c>
      <c r="BS50" s="97" t="s">
        <v>4240</v>
      </c>
      <c r="BT50" s="97" t="s">
        <v>4253</v>
      </c>
      <c r="BU50" s="97" t="s">
        <v>4254</v>
      </c>
      <c r="BV50" s="97" t="s">
        <v>4243</v>
      </c>
      <c r="BW50" s="97" t="s">
        <v>4255</v>
      </c>
      <c r="BX50" s="97" t="s">
        <v>4256</v>
      </c>
      <c r="BY50" s="97" t="s">
        <v>4246</v>
      </c>
      <c r="BZ50" s="97" t="s">
        <v>4247</v>
      </c>
      <c r="CA50" s="97" t="s">
        <v>4257</v>
      </c>
      <c r="CB50" s="98" t="s">
        <v>4249</v>
      </c>
      <c r="CC50" s="99" t="s">
        <v>3639</v>
      </c>
      <c r="CD50" s="97" t="s">
        <v>3640</v>
      </c>
      <c r="CE50" s="97" t="s">
        <v>3641</v>
      </c>
      <c r="CF50" s="97" t="s">
        <v>3642</v>
      </c>
      <c r="CG50" s="97" t="s">
        <v>3643</v>
      </c>
      <c r="CH50" s="97" t="s">
        <v>3644</v>
      </c>
      <c r="CI50" s="97" t="s">
        <v>3645</v>
      </c>
      <c r="CJ50" s="97" t="s">
        <v>3646</v>
      </c>
      <c r="CK50" s="97" t="s">
        <v>3647</v>
      </c>
      <c r="CL50" s="97" t="s">
        <v>3648</v>
      </c>
      <c r="CM50" s="97" t="s">
        <v>3649</v>
      </c>
      <c r="CN50" s="97" t="s">
        <v>3650</v>
      </c>
      <c r="CO50" s="97" t="s">
        <v>3651</v>
      </c>
      <c r="CP50" s="97" t="s">
        <v>3652</v>
      </c>
      <c r="CQ50" s="97" t="s">
        <v>3653</v>
      </c>
      <c r="CR50" s="98" t="s">
        <v>3654</v>
      </c>
    </row>
    <row r="51">
      <c r="A51" s="103"/>
      <c r="B51" s="103"/>
      <c r="C51" s="103"/>
      <c r="D51" s="103"/>
      <c r="E51" s="103"/>
      <c r="F51" s="103"/>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0" t="s">
        <v>4258</v>
      </c>
      <c r="AH51" s="101" t="s">
        <v>4259</v>
      </c>
      <c r="AI51" s="101" t="s">
        <v>4260</v>
      </c>
      <c r="AJ51" s="101" t="s">
        <v>4261</v>
      </c>
      <c r="AK51" s="101" t="s">
        <v>4262</v>
      </c>
      <c r="AL51" s="101" t="s">
        <v>4263</v>
      </c>
      <c r="AM51" s="101" t="s">
        <v>4264</v>
      </c>
      <c r="AN51" s="101" t="s">
        <v>4265</v>
      </c>
      <c r="AO51" s="101" t="s">
        <v>4266</v>
      </c>
      <c r="AP51" s="101" t="s">
        <v>4267</v>
      </c>
      <c r="AQ51" s="101" t="s">
        <v>4268</v>
      </c>
      <c r="AR51" s="106"/>
      <c r="AS51" s="101" t="s">
        <v>4269</v>
      </c>
      <c r="AT51" s="101" t="s">
        <v>4270</v>
      </c>
      <c r="AU51" s="101" t="s">
        <v>4271</v>
      </c>
      <c r="AV51" s="102" t="s">
        <v>4272</v>
      </c>
      <c r="AW51" s="100" t="s">
        <v>678</v>
      </c>
      <c r="AX51" s="101" t="s">
        <v>4273</v>
      </c>
      <c r="AY51" s="101" t="s">
        <v>4274</v>
      </c>
      <c r="AZ51" s="101" t="s">
        <v>4275</v>
      </c>
      <c r="BA51" s="101" t="s">
        <v>4276</v>
      </c>
      <c r="BB51" s="101" t="s">
        <v>4277</v>
      </c>
      <c r="BC51" s="101" t="s">
        <v>4278</v>
      </c>
      <c r="BD51" s="101" t="s">
        <v>4279</v>
      </c>
      <c r="BE51" s="101" t="s">
        <v>4280</v>
      </c>
      <c r="BF51" s="101" t="s">
        <v>4281</v>
      </c>
      <c r="BG51" s="101" t="s">
        <v>668</v>
      </c>
      <c r="BH51" s="101" t="s">
        <v>4282</v>
      </c>
      <c r="BI51" s="101" t="s">
        <v>4283</v>
      </c>
      <c r="BJ51" s="101" t="s">
        <v>4284</v>
      </c>
      <c r="BK51" s="101" t="s">
        <v>4285</v>
      </c>
      <c r="BL51" s="102" t="s">
        <v>4286</v>
      </c>
      <c r="BM51" s="100" t="s">
        <v>679</v>
      </c>
      <c r="BN51" s="101" t="s">
        <v>4273</v>
      </c>
      <c r="BO51" s="101" t="s">
        <v>4287</v>
      </c>
      <c r="BP51" s="101" t="s">
        <v>4275</v>
      </c>
      <c r="BQ51" s="101" t="s">
        <v>4276</v>
      </c>
      <c r="BR51" s="101" t="s">
        <v>4288</v>
      </c>
      <c r="BS51" s="101" t="s">
        <v>4289</v>
      </c>
      <c r="BT51" s="101" t="s">
        <v>4279</v>
      </c>
      <c r="BU51" s="101" t="s">
        <v>4290</v>
      </c>
      <c r="BV51" s="101" t="s">
        <v>4281</v>
      </c>
      <c r="BW51" s="101" t="s">
        <v>669</v>
      </c>
      <c r="BX51" s="101" t="s">
        <v>4282</v>
      </c>
      <c r="BY51" s="101" t="s">
        <v>4291</v>
      </c>
      <c r="BZ51" s="101" t="s">
        <v>4292</v>
      </c>
      <c r="CA51" s="101" t="s">
        <v>4285</v>
      </c>
      <c r="CB51" s="102" t="s">
        <v>4293</v>
      </c>
      <c r="CC51" s="100" t="s">
        <v>3679</v>
      </c>
      <c r="CD51" s="101" t="s">
        <v>3680</v>
      </c>
      <c r="CE51" s="101" t="s">
        <v>3681</v>
      </c>
      <c r="CF51" s="101" t="s">
        <v>3682</v>
      </c>
      <c r="CG51" s="101" t="s">
        <v>3683</v>
      </c>
      <c r="CH51" s="101" t="s">
        <v>3684</v>
      </c>
      <c r="CI51" s="101" t="s">
        <v>3685</v>
      </c>
      <c r="CJ51" s="101" t="s">
        <v>3686</v>
      </c>
      <c r="CK51" s="101" t="s">
        <v>3687</v>
      </c>
      <c r="CL51" s="101" t="s">
        <v>3688</v>
      </c>
      <c r="CM51" s="101" t="s">
        <v>3689</v>
      </c>
      <c r="CN51" s="101" t="s">
        <v>3690</v>
      </c>
      <c r="CO51" s="101" t="s">
        <v>3691</v>
      </c>
      <c r="CP51" s="101" t="s">
        <v>3692</v>
      </c>
      <c r="CQ51" s="101" t="s">
        <v>3693</v>
      </c>
      <c r="CR51" s="102" t="s">
        <v>3694</v>
      </c>
    </row>
    <row r="52">
      <c r="A52" s="103"/>
      <c r="B52" s="103"/>
      <c r="C52" s="103"/>
      <c r="D52" s="103"/>
      <c r="E52" s="103"/>
      <c r="F52" s="103"/>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0" t="s">
        <v>4294</v>
      </c>
      <c r="AH52" s="101" t="s">
        <v>4295</v>
      </c>
      <c r="AI52" s="101" t="s">
        <v>4296</v>
      </c>
      <c r="AJ52" s="101" t="s">
        <v>4297</v>
      </c>
      <c r="AK52" s="101" t="s">
        <v>4298</v>
      </c>
      <c r="AL52" s="101" t="s">
        <v>4299</v>
      </c>
      <c r="AM52" s="101" t="s">
        <v>4300</v>
      </c>
      <c r="AN52" s="101" t="s">
        <v>4301</v>
      </c>
      <c r="AO52" s="101" t="s">
        <v>4302</v>
      </c>
      <c r="AP52" s="101" t="s">
        <v>4303</v>
      </c>
      <c r="AQ52" s="101" t="s">
        <v>4304</v>
      </c>
      <c r="AR52" s="101" t="s">
        <v>4305</v>
      </c>
      <c r="AS52" s="101" t="s">
        <v>4306</v>
      </c>
      <c r="AT52" s="101" t="s">
        <v>4307</v>
      </c>
      <c r="AU52" s="101" t="s">
        <v>4308</v>
      </c>
      <c r="AV52" s="102" t="s">
        <v>4309</v>
      </c>
      <c r="AW52" s="100" t="s">
        <v>4310</v>
      </c>
      <c r="AX52" s="101" t="s">
        <v>4311</v>
      </c>
      <c r="AY52" s="101" t="s">
        <v>4312</v>
      </c>
      <c r="AZ52" s="101" t="s">
        <v>4313</v>
      </c>
      <c r="BA52" s="101" t="s">
        <v>4314</v>
      </c>
      <c r="BB52" s="101" t="s">
        <v>4315</v>
      </c>
      <c r="BC52" s="101" t="s">
        <v>4316</v>
      </c>
      <c r="BD52" s="101" t="s">
        <v>4317</v>
      </c>
      <c r="BE52" s="101" t="s">
        <v>4318</v>
      </c>
      <c r="BF52" s="101" t="s">
        <v>4319</v>
      </c>
      <c r="BG52" s="101" t="s">
        <v>4320</v>
      </c>
      <c r="BH52" s="101" t="s">
        <v>4321</v>
      </c>
      <c r="BI52" s="101" t="s">
        <v>4322</v>
      </c>
      <c r="BJ52" s="101" t="s">
        <v>4323</v>
      </c>
      <c r="BK52" s="101" t="s">
        <v>4324</v>
      </c>
      <c r="BL52" s="102" t="s">
        <v>4325</v>
      </c>
      <c r="BM52" s="100" t="s">
        <v>4310</v>
      </c>
      <c r="BN52" s="101" t="s">
        <v>4326</v>
      </c>
      <c r="BO52" s="101" t="s">
        <v>4327</v>
      </c>
      <c r="BP52" s="101" t="s">
        <v>4313</v>
      </c>
      <c r="BQ52" s="101" t="s">
        <v>4328</v>
      </c>
      <c r="BR52" s="101" t="s">
        <v>4315</v>
      </c>
      <c r="BS52" s="101" t="s">
        <v>4316</v>
      </c>
      <c r="BT52" s="101" t="s">
        <v>4329</v>
      </c>
      <c r="BU52" s="101" t="s">
        <v>4318</v>
      </c>
      <c r="BV52" s="101" t="s">
        <v>4319</v>
      </c>
      <c r="BW52" s="101" t="s">
        <v>4330</v>
      </c>
      <c r="BX52" s="101" t="s">
        <v>4321</v>
      </c>
      <c r="BY52" s="101" t="s">
        <v>4331</v>
      </c>
      <c r="BZ52" s="101" t="s">
        <v>4323</v>
      </c>
      <c r="CA52" s="101" t="s">
        <v>4332</v>
      </c>
      <c r="CB52" s="102" t="s">
        <v>4333</v>
      </c>
      <c r="CC52" s="100" t="s">
        <v>3725</v>
      </c>
      <c r="CD52" s="101" t="s">
        <v>3726</v>
      </c>
      <c r="CE52" s="101" t="s">
        <v>3727</v>
      </c>
      <c r="CF52" s="101" t="s">
        <v>3728</v>
      </c>
      <c r="CG52" s="101" t="s">
        <v>3729</v>
      </c>
      <c r="CH52" s="101" t="s">
        <v>3730</v>
      </c>
      <c r="CI52" s="101" t="s">
        <v>3731</v>
      </c>
      <c r="CJ52" s="101" t="s">
        <v>3732</v>
      </c>
      <c r="CK52" s="101" t="s">
        <v>3733</v>
      </c>
      <c r="CL52" s="101" t="s">
        <v>3734</v>
      </c>
      <c r="CM52" s="101" t="s">
        <v>3735</v>
      </c>
      <c r="CN52" s="101" t="s">
        <v>3736</v>
      </c>
      <c r="CO52" s="101" t="s">
        <v>3737</v>
      </c>
      <c r="CP52" s="101" t="s">
        <v>3738</v>
      </c>
      <c r="CQ52" s="101" t="s">
        <v>3739</v>
      </c>
      <c r="CR52" s="107"/>
    </row>
    <row r="53">
      <c r="A53" s="103"/>
      <c r="B53" s="103"/>
      <c r="C53" s="103"/>
      <c r="D53" s="103"/>
      <c r="E53" s="103"/>
      <c r="F53" s="103"/>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0" t="s">
        <v>4334</v>
      </c>
      <c r="AH53" s="101" t="s">
        <v>4335</v>
      </c>
      <c r="AI53" s="101" t="s">
        <v>4336</v>
      </c>
      <c r="AJ53" s="101" t="s">
        <v>4337</v>
      </c>
      <c r="AK53" s="101" t="s">
        <v>4338</v>
      </c>
      <c r="AL53" s="101" t="s">
        <v>4339</v>
      </c>
      <c r="AM53" s="101" t="s">
        <v>4340</v>
      </c>
      <c r="AN53" s="101" t="s">
        <v>4341</v>
      </c>
      <c r="AO53" s="101" t="s">
        <v>4342</v>
      </c>
      <c r="AP53" s="101" t="s">
        <v>4343</v>
      </c>
      <c r="AQ53" s="101" t="s">
        <v>4344</v>
      </c>
      <c r="AR53" s="101" t="s">
        <v>4345</v>
      </c>
      <c r="AS53" s="101" t="s">
        <v>4346</v>
      </c>
      <c r="AT53" s="101" t="s">
        <v>4347</v>
      </c>
      <c r="AU53" s="101" t="s">
        <v>4348</v>
      </c>
      <c r="AV53" s="102" t="s">
        <v>4349</v>
      </c>
      <c r="AW53" s="100" t="s">
        <v>4350</v>
      </c>
      <c r="AX53" s="101" t="s">
        <v>4351</v>
      </c>
      <c r="AY53" s="101" t="s">
        <v>4352</v>
      </c>
      <c r="AZ53" s="101" t="s">
        <v>4353</v>
      </c>
      <c r="BA53" s="101" t="s">
        <v>4354</v>
      </c>
      <c r="BB53" s="101" t="s">
        <v>4355</v>
      </c>
      <c r="BC53" s="101" t="s">
        <v>4356</v>
      </c>
      <c r="BD53" s="101" t="s">
        <v>4357</v>
      </c>
      <c r="BE53" s="101" t="s">
        <v>4358</v>
      </c>
      <c r="BF53" s="101" t="s">
        <v>4359</v>
      </c>
      <c r="BG53" s="101" t="s">
        <v>4360</v>
      </c>
      <c r="BH53" s="101" t="s">
        <v>4361</v>
      </c>
      <c r="BI53" s="101" t="s">
        <v>4362</v>
      </c>
      <c r="BJ53" s="101" t="s">
        <v>4363</v>
      </c>
      <c r="BK53" s="101" t="s">
        <v>4364</v>
      </c>
      <c r="BL53" s="102" t="s">
        <v>4365</v>
      </c>
      <c r="BM53" s="100" t="s">
        <v>4366</v>
      </c>
      <c r="BN53" s="101" t="s">
        <v>4367</v>
      </c>
      <c r="BO53" s="101" t="s">
        <v>4368</v>
      </c>
      <c r="BP53" s="101" t="s">
        <v>4369</v>
      </c>
      <c r="BQ53" s="101" t="s">
        <v>4370</v>
      </c>
      <c r="BR53" s="101" t="s">
        <v>4371</v>
      </c>
      <c r="BS53" s="101" t="s">
        <v>4356</v>
      </c>
      <c r="BT53" s="101" t="s">
        <v>4372</v>
      </c>
      <c r="BU53" s="101" t="s">
        <v>4358</v>
      </c>
      <c r="BV53" s="101" t="s">
        <v>4373</v>
      </c>
      <c r="BW53" s="101" t="s">
        <v>4374</v>
      </c>
      <c r="BX53" s="101" t="s">
        <v>4361</v>
      </c>
      <c r="BY53" s="101" t="s">
        <v>4375</v>
      </c>
      <c r="BZ53" s="101" t="s">
        <v>4363</v>
      </c>
      <c r="CA53" s="101" t="s">
        <v>4376</v>
      </c>
      <c r="CB53" s="102" t="s">
        <v>4377</v>
      </c>
      <c r="CC53" s="105"/>
      <c r="CD53" s="101" t="s">
        <v>3769</v>
      </c>
      <c r="CE53" s="101" t="s">
        <v>3770</v>
      </c>
      <c r="CF53" s="101" t="s">
        <v>3771</v>
      </c>
      <c r="CG53" s="101" t="s">
        <v>3772</v>
      </c>
      <c r="CH53" s="101" t="s">
        <v>3773</v>
      </c>
      <c r="CI53" s="101" t="s">
        <v>3774</v>
      </c>
      <c r="CJ53" s="101" t="s">
        <v>3775</v>
      </c>
      <c r="CK53" s="101" t="s">
        <v>3776</v>
      </c>
      <c r="CL53" s="101" t="s">
        <v>3777</v>
      </c>
      <c r="CM53" s="101" t="s">
        <v>3778</v>
      </c>
      <c r="CN53" s="101" t="s">
        <v>3779</v>
      </c>
      <c r="CO53" s="101" t="s">
        <v>3780</v>
      </c>
      <c r="CP53" s="101" t="s">
        <v>3781</v>
      </c>
      <c r="CQ53" s="101" t="s">
        <v>3782</v>
      </c>
      <c r="CR53" s="102" t="s">
        <v>3783</v>
      </c>
    </row>
    <row r="54">
      <c r="A54" s="103"/>
      <c r="B54" s="103"/>
      <c r="C54" s="103"/>
      <c r="D54" s="103"/>
      <c r="E54" s="103"/>
      <c r="F54" s="103"/>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0" t="s">
        <v>4378</v>
      </c>
      <c r="AH54" s="101" t="s">
        <v>4379</v>
      </c>
      <c r="AI54" s="101" t="s">
        <v>4380</v>
      </c>
      <c r="AJ54" s="101" t="s">
        <v>4381</v>
      </c>
      <c r="AK54" s="101" t="s">
        <v>4382</v>
      </c>
      <c r="AL54" s="101" t="s">
        <v>4383</v>
      </c>
      <c r="AM54" s="101" t="s">
        <v>4384</v>
      </c>
      <c r="AN54" s="101" t="s">
        <v>4385</v>
      </c>
      <c r="AO54" s="101" t="s">
        <v>4386</v>
      </c>
      <c r="AP54" s="101" t="s">
        <v>4387</v>
      </c>
      <c r="AQ54" s="101" t="s">
        <v>4388</v>
      </c>
      <c r="AR54" s="101" t="s">
        <v>4389</v>
      </c>
      <c r="AS54" s="101" t="s">
        <v>4390</v>
      </c>
      <c r="AT54" s="101" t="s">
        <v>4391</v>
      </c>
      <c r="AU54" s="101" t="s">
        <v>4392</v>
      </c>
      <c r="AV54" s="102" t="s">
        <v>4393</v>
      </c>
      <c r="AW54" s="100" t="s">
        <v>4394</v>
      </c>
      <c r="AX54" s="101" t="s">
        <v>4395</v>
      </c>
      <c r="AY54" s="101" t="s">
        <v>4396</v>
      </c>
      <c r="AZ54" s="101" t="s">
        <v>4397</v>
      </c>
      <c r="BA54" s="101" t="s">
        <v>4398</v>
      </c>
      <c r="BB54" s="101" t="s">
        <v>4399</v>
      </c>
      <c r="BC54" s="101" t="s">
        <v>658</v>
      </c>
      <c r="BD54" s="101" t="s">
        <v>4400</v>
      </c>
      <c r="BE54" s="101" t="s">
        <v>4401</v>
      </c>
      <c r="BF54" s="101" t="s">
        <v>4402</v>
      </c>
      <c r="BG54" s="101" t="s">
        <v>4403</v>
      </c>
      <c r="BH54" s="101" t="s">
        <v>4404</v>
      </c>
      <c r="BI54" s="101" t="s">
        <v>4405</v>
      </c>
      <c r="BJ54" s="101" t="s">
        <v>4406</v>
      </c>
      <c r="BK54" s="101" t="s">
        <v>4407</v>
      </c>
      <c r="BL54" s="102" t="s">
        <v>4408</v>
      </c>
      <c r="BM54" s="100" t="s">
        <v>4394</v>
      </c>
      <c r="BN54" s="101" t="s">
        <v>4409</v>
      </c>
      <c r="BO54" s="101" t="s">
        <v>4410</v>
      </c>
      <c r="BP54" s="101" t="s">
        <v>4411</v>
      </c>
      <c r="BQ54" s="101" t="s">
        <v>4398</v>
      </c>
      <c r="BR54" s="101" t="s">
        <v>4412</v>
      </c>
      <c r="BS54" s="101" t="s">
        <v>659</v>
      </c>
      <c r="BT54" s="101" t="s">
        <v>4413</v>
      </c>
      <c r="BU54" s="101" t="s">
        <v>4414</v>
      </c>
      <c r="BV54" s="101" t="s">
        <v>4415</v>
      </c>
      <c r="BW54" s="101" t="s">
        <v>4416</v>
      </c>
      <c r="BX54" s="101" t="s">
        <v>4417</v>
      </c>
      <c r="BY54" s="101" t="s">
        <v>4418</v>
      </c>
      <c r="BZ54" s="101" t="s">
        <v>4419</v>
      </c>
      <c r="CA54" s="101" t="s">
        <v>4420</v>
      </c>
      <c r="CB54" s="102" t="s">
        <v>4408</v>
      </c>
      <c r="CC54" s="100" t="s">
        <v>3800</v>
      </c>
      <c r="CD54" s="101" t="s">
        <v>3801</v>
      </c>
      <c r="CE54" s="101" t="s">
        <v>3802</v>
      </c>
      <c r="CF54" s="101" t="s">
        <v>3803</v>
      </c>
      <c r="CG54" s="101" t="s">
        <v>3804</v>
      </c>
      <c r="CH54" s="101" t="s">
        <v>3805</v>
      </c>
      <c r="CI54" s="101" t="s">
        <v>3806</v>
      </c>
      <c r="CJ54" s="101" t="s">
        <v>3807</v>
      </c>
      <c r="CK54" s="101" t="s">
        <v>3808</v>
      </c>
      <c r="CL54" s="101" t="s">
        <v>3809</v>
      </c>
      <c r="CM54" s="101" t="s">
        <v>3810</v>
      </c>
      <c r="CN54" s="101" t="s">
        <v>3811</v>
      </c>
      <c r="CO54" s="101" t="s">
        <v>3812</v>
      </c>
      <c r="CP54" s="101" t="s">
        <v>3813</v>
      </c>
      <c r="CQ54" s="101" t="s">
        <v>3814</v>
      </c>
      <c r="CR54" s="102" t="s">
        <v>3815</v>
      </c>
    </row>
    <row r="55">
      <c r="A55" s="103"/>
      <c r="B55" s="103"/>
      <c r="C55" s="103"/>
      <c r="D55" s="103"/>
      <c r="E55" s="103"/>
      <c r="F55" s="103"/>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5"/>
      <c r="AH55" s="106"/>
      <c r="AI55" s="106"/>
      <c r="AJ55" s="106"/>
      <c r="AK55" s="106"/>
      <c r="AL55" s="106"/>
      <c r="AM55" s="106"/>
      <c r="AN55" s="106"/>
      <c r="AO55" s="106"/>
      <c r="AP55" s="106"/>
      <c r="AQ55" s="106"/>
      <c r="AR55" s="106"/>
      <c r="AS55" s="106"/>
      <c r="AT55" s="106"/>
      <c r="AU55" s="106"/>
      <c r="AV55" s="107"/>
      <c r="AW55" s="100" t="s">
        <v>4421</v>
      </c>
      <c r="AX55" s="101" t="s">
        <v>4422</v>
      </c>
      <c r="AY55" s="101" t="s">
        <v>4423</v>
      </c>
      <c r="AZ55" s="101" t="s">
        <v>4424</v>
      </c>
      <c r="BA55" s="101" t="s">
        <v>4425</v>
      </c>
      <c r="BB55" s="101" t="s">
        <v>4426</v>
      </c>
      <c r="BC55" s="101" t="s">
        <v>4427</v>
      </c>
      <c r="BD55" s="101" t="s">
        <v>4428</v>
      </c>
      <c r="BE55" s="101" t="s">
        <v>4429</v>
      </c>
      <c r="BF55" s="101" t="s">
        <v>4430</v>
      </c>
      <c r="BG55" s="101" t="s">
        <v>4431</v>
      </c>
      <c r="BH55" s="101" t="s">
        <v>4432</v>
      </c>
      <c r="BI55" s="101" t="s">
        <v>4433</v>
      </c>
      <c r="BJ55" s="101" t="s">
        <v>4434</v>
      </c>
      <c r="BK55" s="101" t="s">
        <v>4435</v>
      </c>
      <c r="BL55" s="102" t="s">
        <v>4436</v>
      </c>
      <c r="BM55" s="100" t="s">
        <v>4421</v>
      </c>
      <c r="BN55" s="101" t="s">
        <v>4437</v>
      </c>
      <c r="BO55" s="101" t="s">
        <v>4438</v>
      </c>
      <c r="BP55" s="101" t="s">
        <v>4439</v>
      </c>
      <c r="BQ55" s="101" t="s">
        <v>4440</v>
      </c>
      <c r="BR55" s="101" t="s">
        <v>4441</v>
      </c>
      <c r="BS55" s="101" t="s">
        <v>4427</v>
      </c>
      <c r="BT55" s="101" t="s">
        <v>4442</v>
      </c>
      <c r="BU55" s="101" t="s">
        <v>4429</v>
      </c>
      <c r="BV55" s="101" t="s">
        <v>4430</v>
      </c>
      <c r="BW55" s="101" t="s">
        <v>4431</v>
      </c>
      <c r="BX55" s="101" t="s">
        <v>4432</v>
      </c>
      <c r="BY55" s="101" t="s">
        <v>4433</v>
      </c>
      <c r="BZ55" s="101" t="s">
        <v>4434</v>
      </c>
      <c r="CA55" s="101" t="s">
        <v>4443</v>
      </c>
      <c r="CB55" s="102" t="s">
        <v>4436</v>
      </c>
      <c r="CC55" s="100" t="s">
        <v>3852</v>
      </c>
      <c r="CD55" s="101" t="s">
        <v>3853</v>
      </c>
      <c r="CE55" s="101" t="s">
        <v>3854</v>
      </c>
      <c r="CF55" s="101" t="s">
        <v>3855</v>
      </c>
      <c r="CG55" s="101" t="s">
        <v>3856</v>
      </c>
      <c r="CH55" s="101" t="s">
        <v>3857</v>
      </c>
      <c r="CI55" s="101" t="s">
        <v>3858</v>
      </c>
      <c r="CJ55" s="101" t="s">
        <v>3859</v>
      </c>
      <c r="CK55" s="101" t="s">
        <v>3860</v>
      </c>
      <c r="CL55" s="101" t="s">
        <v>3861</v>
      </c>
      <c r="CM55" s="101" t="s">
        <v>3862</v>
      </c>
      <c r="CN55" s="101" t="s">
        <v>3863</v>
      </c>
      <c r="CO55" s="101" t="s">
        <v>3864</v>
      </c>
      <c r="CP55" s="101" t="s">
        <v>3865</v>
      </c>
      <c r="CQ55" s="101" t="s">
        <v>3866</v>
      </c>
      <c r="CR55" s="102" t="s">
        <v>3867</v>
      </c>
    </row>
    <row r="56">
      <c r="A56" s="103"/>
      <c r="B56" s="103"/>
      <c r="C56" s="103"/>
      <c r="D56" s="103"/>
      <c r="E56" s="103"/>
      <c r="F56" s="103"/>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0" t="s">
        <v>4444</v>
      </c>
      <c r="AH56" s="101" t="s">
        <v>4445</v>
      </c>
      <c r="AI56" s="101" t="s">
        <v>4446</v>
      </c>
      <c r="AJ56" s="101" t="s">
        <v>4447</v>
      </c>
      <c r="AK56" s="101" t="s">
        <v>4448</v>
      </c>
      <c r="AL56" s="101" t="s">
        <v>4449</v>
      </c>
      <c r="AM56" s="101" t="s">
        <v>4450</v>
      </c>
      <c r="AN56" s="101" t="s">
        <v>4451</v>
      </c>
      <c r="AO56" s="101" t="s">
        <v>4452</v>
      </c>
      <c r="AP56" s="101" t="s">
        <v>4453</v>
      </c>
      <c r="AQ56" s="101" t="s">
        <v>4454</v>
      </c>
      <c r="AR56" s="101" t="s">
        <v>4455</v>
      </c>
      <c r="AS56" s="101" t="s">
        <v>4456</v>
      </c>
      <c r="AT56" s="101" t="s">
        <v>4457</v>
      </c>
      <c r="AU56" s="101" t="s">
        <v>4458</v>
      </c>
      <c r="AV56" s="107"/>
      <c r="AW56" s="100" t="s">
        <v>4459</v>
      </c>
      <c r="AX56" s="101" t="s">
        <v>4460</v>
      </c>
      <c r="AY56" s="101" t="s">
        <v>4461</v>
      </c>
      <c r="AZ56" s="101" t="s">
        <v>4462</v>
      </c>
      <c r="BA56" s="101" t="s">
        <v>4463</v>
      </c>
      <c r="BB56" s="101" t="s">
        <v>4464</v>
      </c>
      <c r="BC56" s="101" t="s">
        <v>4465</v>
      </c>
      <c r="BD56" s="101" t="s">
        <v>4466</v>
      </c>
      <c r="BE56" s="101" t="s">
        <v>4467</v>
      </c>
      <c r="BF56" s="101" t="s">
        <v>4468</v>
      </c>
      <c r="BG56" s="101" t="s">
        <v>4469</v>
      </c>
      <c r="BH56" s="101" t="s">
        <v>4470</v>
      </c>
      <c r="BI56" s="101" t="s">
        <v>4471</v>
      </c>
      <c r="BJ56" s="101" t="s">
        <v>4472</v>
      </c>
      <c r="BK56" s="101" t="s">
        <v>4473</v>
      </c>
      <c r="BL56" s="102" t="s">
        <v>4474</v>
      </c>
      <c r="BM56" s="100" t="s">
        <v>4459</v>
      </c>
      <c r="BN56" s="101" t="s">
        <v>4460</v>
      </c>
      <c r="BO56" s="101" t="s">
        <v>4461</v>
      </c>
      <c r="BP56" s="101" t="s">
        <v>4462</v>
      </c>
      <c r="BQ56" s="101" t="s">
        <v>4475</v>
      </c>
      <c r="BR56" s="101" t="s">
        <v>4464</v>
      </c>
      <c r="BS56" s="101" t="s">
        <v>4465</v>
      </c>
      <c r="BT56" s="101" t="s">
        <v>4466</v>
      </c>
      <c r="BU56" s="101" t="s">
        <v>4467</v>
      </c>
      <c r="BV56" s="101" t="s">
        <v>4468</v>
      </c>
      <c r="BW56" s="101" t="s">
        <v>4476</v>
      </c>
      <c r="BX56" s="101" t="s">
        <v>4470</v>
      </c>
      <c r="BY56" s="101" t="s">
        <v>4477</v>
      </c>
      <c r="BZ56" s="101" t="s">
        <v>4472</v>
      </c>
      <c r="CA56" s="101" t="s">
        <v>4473</v>
      </c>
      <c r="CB56" s="102" t="s">
        <v>4474</v>
      </c>
      <c r="CC56" s="100" t="s">
        <v>3890</v>
      </c>
      <c r="CD56" s="101" t="s">
        <v>3891</v>
      </c>
      <c r="CE56" s="101" t="s">
        <v>3892</v>
      </c>
      <c r="CF56" s="101" t="s">
        <v>3893</v>
      </c>
      <c r="CG56" s="101" t="s">
        <v>3894</v>
      </c>
      <c r="CH56" s="101" t="s">
        <v>3895</v>
      </c>
      <c r="CI56" s="101" t="s">
        <v>3896</v>
      </c>
      <c r="CJ56" s="101" t="s">
        <v>3897</v>
      </c>
      <c r="CK56" s="101" t="s">
        <v>3898</v>
      </c>
      <c r="CL56" s="101" t="s">
        <v>3899</v>
      </c>
      <c r="CM56" s="101" t="s">
        <v>3900</v>
      </c>
      <c r="CN56" s="101" t="s">
        <v>3901</v>
      </c>
      <c r="CO56" s="101" t="s">
        <v>3902</v>
      </c>
      <c r="CP56" s="101" t="s">
        <v>3903</v>
      </c>
      <c r="CQ56" s="101" t="s">
        <v>3904</v>
      </c>
      <c r="CR56" s="102" t="s">
        <v>3905</v>
      </c>
    </row>
    <row r="57">
      <c r="A57" s="103"/>
      <c r="B57" s="103"/>
      <c r="C57" s="103"/>
      <c r="D57" s="103"/>
      <c r="E57" s="103"/>
      <c r="F57" s="103"/>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5"/>
      <c r="AH57" s="101" t="s">
        <v>4478</v>
      </c>
      <c r="AI57" s="101" t="s">
        <v>4479</v>
      </c>
      <c r="AJ57" s="101" t="s">
        <v>4480</v>
      </c>
      <c r="AK57" s="101" t="s">
        <v>4481</v>
      </c>
      <c r="AL57" s="101" t="s">
        <v>4482</v>
      </c>
      <c r="AM57" s="101" t="s">
        <v>4483</v>
      </c>
      <c r="AN57" s="101" t="s">
        <v>4484</v>
      </c>
      <c r="AO57" s="101" t="s">
        <v>4485</v>
      </c>
      <c r="AP57" s="101" t="s">
        <v>4486</v>
      </c>
      <c r="AQ57" s="101" t="s">
        <v>4487</v>
      </c>
      <c r="AR57" s="101" t="s">
        <v>4488</v>
      </c>
      <c r="AS57" s="101" t="s">
        <v>4489</v>
      </c>
      <c r="AT57" s="101" t="s">
        <v>4490</v>
      </c>
      <c r="AU57" s="101" t="s">
        <v>4491</v>
      </c>
      <c r="AV57" s="102" t="s">
        <v>4492</v>
      </c>
      <c r="AW57" s="100" t="s">
        <v>4493</v>
      </c>
      <c r="AX57" s="101" t="s">
        <v>4494</v>
      </c>
      <c r="AY57" s="101" t="s">
        <v>4495</v>
      </c>
      <c r="AZ57" s="101" t="s">
        <v>4496</v>
      </c>
      <c r="BA57" s="101" t="s">
        <v>4497</v>
      </c>
      <c r="BB57" s="101" t="s">
        <v>4498</v>
      </c>
      <c r="BC57" s="101" t="s">
        <v>4499</v>
      </c>
      <c r="BD57" s="101" t="s">
        <v>4500</v>
      </c>
      <c r="BE57" s="101" t="s">
        <v>4501</v>
      </c>
      <c r="BF57" s="101" t="s">
        <v>4502</v>
      </c>
      <c r="BG57" s="101" t="s">
        <v>4503</v>
      </c>
      <c r="BH57" s="101" t="s">
        <v>4504</v>
      </c>
      <c r="BI57" s="101" t="s">
        <v>4505</v>
      </c>
      <c r="BJ57" s="101" t="s">
        <v>4506</v>
      </c>
      <c r="BK57" s="101" t="s">
        <v>4507</v>
      </c>
      <c r="BL57" s="102" t="s">
        <v>4508</v>
      </c>
      <c r="BM57" s="100" t="s">
        <v>4493</v>
      </c>
      <c r="BN57" s="101" t="s">
        <v>4494</v>
      </c>
      <c r="BO57" s="101" t="s">
        <v>4495</v>
      </c>
      <c r="BP57" s="101" t="s">
        <v>4496</v>
      </c>
      <c r="BQ57" s="101" t="s">
        <v>4497</v>
      </c>
      <c r="BR57" s="101" t="s">
        <v>4509</v>
      </c>
      <c r="BS57" s="101" t="s">
        <v>4499</v>
      </c>
      <c r="BT57" s="101" t="s">
        <v>4500</v>
      </c>
      <c r="BU57" s="101" t="s">
        <v>4501</v>
      </c>
      <c r="BV57" s="101" t="s">
        <v>4502</v>
      </c>
      <c r="BW57" s="101" t="s">
        <v>4503</v>
      </c>
      <c r="BX57" s="101" t="s">
        <v>4504</v>
      </c>
      <c r="BY57" s="101" t="s">
        <v>4505</v>
      </c>
      <c r="BZ57" s="101" t="s">
        <v>4506</v>
      </c>
      <c r="CA57" s="101" t="s">
        <v>4507</v>
      </c>
      <c r="CB57" s="102" t="s">
        <v>4508</v>
      </c>
      <c r="CC57" s="100" t="s">
        <v>3927</v>
      </c>
      <c r="CD57" s="101" t="s">
        <v>3928</v>
      </c>
      <c r="CE57" s="101" t="s">
        <v>3929</v>
      </c>
      <c r="CF57" s="101" t="s">
        <v>3930</v>
      </c>
      <c r="CG57" s="101" t="s">
        <v>3931</v>
      </c>
      <c r="CH57" s="101" t="s">
        <v>3932</v>
      </c>
      <c r="CI57" s="101" t="s">
        <v>3933</v>
      </c>
      <c r="CJ57" s="101" t="s">
        <v>3934</v>
      </c>
      <c r="CK57" s="101" t="s">
        <v>3935</v>
      </c>
      <c r="CL57" s="101" t="s">
        <v>3936</v>
      </c>
      <c r="CM57" s="101" t="s">
        <v>3937</v>
      </c>
      <c r="CN57" s="101" t="s">
        <v>3938</v>
      </c>
      <c r="CO57" s="101" t="s">
        <v>3939</v>
      </c>
      <c r="CP57" s="101" t="s">
        <v>3940</v>
      </c>
      <c r="CQ57" s="101" t="s">
        <v>3941</v>
      </c>
      <c r="CR57" s="102" t="s">
        <v>3942</v>
      </c>
    </row>
    <row r="58">
      <c r="A58" s="103"/>
      <c r="B58" s="103"/>
      <c r="C58" s="103"/>
      <c r="D58" s="103"/>
      <c r="E58" s="103"/>
      <c r="F58" s="103"/>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0" t="s">
        <v>4510</v>
      </c>
      <c r="AH58" s="101" t="s">
        <v>4511</v>
      </c>
      <c r="AI58" s="101" t="s">
        <v>4512</v>
      </c>
      <c r="AJ58" s="101" t="s">
        <v>4513</v>
      </c>
      <c r="AK58" s="101" t="s">
        <v>4514</v>
      </c>
      <c r="AL58" s="101" t="s">
        <v>4515</v>
      </c>
      <c r="AM58" s="101" t="s">
        <v>4516</v>
      </c>
      <c r="AN58" s="101" t="s">
        <v>4517</v>
      </c>
      <c r="AO58" s="101" t="s">
        <v>4518</v>
      </c>
      <c r="AP58" s="101" t="s">
        <v>4519</v>
      </c>
      <c r="AQ58" s="101" t="s">
        <v>4520</v>
      </c>
      <c r="AR58" s="101" t="s">
        <v>4521</v>
      </c>
      <c r="AS58" s="101" t="s">
        <v>4522</v>
      </c>
      <c r="AT58" s="101" t="s">
        <v>4523</v>
      </c>
      <c r="AU58" s="101" t="s">
        <v>4524</v>
      </c>
      <c r="AV58" s="102" t="s">
        <v>4525</v>
      </c>
      <c r="AW58" s="100" t="s">
        <v>4526</v>
      </c>
      <c r="AX58" s="101" t="s">
        <v>4527</v>
      </c>
      <c r="AY58" s="101" t="s">
        <v>4528</v>
      </c>
      <c r="AZ58" s="101" t="s">
        <v>4529</v>
      </c>
      <c r="BA58" s="101" t="s">
        <v>4530</v>
      </c>
      <c r="BB58" s="101" t="s">
        <v>4531</v>
      </c>
      <c r="BC58" s="101" t="s">
        <v>4532</v>
      </c>
      <c r="BD58" s="101" t="s">
        <v>4533</v>
      </c>
      <c r="BE58" s="101" t="s">
        <v>4534</v>
      </c>
      <c r="BF58" s="101" t="s">
        <v>4535</v>
      </c>
      <c r="BG58" s="101" t="s">
        <v>4536</v>
      </c>
      <c r="BH58" s="101" t="s">
        <v>4537</v>
      </c>
      <c r="BI58" s="101" t="s">
        <v>4538</v>
      </c>
      <c r="BJ58" s="101" t="s">
        <v>4539</v>
      </c>
      <c r="BK58" s="101" t="s">
        <v>4540</v>
      </c>
      <c r="BL58" s="102" t="s">
        <v>4541</v>
      </c>
      <c r="BM58" s="100" t="s">
        <v>4526</v>
      </c>
      <c r="BN58" s="101" t="s">
        <v>4527</v>
      </c>
      <c r="BO58" s="101" t="s">
        <v>4528</v>
      </c>
      <c r="BP58" s="101" t="s">
        <v>4529</v>
      </c>
      <c r="BQ58" s="101" t="s">
        <v>4530</v>
      </c>
      <c r="BR58" s="101" t="s">
        <v>4531</v>
      </c>
      <c r="BS58" s="101" t="s">
        <v>4532</v>
      </c>
      <c r="BT58" s="101" t="s">
        <v>4533</v>
      </c>
      <c r="BU58" s="101" t="s">
        <v>4534</v>
      </c>
      <c r="BV58" s="101" t="s">
        <v>4535</v>
      </c>
      <c r="BW58" s="101" t="s">
        <v>4536</v>
      </c>
      <c r="BX58" s="101" t="s">
        <v>4537</v>
      </c>
      <c r="BY58" s="101" t="s">
        <v>4538</v>
      </c>
      <c r="BZ58" s="101" t="s">
        <v>4539</v>
      </c>
      <c r="CA58" s="101" t="s">
        <v>4542</v>
      </c>
      <c r="CB58" s="102" t="s">
        <v>4541</v>
      </c>
      <c r="CC58" s="100" t="s">
        <v>3963</v>
      </c>
      <c r="CD58" s="101" t="s">
        <v>3964</v>
      </c>
      <c r="CE58" s="101" t="s">
        <v>3965</v>
      </c>
      <c r="CF58" s="101" t="s">
        <v>3966</v>
      </c>
      <c r="CG58" s="101" t="s">
        <v>3967</v>
      </c>
      <c r="CH58" s="101" t="s">
        <v>3968</v>
      </c>
      <c r="CI58" s="101" t="s">
        <v>3969</v>
      </c>
      <c r="CJ58" s="101" t="s">
        <v>3970</v>
      </c>
      <c r="CK58" s="101" t="s">
        <v>3971</v>
      </c>
      <c r="CL58" s="101" t="s">
        <v>3972</v>
      </c>
      <c r="CM58" s="101" t="s">
        <v>3973</v>
      </c>
      <c r="CN58" s="101" t="s">
        <v>3974</v>
      </c>
      <c r="CO58" s="101" t="s">
        <v>3975</v>
      </c>
      <c r="CP58" s="101" t="s">
        <v>3976</v>
      </c>
      <c r="CQ58" s="101" t="s">
        <v>3977</v>
      </c>
      <c r="CR58" s="107"/>
    </row>
    <row r="59">
      <c r="A59" s="103"/>
      <c r="B59" s="103"/>
      <c r="C59" s="103"/>
      <c r="D59" s="103"/>
      <c r="E59" s="103"/>
      <c r="F59" s="103"/>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0" t="s">
        <v>4543</v>
      </c>
      <c r="AH59" s="101" t="s">
        <v>4544</v>
      </c>
      <c r="AI59" s="101" t="s">
        <v>4545</v>
      </c>
      <c r="AJ59" s="101" t="s">
        <v>4546</v>
      </c>
      <c r="AK59" s="101" t="s">
        <v>4547</v>
      </c>
      <c r="AL59" s="101" t="s">
        <v>4548</v>
      </c>
      <c r="AM59" s="101" t="s">
        <v>4549</v>
      </c>
      <c r="AN59" s="101" t="s">
        <v>4550</v>
      </c>
      <c r="AO59" s="101" t="s">
        <v>4551</v>
      </c>
      <c r="AP59" s="101" t="s">
        <v>4552</v>
      </c>
      <c r="AQ59" s="101" t="s">
        <v>4553</v>
      </c>
      <c r="AR59" s="101" t="s">
        <v>4554</v>
      </c>
      <c r="AS59" s="101" t="s">
        <v>4555</v>
      </c>
      <c r="AT59" s="101" t="s">
        <v>4556</v>
      </c>
      <c r="AU59" s="101" t="s">
        <v>4557</v>
      </c>
      <c r="AV59" s="102" t="s">
        <v>4558</v>
      </c>
      <c r="AW59" s="100" t="s">
        <v>4559</v>
      </c>
      <c r="AX59" s="101" t="s">
        <v>4560</v>
      </c>
      <c r="AY59" s="101" t="s">
        <v>4561</v>
      </c>
      <c r="AZ59" s="101" t="s">
        <v>4562</v>
      </c>
      <c r="BA59" s="101" t="s">
        <v>4563</v>
      </c>
      <c r="BB59" s="101" t="s">
        <v>4564</v>
      </c>
      <c r="BC59" s="101" t="s">
        <v>4565</v>
      </c>
      <c r="BD59" s="101" t="s">
        <v>4566</v>
      </c>
      <c r="BE59" s="101" t="s">
        <v>4567</v>
      </c>
      <c r="BF59" s="101" t="s">
        <v>4568</v>
      </c>
      <c r="BG59" s="101" t="s">
        <v>4569</v>
      </c>
      <c r="BH59" s="101" t="s">
        <v>4570</v>
      </c>
      <c r="BI59" s="101" t="s">
        <v>4571</v>
      </c>
      <c r="BJ59" s="101" t="s">
        <v>4572</v>
      </c>
      <c r="BK59" s="101" t="s">
        <v>4573</v>
      </c>
      <c r="BL59" s="102" t="s">
        <v>4574</v>
      </c>
      <c r="BM59" s="100" t="s">
        <v>4559</v>
      </c>
      <c r="BN59" s="101" t="s">
        <v>4560</v>
      </c>
      <c r="BO59" s="101" t="s">
        <v>4575</v>
      </c>
      <c r="BP59" s="101" t="s">
        <v>4562</v>
      </c>
      <c r="BQ59" s="101" t="s">
        <v>4563</v>
      </c>
      <c r="BR59" s="101" t="s">
        <v>4576</v>
      </c>
      <c r="BS59" s="101" t="s">
        <v>4577</v>
      </c>
      <c r="BT59" s="101" t="s">
        <v>4566</v>
      </c>
      <c r="BU59" s="101" t="s">
        <v>4567</v>
      </c>
      <c r="BV59" s="101" t="s">
        <v>4568</v>
      </c>
      <c r="BW59" s="101" t="s">
        <v>4569</v>
      </c>
      <c r="BX59" s="101" t="s">
        <v>4570</v>
      </c>
      <c r="BY59" s="101" t="s">
        <v>4578</v>
      </c>
      <c r="BZ59" s="101" t="s">
        <v>4572</v>
      </c>
      <c r="CA59" s="101" t="s">
        <v>4579</v>
      </c>
      <c r="CB59" s="102" t="s">
        <v>4580</v>
      </c>
      <c r="CC59" s="105"/>
      <c r="CD59" s="101" t="s">
        <v>3996</v>
      </c>
      <c r="CE59" s="101" t="s">
        <v>3997</v>
      </c>
      <c r="CF59" s="101" t="s">
        <v>3998</v>
      </c>
      <c r="CG59" s="101" t="s">
        <v>3999</v>
      </c>
      <c r="CH59" s="101" t="s">
        <v>4000</v>
      </c>
      <c r="CI59" s="101" t="s">
        <v>4001</v>
      </c>
      <c r="CJ59" s="101" t="s">
        <v>4002</v>
      </c>
      <c r="CK59" s="101" t="s">
        <v>4003</v>
      </c>
      <c r="CL59" s="101" t="s">
        <v>4004</v>
      </c>
      <c r="CM59" s="101" t="s">
        <v>4005</v>
      </c>
      <c r="CN59" s="101" t="s">
        <v>4006</v>
      </c>
      <c r="CO59" s="101" t="s">
        <v>4007</v>
      </c>
      <c r="CP59" s="101" t="s">
        <v>4008</v>
      </c>
      <c r="CQ59" s="101" t="s">
        <v>4009</v>
      </c>
      <c r="CR59" s="102" t="s">
        <v>4010</v>
      </c>
    </row>
    <row r="60">
      <c r="A60" s="103"/>
      <c r="B60" s="103"/>
      <c r="C60" s="103"/>
      <c r="D60" s="103"/>
      <c r="E60" s="103"/>
      <c r="F60" s="103"/>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0" t="s">
        <v>4581</v>
      </c>
      <c r="AH60" s="101" t="s">
        <v>4582</v>
      </c>
      <c r="AI60" s="101" t="s">
        <v>4583</v>
      </c>
      <c r="AJ60" s="101" t="s">
        <v>4584</v>
      </c>
      <c r="AK60" s="101" t="s">
        <v>4585</v>
      </c>
      <c r="AL60" s="101" t="s">
        <v>4586</v>
      </c>
      <c r="AM60" s="101" t="s">
        <v>4587</v>
      </c>
      <c r="AN60" s="101" t="s">
        <v>4588</v>
      </c>
      <c r="AO60" s="101" t="s">
        <v>4589</v>
      </c>
      <c r="AP60" s="101" t="s">
        <v>4590</v>
      </c>
      <c r="AQ60" s="101" t="s">
        <v>4591</v>
      </c>
      <c r="AR60" s="101" t="s">
        <v>4592</v>
      </c>
      <c r="AS60" s="101" t="s">
        <v>4593</v>
      </c>
      <c r="AT60" s="101" t="s">
        <v>4594</v>
      </c>
      <c r="AU60" s="101" t="s">
        <v>4595</v>
      </c>
      <c r="AV60" s="102" t="s">
        <v>4596</v>
      </c>
      <c r="AW60" s="100" t="s">
        <v>4597</v>
      </c>
      <c r="AX60" s="101" t="s">
        <v>4598</v>
      </c>
      <c r="AY60" s="101" t="s">
        <v>4599</v>
      </c>
      <c r="AZ60" s="101" t="s">
        <v>4600</v>
      </c>
      <c r="BA60" s="101" t="s">
        <v>4601</v>
      </c>
      <c r="BB60" s="101" t="s">
        <v>4602</v>
      </c>
      <c r="BC60" s="101" t="s">
        <v>4603</v>
      </c>
      <c r="BD60" s="101" t="s">
        <v>4604</v>
      </c>
      <c r="BE60" s="101" t="s">
        <v>4605</v>
      </c>
      <c r="BF60" s="101" t="s">
        <v>4606</v>
      </c>
      <c r="BG60" s="101" t="s">
        <v>4607</v>
      </c>
      <c r="BH60" s="101" t="s">
        <v>4608</v>
      </c>
      <c r="BI60" s="101" t="s">
        <v>4609</v>
      </c>
      <c r="BJ60" s="101" t="s">
        <v>4610</v>
      </c>
      <c r="BK60" s="101" t="s">
        <v>4611</v>
      </c>
      <c r="BL60" s="102" t="s">
        <v>4612</v>
      </c>
      <c r="BM60" s="100" t="s">
        <v>4597</v>
      </c>
      <c r="BN60" s="101" t="s">
        <v>4613</v>
      </c>
      <c r="BO60" s="101" t="s">
        <v>4614</v>
      </c>
      <c r="BP60" s="101" t="s">
        <v>4600</v>
      </c>
      <c r="BQ60" s="101" t="s">
        <v>4601</v>
      </c>
      <c r="BR60" s="101" t="s">
        <v>4615</v>
      </c>
      <c r="BS60" s="101" t="s">
        <v>4616</v>
      </c>
      <c r="BT60" s="101" t="s">
        <v>4604</v>
      </c>
      <c r="BU60" s="101" t="s">
        <v>4617</v>
      </c>
      <c r="BV60" s="101" t="s">
        <v>4606</v>
      </c>
      <c r="BW60" s="101" t="s">
        <v>4607</v>
      </c>
      <c r="BX60" s="101" t="s">
        <v>4608</v>
      </c>
      <c r="BY60" s="101" t="s">
        <v>4609</v>
      </c>
      <c r="BZ60" s="101" t="s">
        <v>4610</v>
      </c>
      <c r="CA60" s="101" t="s">
        <v>4611</v>
      </c>
      <c r="CB60" s="102" t="s">
        <v>4612</v>
      </c>
      <c r="CC60" s="100" t="s">
        <v>4032</v>
      </c>
      <c r="CD60" s="101" t="s">
        <v>4033</v>
      </c>
      <c r="CE60" s="101" t="s">
        <v>4034</v>
      </c>
      <c r="CF60" s="101" t="s">
        <v>4035</v>
      </c>
      <c r="CG60" s="101" t="s">
        <v>4036</v>
      </c>
      <c r="CH60" s="101" t="s">
        <v>4037</v>
      </c>
      <c r="CI60" s="101" t="s">
        <v>4038</v>
      </c>
      <c r="CJ60" s="101" t="s">
        <v>4039</v>
      </c>
      <c r="CK60" s="101" t="s">
        <v>4040</v>
      </c>
      <c r="CL60" s="101" t="s">
        <v>4041</v>
      </c>
      <c r="CM60" s="101" t="s">
        <v>4042</v>
      </c>
      <c r="CN60" s="101" t="s">
        <v>4043</v>
      </c>
      <c r="CO60" s="101" t="s">
        <v>4044</v>
      </c>
      <c r="CP60" s="101" t="s">
        <v>4045</v>
      </c>
      <c r="CQ60" s="101" t="s">
        <v>4046</v>
      </c>
      <c r="CR60" s="102" t="s">
        <v>4047</v>
      </c>
    </row>
    <row r="61">
      <c r="A61" s="103"/>
      <c r="B61" s="103"/>
      <c r="C61" s="103"/>
      <c r="D61" s="103"/>
      <c r="E61" s="103"/>
      <c r="F61" s="103"/>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0" t="s">
        <v>4618</v>
      </c>
      <c r="AH61" s="101" t="s">
        <v>4619</v>
      </c>
      <c r="AI61" s="101" t="s">
        <v>4620</v>
      </c>
      <c r="AJ61" s="101" t="s">
        <v>4621</v>
      </c>
      <c r="AK61" s="101" t="s">
        <v>4622</v>
      </c>
      <c r="AL61" s="101" t="s">
        <v>4623</v>
      </c>
      <c r="AM61" s="101" t="s">
        <v>4624</v>
      </c>
      <c r="AN61" s="101" t="s">
        <v>4625</v>
      </c>
      <c r="AO61" s="101" t="s">
        <v>4626</v>
      </c>
      <c r="AP61" s="101" t="s">
        <v>4627</v>
      </c>
      <c r="AQ61" s="101" t="s">
        <v>4628</v>
      </c>
      <c r="AR61" s="101" t="s">
        <v>4629</v>
      </c>
      <c r="AS61" s="101" t="s">
        <v>4630</v>
      </c>
      <c r="AT61" s="101" t="s">
        <v>4631</v>
      </c>
      <c r="AU61" s="101" t="s">
        <v>4632</v>
      </c>
      <c r="AV61" s="102" t="s">
        <v>4633</v>
      </c>
      <c r="AW61" s="100" t="s">
        <v>4634</v>
      </c>
      <c r="AX61" s="101" t="s">
        <v>4635</v>
      </c>
      <c r="AY61" s="101" t="s">
        <v>4636</v>
      </c>
      <c r="AZ61" s="101" t="s">
        <v>696</v>
      </c>
      <c r="BA61" s="101" t="s">
        <v>4637</v>
      </c>
      <c r="BB61" s="101" t="s">
        <v>4638</v>
      </c>
      <c r="BC61" s="101" t="s">
        <v>4639</v>
      </c>
      <c r="BD61" s="101" t="s">
        <v>4640</v>
      </c>
      <c r="BE61" s="101" t="s">
        <v>4641</v>
      </c>
      <c r="BF61" s="101" t="s">
        <v>4642</v>
      </c>
      <c r="BG61" s="101" t="s">
        <v>4643</v>
      </c>
      <c r="BH61" s="101" t="s">
        <v>4644</v>
      </c>
      <c r="BI61" s="101" t="s">
        <v>4645</v>
      </c>
      <c r="BJ61" s="101" t="s">
        <v>4646</v>
      </c>
      <c r="BK61" s="101" t="s">
        <v>4647</v>
      </c>
      <c r="BL61" s="102" t="s">
        <v>4648</v>
      </c>
      <c r="BM61" s="100" t="s">
        <v>4634</v>
      </c>
      <c r="BN61" s="101" t="s">
        <v>4635</v>
      </c>
      <c r="BO61" s="101" t="s">
        <v>4636</v>
      </c>
      <c r="BP61" s="101" t="s">
        <v>696</v>
      </c>
      <c r="BQ61" s="101" t="s">
        <v>4637</v>
      </c>
      <c r="BR61" s="101" t="s">
        <v>4638</v>
      </c>
      <c r="BS61" s="101" t="s">
        <v>4649</v>
      </c>
      <c r="BT61" s="101" t="s">
        <v>4640</v>
      </c>
      <c r="BU61" s="101" t="s">
        <v>4641</v>
      </c>
      <c r="BV61" s="101" t="s">
        <v>4642</v>
      </c>
      <c r="BW61" s="101" t="s">
        <v>4643</v>
      </c>
      <c r="BX61" s="101" t="s">
        <v>4650</v>
      </c>
      <c r="BY61" s="101" t="s">
        <v>4651</v>
      </c>
      <c r="BZ61" s="101" t="s">
        <v>4646</v>
      </c>
      <c r="CA61" s="101" t="s">
        <v>4652</v>
      </c>
      <c r="CB61" s="102" t="s">
        <v>4648</v>
      </c>
      <c r="CC61" s="100" t="s">
        <v>4066</v>
      </c>
      <c r="CD61" s="101" t="s">
        <v>4067</v>
      </c>
      <c r="CE61" s="101" t="s">
        <v>4068</v>
      </c>
      <c r="CF61" s="101" t="s">
        <v>4069</v>
      </c>
      <c r="CG61" s="101" t="s">
        <v>4070</v>
      </c>
      <c r="CH61" s="101" t="s">
        <v>4071</v>
      </c>
      <c r="CI61" s="101" t="s">
        <v>4072</v>
      </c>
      <c r="CJ61" s="101" t="s">
        <v>4073</v>
      </c>
      <c r="CK61" s="101" t="s">
        <v>4074</v>
      </c>
      <c r="CL61" s="101" t="s">
        <v>4075</v>
      </c>
      <c r="CM61" s="101" t="s">
        <v>4076</v>
      </c>
      <c r="CN61" s="101" t="s">
        <v>4077</v>
      </c>
      <c r="CO61" s="101" t="s">
        <v>4078</v>
      </c>
      <c r="CP61" s="101" t="s">
        <v>4079</v>
      </c>
      <c r="CQ61" s="101" t="s">
        <v>4080</v>
      </c>
      <c r="CR61" s="102" t="s">
        <v>4081</v>
      </c>
    </row>
    <row r="62">
      <c r="A62" s="103"/>
      <c r="B62" s="103"/>
      <c r="C62" s="103"/>
      <c r="D62" s="103"/>
      <c r="E62" s="103"/>
      <c r="F62" s="103"/>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0" t="s">
        <v>4653</v>
      </c>
      <c r="AH62" s="101" t="s">
        <v>4654</v>
      </c>
      <c r="AI62" s="101" t="s">
        <v>4655</v>
      </c>
      <c r="AJ62" s="101" t="s">
        <v>4656</v>
      </c>
      <c r="AK62" s="101" t="s">
        <v>4657</v>
      </c>
      <c r="AL62" s="101" t="s">
        <v>4658</v>
      </c>
      <c r="AM62" s="101" t="s">
        <v>4659</v>
      </c>
      <c r="AN62" s="101" t="s">
        <v>4660</v>
      </c>
      <c r="AO62" s="101" t="s">
        <v>4661</v>
      </c>
      <c r="AP62" s="101" t="s">
        <v>4662</v>
      </c>
      <c r="AQ62" s="101" t="s">
        <v>4663</v>
      </c>
      <c r="AR62" s="101" t="s">
        <v>4664</v>
      </c>
      <c r="AS62" s="101" t="s">
        <v>4665</v>
      </c>
      <c r="AT62" s="101" t="s">
        <v>4666</v>
      </c>
      <c r="AU62" s="101" t="s">
        <v>4667</v>
      </c>
      <c r="AV62" s="107"/>
      <c r="AW62" s="100" t="s">
        <v>4668</v>
      </c>
      <c r="AX62" s="101" t="s">
        <v>4669</v>
      </c>
      <c r="AY62" s="101" t="s">
        <v>4670</v>
      </c>
      <c r="AZ62" s="101" t="s">
        <v>4671</v>
      </c>
      <c r="BA62" s="101" t="s">
        <v>4672</v>
      </c>
      <c r="BB62" s="101" t="s">
        <v>4673</v>
      </c>
      <c r="BC62" s="101" t="s">
        <v>4674</v>
      </c>
      <c r="BD62" s="101" t="s">
        <v>4675</v>
      </c>
      <c r="BE62" s="101" t="s">
        <v>4676</v>
      </c>
      <c r="BF62" s="101" t="s">
        <v>4677</v>
      </c>
      <c r="BG62" s="101" t="s">
        <v>4678</v>
      </c>
      <c r="BH62" s="101" t="s">
        <v>4679</v>
      </c>
      <c r="BI62" s="101" t="s">
        <v>4680</v>
      </c>
      <c r="BJ62" s="101" t="s">
        <v>4681</v>
      </c>
      <c r="BK62" s="101" t="s">
        <v>4682</v>
      </c>
      <c r="BL62" s="102" t="s">
        <v>4683</v>
      </c>
      <c r="BM62" s="100" t="s">
        <v>4668</v>
      </c>
      <c r="BN62" s="101" t="s">
        <v>4684</v>
      </c>
      <c r="BO62" s="101" t="s">
        <v>4670</v>
      </c>
      <c r="BP62" s="101" t="s">
        <v>4671</v>
      </c>
      <c r="BQ62" s="101" t="s">
        <v>4685</v>
      </c>
      <c r="BR62" s="101" t="s">
        <v>4673</v>
      </c>
      <c r="BS62" s="101" t="s">
        <v>4674</v>
      </c>
      <c r="BT62" s="101" t="s">
        <v>4686</v>
      </c>
      <c r="BU62" s="101" t="s">
        <v>4687</v>
      </c>
      <c r="BV62" s="101" t="s">
        <v>4677</v>
      </c>
      <c r="BW62" s="101" t="s">
        <v>4688</v>
      </c>
      <c r="BX62" s="101" t="s">
        <v>4679</v>
      </c>
      <c r="BY62" s="101" t="s">
        <v>4680</v>
      </c>
      <c r="BZ62" s="101" t="s">
        <v>4689</v>
      </c>
      <c r="CA62" s="101" t="s">
        <v>4682</v>
      </c>
      <c r="CB62" s="102" t="s">
        <v>4690</v>
      </c>
      <c r="CC62" s="100" t="s">
        <v>4106</v>
      </c>
      <c r="CD62" s="101" t="s">
        <v>4107</v>
      </c>
      <c r="CE62" s="101" t="s">
        <v>4108</v>
      </c>
      <c r="CF62" s="101" t="s">
        <v>4109</v>
      </c>
      <c r="CG62" s="101" t="s">
        <v>4110</v>
      </c>
      <c r="CH62" s="101" t="s">
        <v>4111</v>
      </c>
      <c r="CI62" s="101" t="s">
        <v>4112</v>
      </c>
      <c r="CJ62" s="101" t="s">
        <v>4113</v>
      </c>
      <c r="CK62" s="101" t="s">
        <v>4114</v>
      </c>
      <c r="CL62" s="101" t="s">
        <v>4115</v>
      </c>
      <c r="CM62" s="101" t="s">
        <v>4116</v>
      </c>
      <c r="CN62" s="101" t="s">
        <v>4117</v>
      </c>
      <c r="CO62" s="101" t="s">
        <v>4118</v>
      </c>
      <c r="CP62" s="101" t="s">
        <v>4119</v>
      </c>
      <c r="CQ62" s="101" t="s">
        <v>4120</v>
      </c>
      <c r="CR62" s="102" t="s">
        <v>4121</v>
      </c>
    </row>
    <row r="63">
      <c r="A63" s="103"/>
      <c r="B63" s="103"/>
      <c r="C63" s="103"/>
      <c r="D63" s="103"/>
      <c r="E63" s="103"/>
      <c r="F63" s="103"/>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0" t="s">
        <v>4691</v>
      </c>
      <c r="AH63" s="101" t="s">
        <v>4692</v>
      </c>
      <c r="AI63" s="101" t="s">
        <v>4693</v>
      </c>
      <c r="AJ63" s="101" t="s">
        <v>4694</v>
      </c>
      <c r="AK63" s="101" t="s">
        <v>4695</v>
      </c>
      <c r="AL63" s="101" t="s">
        <v>4696</v>
      </c>
      <c r="AM63" s="101" t="s">
        <v>4697</v>
      </c>
      <c r="AN63" s="101" t="s">
        <v>4698</v>
      </c>
      <c r="AO63" s="101" t="s">
        <v>4699</v>
      </c>
      <c r="AP63" s="101" t="s">
        <v>4700</v>
      </c>
      <c r="AQ63" s="101" t="s">
        <v>4701</v>
      </c>
      <c r="AR63" s="101" t="s">
        <v>4702</v>
      </c>
      <c r="AS63" s="101" t="s">
        <v>4703</v>
      </c>
      <c r="AT63" s="101" t="s">
        <v>4704</v>
      </c>
      <c r="AU63" s="101" t="s">
        <v>4705</v>
      </c>
      <c r="AV63" s="102" t="s">
        <v>4706</v>
      </c>
      <c r="AW63" s="100" t="s">
        <v>4707</v>
      </c>
      <c r="AX63" s="101" t="s">
        <v>4708</v>
      </c>
      <c r="AY63" s="101" t="s">
        <v>4709</v>
      </c>
      <c r="AZ63" s="101" t="s">
        <v>4710</v>
      </c>
      <c r="BA63" s="101" t="s">
        <v>4711</v>
      </c>
      <c r="BB63" s="101" t="s">
        <v>4712</v>
      </c>
      <c r="BC63" s="101" t="s">
        <v>4713</v>
      </c>
      <c r="BD63" s="101" t="s">
        <v>4714</v>
      </c>
      <c r="BE63" s="101" t="s">
        <v>4715</v>
      </c>
      <c r="BF63" s="101" t="s">
        <v>4716</v>
      </c>
      <c r="BG63" s="101" t="s">
        <v>4717</v>
      </c>
      <c r="BH63" s="101" t="s">
        <v>4718</v>
      </c>
      <c r="BI63" s="101" t="s">
        <v>4719</v>
      </c>
      <c r="BJ63" s="101" t="s">
        <v>4720</v>
      </c>
      <c r="BK63" s="101" t="s">
        <v>4721</v>
      </c>
      <c r="BL63" s="102" t="s">
        <v>4722</v>
      </c>
      <c r="BM63" s="100" t="s">
        <v>4723</v>
      </c>
      <c r="BN63" s="101" t="s">
        <v>4708</v>
      </c>
      <c r="BO63" s="101" t="s">
        <v>4709</v>
      </c>
      <c r="BP63" s="101" t="s">
        <v>4710</v>
      </c>
      <c r="BQ63" s="101" t="s">
        <v>4711</v>
      </c>
      <c r="BR63" s="101" t="s">
        <v>4712</v>
      </c>
      <c r="BS63" s="101" t="s">
        <v>4713</v>
      </c>
      <c r="BT63" s="101" t="s">
        <v>4724</v>
      </c>
      <c r="BU63" s="101" t="s">
        <v>4725</v>
      </c>
      <c r="BV63" s="101" t="s">
        <v>4726</v>
      </c>
      <c r="BW63" s="101" t="s">
        <v>4717</v>
      </c>
      <c r="BX63" s="101" t="s">
        <v>4718</v>
      </c>
      <c r="BY63" s="101" t="s">
        <v>4719</v>
      </c>
      <c r="BZ63" s="101" t="s">
        <v>4727</v>
      </c>
      <c r="CA63" s="101" t="s">
        <v>4721</v>
      </c>
      <c r="CB63" s="102" t="s">
        <v>4722</v>
      </c>
      <c r="CC63" s="100" t="s">
        <v>4147</v>
      </c>
      <c r="CD63" s="101" t="s">
        <v>4148</v>
      </c>
      <c r="CE63" s="101" t="s">
        <v>4149</v>
      </c>
      <c r="CF63" s="101" t="s">
        <v>4150</v>
      </c>
      <c r="CG63" s="101" t="s">
        <v>4151</v>
      </c>
      <c r="CH63" s="101" t="s">
        <v>4152</v>
      </c>
      <c r="CI63" s="101" t="s">
        <v>4153</v>
      </c>
      <c r="CJ63" s="101" t="s">
        <v>4154</v>
      </c>
      <c r="CK63" s="101" t="s">
        <v>4155</v>
      </c>
      <c r="CL63" s="101" t="s">
        <v>4156</v>
      </c>
      <c r="CM63" s="101" t="s">
        <v>4157</v>
      </c>
      <c r="CN63" s="101" t="s">
        <v>4158</v>
      </c>
      <c r="CO63" s="101" t="s">
        <v>4159</v>
      </c>
      <c r="CP63" s="101" t="s">
        <v>4160</v>
      </c>
      <c r="CQ63" s="101" t="s">
        <v>4161</v>
      </c>
      <c r="CR63" s="102" t="s">
        <v>4162</v>
      </c>
    </row>
    <row r="64">
      <c r="A64" s="103"/>
      <c r="B64" s="103"/>
      <c r="C64" s="103"/>
      <c r="D64" s="103"/>
      <c r="E64" s="103"/>
      <c r="F64" s="103"/>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0" t="s">
        <v>4728</v>
      </c>
      <c r="AH64" s="101" t="s">
        <v>4729</v>
      </c>
      <c r="AI64" s="101" t="s">
        <v>4730</v>
      </c>
      <c r="AJ64" s="101" t="s">
        <v>4731</v>
      </c>
      <c r="AK64" s="101" t="s">
        <v>4732</v>
      </c>
      <c r="AL64" s="101" t="s">
        <v>4733</v>
      </c>
      <c r="AM64" s="101" t="s">
        <v>4734</v>
      </c>
      <c r="AN64" s="101" t="s">
        <v>4735</v>
      </c>
      <c r="AO64" s="101" t="s">
        <v>4736</v>
      </c>
      <c r="AP64" s="101" t="s">
        <v>4737</v>
      </c>
      <c r="AQ64" s="101" t="s">
        <v>4738</v>
      </c>
      <c r="AR64" s="101" t="s">
        <v>4739</v>
      </c>
      <c r="AS64" s="101" t="s">
        <v>4740</v>
      </c>
      <c r="AT64" s="101" t="s">
        <v>4741</v>
      </c>
      <c r="AU64" s="101" t="s">
        <v>4742</v>
      </c>
      <c r="AV64" s="102" t="s">
        <v>4743</v>
      </c>
      <c r="AW64" s="100" t="s">
        <v>4744</v>
      </c>
      <c r="AX64" s="101" t="s">
        <v>4745</v>
      </c>
      <c r="AY64" s="101" t="s">
        <v>4746</v>
      </c>
      <c r="AZ64" s="101" t="s">
        <v>4747</v>
      </c>
      <c r="BA64" s="101" t="s">
        <v>4748</v>
      </c>
      <c r="BB64" s="101" t="s">
        <v>4749</v>
      </c>
      <c r="BC64" s="101" t="s">
        <v>4750</v>
      </c>
      <c r="BD64" s="101" t="s">
        <v>4751</v>
      </c>
      <c r="BE64" s="101" t="s">
        <v>4752</v>
      </c>
      <c r="BF64" s="101" t="s">
        <v>4753</v>
      </c>
      <c r="BG64" s="101" t="s">
        <v>4754</v>
      </c>
      <c r="BH64" s="101" t="s">
        <v>4755</v>
      </c>
      <c r="BI64" s="101" t="s">
        <v>4756</v>
      </c>
      <c r="BJ64" s="101" t="s">
        <v>4757</v>
      </c>
      <c r="BK64" s="101" t="s">
        <v>4758</v>
      </c>
      <c r="BL64" s="102" t="s">
        <v>4759</v>
      </c>
      <c r="BM64" s="100" t="s">
        <v>4744</v>
      </c>
      <c r="BN64" s="101" t="s">
        <v>4745</v>
      </c>
      <c r="BO64" s="101" t="s">
        <v>4746</v>
      </c>
      <c r="BP64" s="101" t="s">
        <v>4747</v>
      </c>
      <c r="BQ64" s="101" t="s">
        <v>4748</v>
      </c>
      <c r="BR64" s="101" t="s">
        <v>4749</v>
      </c>
      <c r="BS64" s="101" t="s">
        <v>4760</v>
      </c>
      <c r="BT64" s="101" t="s">
        <v>4761</v>
      </c>
      <c r="BU64" s="101" t="s">
        <v>4762</v>
      </c>
      <c r="BV64" s="101" t="s">
        <v>4753</v>
      </c>
      <c r="BW64" s="101" t="s">
        <v>4763</v>
      </c>
      <c r="BX64" s="101" t="s">
        <v>4755</v>
      </c>
      <c r="BY64" s="101" t="s">
        <v>4764</v>
      </c>
      <c r="BZ64" s="101" t="s">
        <v>4757</v>
      </c>
      <c r="CA64" s="101" t="s">
        <v>4765</v>
      </c>
      <c r="CB64" s="102" t="s">
        <v>4766</v>
      </c>
      <c r="CC64" s="100" t="s">
        <v>4185</v>
      </c>
      <c r="CD64" s="101" t="s">
        <v>4186</v>
      </c>
      <c r="CE64" s="101" t="s">
        <v>4187</v>
      </c>
      <c r="CF64" s="101" t="s">
        <v>4188</v>
      </c>
      <c r="CG64" s="106"/>
      <c r="CH64" s="101" t="s">
        <v>4189</v>
      </c>
      <c r="CI64" s="101" t="s">
        <v>4190</v>
      </c>
      <c r="CJ64" s="101" t="s">
        <v>4191</v>
      </c>
      <c r="CK64" s="101" t="s">
        <v>4192</v>
      </c>
      <c r="CL64" s="101" t="s">
        <v>4193</v>
      </c>
      <c r="CM64" s="101" t="s">
        <v>4194</v>
      </c>
      <c r="CN64" s="101" t="s">
        <v>4195</v>
      </c>
      <c r="CO64" s="101" t="s">
        <v>4196</v>
      </c>
      <c r="CP64" s="101" t="s">
        <v>4197</v>
      </c>
      <c r="CQ64" s="101" t="s">
        <v>4198</v>
      </c>
      <c r="CR64" s="107"/>
    </row>
    <row r="65">
      <c r="A65" s="103"/>
      <c r="B65" s="103"/>
      <c r="C65" s="103"/>
      <c r="D65" s="103"/>
      <c r="E65" s="103"/>
      <c r="F65" s="103"/>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10" t="s">
        <v>4767</v>
      </c>
      <c r="AH65" s="111" t="s">
        <v>4768</v>
      </c>
      <c r="AI65" s="111" t="s">
        <v>4769</v>
      </c>
      <c r="AJ65" s="111" t="s">
        <v>4770</v>
      </c>
      <c r="AK65" s="111" t="s">
        <v>4771</v>
      </c>
      <c r="AL65" s="111" t="s">
        <v>4772</v>
      </c>
      <c r="AM65" s="111" t="s">
        <v>4773</v>
      </c>
      <c r="AN65" s="111" t="s">
        <v>4774</v>
      </c>
      <c r="AO65" s="111" t="s">
        <v>4775</v>
      </c>
      <c r="AP65" s="111" t="s">
        <v>4776</v>
      </c>
      <c r="AQ65" s="111" t="s">
        <v>4777</v>
      </c>
      <c r="AR65" s="111" t="s">
        <v>4778</v>
      </c>
      <c r="AS65" s="111" t="s">
        <v>4779</v>
      </c>
      <c r="AT65" s="111" t="s">
        <v>4780</v>
      </c>
      <c r="AU65" s="111" t="s">
        <v>4781</v>
      </c>
      <c r="AV65" s="112" t="s">
        <v>4782</v>
      </c>
      <c r="AW65" s="110" t="s">
        <v>4783</v>
      </c>
      <c r="AX65" s="111" t="s">
        <v>4784</v>
      </c>
      <c r="AY65" s="111" t="s">
        <v>4785</v>
      </c>
      <c r="AZ65" s="111" t="s">
        <v>4786</v>
      </c>
      <c r="BA65" s="111" t="s">
        <v>4787</v>
      </c>
      <c r="BB65" s="111" t="s">
        <v>4788</v>
      </c>
      <c r="BC65" s="111" t="s">
        <v>4789</v>
      </c>
      <c r="BD65" s="111" t="s">
        <v>4790</v>
      </c>
      <c r="BE65" s="111" t="s">
        <v>4791</v>
      </c>
      <c r="BF65" s="111" t="s">
        <v>4792</v>
      </c>
      <c r="BG65" s="111" t="s">
        <v>4793</v>
      </c>
      <c r="BH65" s="111" t="s">
        <v>4794</v>
      </c>
      <c r="BI65" s="111" t="s">
        <v>4795</v>
      </c>
      <c r="BJ65" s="111" t="s">
        <v>4796</v>
      </c>
      <c r="BK65" s="111" t="s">
        <v>4797</v>
      </c>
      <c r="BL65" s="112" t="s">
        <v>4798</v>
      </c>
      <c r="BM65" s="110" t="s">
        <v>4783</v>
      </c>
      <c r="BN65" s="111" t="s">
        <v>4784</v>
      </c>
      <c r="BO65" s="111" t="s">
        <v>4785</v>
      </c>
      <c r="BP65" s="111" t="s">
        <v>4799</v>
      </c>
      <c r="BQ65" s="111" t="s">
        <v>4787</v>
      </c>
      <c r="BR65" s="111" t="s">
        <v>4800</v>
      </c>
      <c r="BS65" s="111" t="s">
        <v>4789</v>
      </c>
      <c r="BT65" s="111" t="s">
        <v>4790</v>
      </c>
      <c r="BU65" s="111" t="s">
        <v>4791</v>
      </c>
      <c r="BV65" s="111" t="s">
        <v>4792</v>
      </c>
      <c r="BW65" s="111" t="s">
        <v>4793</v>
      </c>
      <c r="BX65" s="111" t="s">
        <v>4794</v>
      </c>
      <c r="BY65" s="111" t="s">
        <v>4795</v>
      </c>
      <c r="BZ65" s="111" t="s">
        <v>4801</v>
      </c>
      <c r="CA65" s="111" t="s">
        <v>4797</v>
      </c>
      <c r="CB65" s="112" t="s">
        <v>4798</v>
      </c>
      <c r="CC65" s="110"/>
      <c r="CD65" s="111"/>
      <c r="CE65" s="111"/>
      <c r="CF65" s="111"/>
      <c r="CG65" s="114"/>
      <c r="CH65" s="111"/>
      <c r="CI65" s="111"/>
      <c r="CJ65" s="111"/>
      <c r="CK65" s="111"/>
      <c r="CL65" s="111"/>
      <c r="CM65" s="111"/>
      <c r="CN65" s="111"/>
      <c r="CO65" s="111"/>
      <c r="CP65" s="111"/>
      <c r="CQ65" s="111"/>
      <c r="CR65" s="115"/>
    </row>
    <row r="66">
      <c r="A66" s="103"/>
      <c r="B66" s="103"/>
      <c r="C66" s="103"/>
      <c r="D66" s="103"/>
      <c r="E66" s="103"/>
      <c r="F66" s="103"/>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99" t="s">
        <v>4802</v>
      </c>
      <c r="AH66" s="97" t="s">
        <v>4803</v>
      </c>
      <c r="AI66" s="97" t="s">
        <v>4804</v>
      </c>
      <c r="AJ66" s="97" t="s">
        <v>4805</v>
      </c>
      <c r="AK66" s="97" t="s">
        <v>4806</v>
      </c>
      <c r="AL66" s="97" t="s">
        <v>4807</v>
      </c>
      <c r="AM66" s="97" t="s">
        <v>4808</v>
      </c>
      <c r="AN66" s="97" t="s">
        <v>4809</v>
      </c>
      <c r="AO66" s="97" t="s">
        <v>4810</v>
      </c>
      <c r="AP66" s="97" t="s">
        <v>4811</v>
      </c>
      <c r="AQ66" s="97" t="s">
        <v>4812</v>
      </c>
      <c r="AR66" s="97" t="s">
        <v>4813</v>
      </c>
      <c r="AS66" s="97" t="s">
        <v>4814</v>
      </c>
      <c r="AT66" s="97" t="s">
        <v>4815</v>
      </c>
      <c r="AU66" s="97" t="s">
        <v>4816</v>
      </c>
      <c r="AV66" s="98" t="s">
        <v>4817</v>
      </c>
      <c r="AW66" s="99" t="s">
        <v>4818</v>
      </c>
      <c r="AX66" s="97" t="s">
        <v>4819</v>
      </c>
      <c r="AY66" s="97" t="s">
        <v>4820</v>
      </c>
      <c r="AZ66" s="97" t="s">
        <v>4821</v>
      </c>
      <c r="BA66" s="97" t="s">
        <v>4822</v>
      </c>
      <c r="BB66" s="97" t="s">
        <v>4823</v>
      </c>
      <c r="BC66" s="97" t="s">
        <v>4824</v>
      </c>
      <c r="BD66" s="97" t="s">
        <v>4825</v>
      </c>
      <c r="BE66" s="97" t="s">
        <v>4826</v>
      </c>
      <c r="BF66" s="97" t="s">
        <v>4827</v>
      </c>
      <c r="BG66" s="97" t="s">
        <v>4828</v>
      </c>
      <c r="BH66" s="97" t="s">
        <v>4829</v>
      </c>
      <c r="BI66" s="97" t="s">
        <v>4830</v>
      </c>
      <c r="BJ66" s="97" t="s">
        <v>4831</v>
      </c>
      <c r="BK66" s="97" t="s">
        <v>4832</v>
      </c>
      <c r="BL66" s="98" t="s">
        <v>4833</v>
      </c>
      <c r="BM66" s="99" t="s">
        <v>4834</v>
      </c>
      <c r="BN66" s="97" t="s">
        <v>4819</v>
      </c>
      <c r="BO66" s="97" t="s">
        <v>4820</v>
      </c>
      <c r="BP66" s="97" t="s">
        <v>4835</v>
      </c>
      <c r="BQ66" s="97" t="s">
        <v>4822</v>
      </c>
      <c r="BR66" s="97" t="s">
        <v>4836</v>
      </c>
      <c r="BS66" s="97" t="s">
        <v>4824</v>
      </c>
      <c r="BT66" s="97" t="s">
        <v>4837</v>
      </c>
      <c r="BU66" s="97" t="s">
        <v>4826</v>
      </c>
      <c r="BV66" s="97" t="s">
        <v>4827</v>
      </c>
      <c r="BW66" s="97" t="s">
        <v>4828</v>
      </c>
      <c r="BX66" s="97" t="s">
        <v>4838</v>
      </c>
      <c r="BY66" s="97" t="s">
        <v>4830</v>
      </c>
      <c r="BZ66" s="97" t="s">
        <v>4839</v>
      </c>
      <c r="CA66" s="97" t="s">
        <v>4840</v>
      </c>
      <c r="CB66" s="98" t="s">
        <v>4841</v>
      </c>
      <c r="CC66" s="96"/>
      <c r="CD66" s="97" t="s">
        <v>4220</v>
      </c>
      <c r="CE66" s="97" t="s">
        <v>4221</v>
      </c>
      <c r="CF66" s="97" t="s">
        <v>4222</v>
      </c>
      <c r="CG66" s="97" t="s">
        <v>4223</v>
      </c>
      <c r="CH66" s="97" t="s">
        <v>4224</v>
      </c>
      <c r="CI66" s="97" t="s">
        <v>4225</v>
      </c>
      <c r="CJ66" s="97" t="s">
        <v>4226</v>
      </c>
      <c r="CK66" s="97" t="s">
        <v>4227</v>
      </c>
      <c r="CL66" s="97" t="s">
        <v>4228</v>
      </c>
      <c r="CM66" s="97" t="s">
        <v>4229</v>
      </c>
      <c r="CN66" s="97" t="s">
        <v>4230</v>
      </c>
      <c r="CO66" s="97" t="s">
        <v>4231</v>
      </c>
      <c r="CP66" s="97" t="s">
        <v>4232</v>
      </c>
      <c r="CQ66" s="97" t="s">
        <v>4233</v>
      </c>
      <c r="CR66" s="98" t="s">
        <v>4234</v>
      </c>
    </row>
    <row r="67">
      <c r="A67" s="103"/>
      <c r="B67" s="103"/>
      <c r="C67" s="103"/>
      <c r="D67" s="103"/>
      <c r="E67" s="103"/>
      <c r="F67" s="103"/>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0" t="s">
        <v>4842</v>
      </c>
      <c r="AH67" s="101" t="s">
        <v>4843</v>
      </c>
      <c r="AI67" s="101" t="s">
        <v>4844</v>
      </c>
      <c r="AJ67" s="101" t="s">
        <v>4845</v>
      </c>
      <c r="AK67" s="101" t="s">
        <v>4846</v>
      </c>
      <c r="AL67" s="101" t="s">
        <v>4847</v>
      </c>
      <c r="AM67" s="101" t="s">
        <v>4848</v>
      </c>
      <c r="AN67" s="101" t="s">
        <v>4849</v>
      </c>
      <c r="AO67" s="101" t="s">
        <v>4850</v>
      </c>
      <c r="AP67" s="101" t="s">
        <v>4851</v>
      </c>
      <c r="AQ67" s="101" t="s">
        <v>4852</v>
      </c>
      <c r="AR67" s="101" t="s">
        <v>4853</v>
      </c>
      <c r="AS67" s="101" t="s">
        <v>4854</v>
      </c>
      <c r="AT67" s="101" t="s">
        <v>4855</v>
      </c>
      <c r="AU67" s="101" t="s">
        <v>4856</v>
      </c>
      <c r="AV67" s="102" t="s">
        <v>4857</v>
      </c>
      <c r="AW67" s="100" t="s">
        <v>4858</v>
      </c>
      <c r="AX67" s="101" t="s">
        <v>4859</v>
      </c>
      <c r="AY67" s="101" t="s">
        <v>4860</v>
      </c>
      <c r="AZ67" s="101" t="s">
        <v>4861</v>
      </c>
      <c r="BA67" s="101" t="s">
        <v>4862</v>
      </c>
      <c r="BB67" s="101" t="s">
        <v>4863</v>
      </c>
      <c r="BC67" s="101" t="s">
        <v>4864</v>
      </c>
      <c r="BD67" s="101" t="s">
        <v>4865</v>
      </c>
      <c r="BE67" s="101" t="s">
        <v>4866</v>
      </c>
      <c r="BF67" s="101" t="s">
        <v>4867</v>
      </c>
      <c r="BG67" s="101" t="s">
        <v>4868</v>
      </c>
      <c r="BH67" s="101" t="s">
        <v>4869</v>
      </c>
      <c r="BI67" s="101" t="s">
        <v>4870</v>
      </c>
      <c r="BJ67" s="101" t="s">
        <v>4871</v>
      </c>
      <c r="BK67" s="101" t="s">
        <v>4872</v>
      </c>
      <c r="BL67" s="102" t="s">
        <v>4873</v>
      </c>
      <c r="BM67" s="100" t="s">
        <v>4874</v>
      </c>
      <c r="BN67" s="101" t="s">
        <v>4859</v>
      </c>
      <c r="BO67" s="101" t="s">
        <v>4875</v>
      </c>
      <c r="BP67" s="101" t="s">
        <v>4861</v>
      </c>
      <c r="BQ67" s="101" t="s">
        <v>4862</v>
      </c>
      <c r="BR67" s="101" t="s">
        <v>4876</v>
      </c>
      <c r="BS67" s="101" t="s">
        <v>4864</v>
      </c>
      <c r="BT67" s="101" t="s">
        <v>4865</v>
      </c>
      <c r="BU67" s="101" t="s">
        <v>4877</v>
      </c>
      <c r="BV67" s="101" t="s">
        <v>4867</v>
      </c>
      <c r="BW67" s="101" t="s">
        <v>4868</v>
      </c>
      <c r="BX67" s="101" t="s">
        <v>4869</v>
      </c>
      <c r="BY67" s="101" t="s">
        <v>4878</v>
      </c>
      <c r="BZ67" s="101" t="s">
        <v>4871</v>
      </c>
      <c r="CA67" s="101" t="s">
        <v>4872</v>
      </c>
      <c r="CB67" s="102" t="s">
        <v>4873</v>
      </c>
      <c r="CC67" s="100" t="s">
        <v>4258</v>
      </c>
      <c r="CD67" s="101" t="s">
        <v>4259</v>
      </c>
      <c r="CE67" s="101" t="s">
        <v>4260</v>
      </c>
      <c r="CF67" s="101" t="s">
        <v>4261</v>
      </c>
      <c r="CG67" s="101" t="s">
        <v>4262</v>
      </c>
      <c r="CH67" s="101" t="s">
        <v>4263</v>
      </c>
      <c r="CI67" s="101" t="s">
        <v>4264</v>
      </c>
      <c r="CJ67" s="101" t="s">
        <v>4265</v>
      </c>
      <c r="CK67" s="101" t="s">
        <v>4266</v>
      </c>
      <c r="CL67" s="101" t="s">
        <v>4267</v>
      </c>
      <c r="CM67" s="101" t="s">
        <v>4268</v>
      </c>
      <c r="CN67" s="106"/>
      <c r="CO67" s="101" t="s">
        <v>4269</v>
      </c>
      <c r="CP67" s="101" t="s">
        <v>4270</v>
      </c>
      <c r="CQ67" s="101" t="s">
        <v>4271</v>
      </c>
      <c r="CR67" s="102" t="s">
        <v>4272</v>
      </c>
    </row>
    <row r="68">
      <c r="A68" s="103"/>
      <c r="B68" s="103"/>
      <c r="C68" s="103"/>
      <c r="D68" s="103"/>
      <c r="E68" s="103"/>
      <c r="F68" s="103"/>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0" t="s">
        <v>4879</v>
      </c>
      <c r="AH68" s="101" t="s">
        <v>4880</v>
      </c>
      <c r="AI68" s="101" t="s">
        <v>4881</v>
      </c>
      <c r="AJ68" s="101" t="s">
        <v>4882</v>
      </c>
      <c r="AK68" s="101" t="s">
        <v>4883</v>
      </c>
      <c r="AL68" s="101" t="s">
        <v>4884</v>
      </c>
      <c r="AM68" s="101" t="s">
        <v>4885</v>
      </c>
      <c r="AN68" s="101" t="s">
        <v>4886</v>
      </c>
      <c r="AO68" s="101" t="s">
        <v>4887</v>
      </c>
      <c r="AP68" s="101" t="s">
        <v>4888</v>
      </c>
      <c r="AQ68" s="101" t="s">
        <v>4889</v>
      </c>
      <c r="AR68" s="101" t="s">
        <v>4890</v>
      </c>
      <c r="AS68" s="101" t="s">
        <v>4891</v>
      </c>
      <c r="AT68" s="101" t="s">
        <v>4892</v>
      </c>
      <c r="AU68" s="101" t="s">
        <v>4893</v>
      </c>
      <c r="AV68" s="107"/>
      <c r="AW68" s="100" t="s">
        <v>4894</v>
      </c>
      <c r="AX68" s="101" t="s">
        <v>4895</v>
      </c>
      <c r="AY68" s="101" t="s">
        <v>4896</v>
      </c>
      <c r="AZ68" s="101" t="s">
        <v>4897</v>
      </c>
      <c r="BA68" s="101" t="s">
        <v>4898</v>
      </c>
      <c r="BB68" s="101" t="s">
        <v>4899</v>
      </c>
      <c r="BC68" s="101" t="s">
        <v>4900</v>
      </c>
      <c r="BD68" s="101" t="s">
        <v>4901</v>
      </c>
      <c r="BE68" s="101" t="s">
        <v>4902</v>
      </c>
      <c r="BF68" s="101" t="s">
        <v>4903</v>
      </c>
      <c r="BG68" s="101" t="s">
        <v>4904</v>
      </c>
      <c r="BH68" s="101" t="s">
        <v>4905</v>
      </c>
      <c r="BI68" s="101" t="s">
        <v>4906</v>
      </c>
      <c r="BJ68" s="101" t="s">
        <v>4907</v>
      </c>
      <c r="BK68" s="101" t="s">
        <v>4908</v>
      </c>
      <c r="BL68" s="102" t="s">
        <v>4909</v>
      </c>
      <c r="BM68" s="100" t="s">
        <v>4894</v>
      </c>
      <c r="BN68" s="101" t="s">
        <v>4910</v>
      </c>
      <c r="BO68" s="101" t="s">
        <v>4896</v>
      </c>
      <c r="BP68" s="101" t="s">
        <v>4897</v>
      </c>
      <c r="BQ68" s="101" t="s">
        <v>4911</v>
      </c>
      <c r="BR68" s="101" t="s">
        <v>4912</v>
      </c>
      <c r="BS68" s="101" t="s">
        <v>4913</v>
      </c>
      <c r="BT68" s="101" t="s">
        <v>4914</v>
      </c>
      <c r="BU68" s="101" t="s">
        <v>4915</v>
      </c>
      <c r="BV68" s="101" t="s">
        <v>4916</v>
      </c>
      <c r="BW68" s="101" t="s">
        <v>4904</v>
      </c>
      <c r="BX68" s="101" t="s">
        <v>4917</v>
      </c>
      <c r="BY68" s="101" t="s">
        <v>4906</v>
      </c>
      <c r="BZ68" s="101" t="s">
        <v>4918</v>
      </c>
      <c r="CA68" s="101" t="s">
        <v>4908</v>
      </c>
      <c r="CB68" s="102" t="s">
        <v>4919</v>
      </c>
      <c r="CC68" s="100" t="s">
        <v>4294</v>
      </c>
      <c r="CD68" s="101" t="s">
        <v>4295</v>
      </c>
      <c r="CE68" s="101" t="s">
        <v>4296</v>
      </c>
      <c r="CF68" s="101" t="s">
        <v>4297</v>
      </c>
      <c r="CG68" s="101" t="s">
        <v>4298</v>
      </c>
      <c r="CH68" s="101" t="s">
        <v>4299</v>
      </c>
      <c r="CI68" s="101" t="s">
        <v>4300</v>
      </c>
      <c r="CJ68" s="101" t="s">
        <v>4301</v>
      </c>
      <c r="CK68" s="101" t="s">
        <v>4302</v>
      </c>
      <c r="CL68" s="101" t="s">
        <v>4303</v>
      </c>
      <c r="CM68" s="101" t="s">
        <v>4304</v>
      </c>
      <c r="CN68" s="101" t="s">
        <v>4305</v>
      </c>
      <c r="CO68" s="101" t="s">
        <v>4306</v>
      </c>
      <c r="CP68" s="101" t="s">
        <v>4307</v>
      </c>
      <c r="CQ68" s="101" t="s">
        <v>4308</v>
      </c>
      <c r="CR68" s="102" t="s">
        <v>4309</v>
      </c>
    </row>
    <row r="69">
      <c r="A69" s="103"/>
      <c r="B69" s="103"/>
      <c r="C69" s="103"/>
      <c r="D69" s="103"/>
      <c r="E69" s="103"/>
      <c r="F69" s="103"/>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5"/>
      <c r="AH69" s="101" t="s">
        <v>4920</v>
      </c>
      <c r="AI69" s="101" t="s">
        <v>4921</v>
      </c>
      <c r="AJ69" s="101" t="s">
        <v>4922</v>
      </c>
      <c r="AK69" s="101" t="s">
        <v>4923</v>
      </c>
      <c r="AL69" s="101" t="s">
        <v>4924</v>
      </c>
      <c r="AM69" s="101" t="s">
        <v>4925</v>
      </c>
      <c r="AN69" s="101" t="s">
        <v>4926</v>
      </c>
      <c r="AO69" s="101" t="s">
        <v>4927</v>
      </c>
      <c r="AP69" s="101" t="s">
        <v>4928</v>
      </c>
      <c r="AQ69" s="101" t="s">
        <v>4929</v>
      </c>
      <c r="AR69" s="101" t="s">
        <v>4930</v>
      </c>
      <c r="AS69" s="101" t="s">
        <v>4931</v>
      </c>
      <c r="AT69" s="101" t="s">
        <v>4932</v>
      </c>
      <c r="AU69" s="101" t="s">
        <v>4933</v>
      </c>
      <c r="AV69" s="102" t="s">
        <v>4934</v>
      </c>
      <c r="AW69" s="100" t="s">
        <v>4935</v>
      </c>
      <c r="AX69" s="101" t="s">
        <v>4936</v>
      </c>
      <c r="AY69" s="101" t="s">
        <v>4937</v>
      </c>
      <c r="AZ69" s="101" t="s">
        <v>4938</v>
      </c>
      <c r="BA69" s="101" t="s">
        <v>4939</v>
      </c>
      <c r="BB69" s="101" t="s">
        <v>4940</v>
      </c>
      <c r="BC69" s="101" t="s">
        <v>4941</v>
      </c>
      <c r="BD69" s="101" t="s">
        <v>4942</v>
      </c>
      <c r="BE69" s="101" t="s">
        <v>4943</v>
      </c>
      <c r="BF69" s="101" t="s">
        <v>4944</v>
      </c>
      <c r="BG69" s="101" t="s">
        <v>4945</v>
      </c>
      <c r="BH69" s="101" t="s">
        <v>4946</v>
      </c>
      <c r="BI69" s="101" t="s">
        <v>4947</v>
      </c>
      <c r="BJ69" s="101" t="s">
        <v>4948</v>
      </c>
      <c r="BK69" s="101" t="s">
        <v>4949</v>
      </c>
      <c r="BL69" s="102" t="s">
        <v>4950</v>
      </c>
      <c r="BM69" s="100" t="s">
        <v>4935</v>
      </c>
      <c r="BN69" s="101" t="s">
        <v>4936</v>
      </c>
      <c r="BO69" s="101" t="s">
        <v>4937</v>
      </c>
      <c r="BP69" s="101" t="s">
        <v>4938</v>
      </c>
      <c r="BQ69" s="101" t="s">
        <v>4951</v>
      </c>
      <c r="BR69" s="101" t="s">
        <v>4940</v>
      </c>
      <c r="BS69" s="101" t="s">
        <v>4952</v>
      </c>
      <c r="BT69" s="101" t="s">
        <v>4942</v>
      </c>
      <c r="BU69" s="101" t="s">
        <v>4943</v>
      </c>
      <c r="BV69" s="101" t="s">
        <v>4953</v>
      </c>
      <c r="BW69" s="101" t="s">
        <v>4954</v>
      </c>
      <c r="BX69" s="101" t="s">
        <v>4955</v>
      </c>
      <c r="BY69" s="101" t="s">
        <v>4956</v>
      </c>
      <c r="BZ69" s="101" t="s">
        <v>4948</v>
      </c>
      <c r="CA69" s="101" t="s">
        <v>4957</v>
      </c>
      <c r="CB69" s="102" t="s">
        <v>4950</v>
      </c>
      <c r="CC69" s="100" t="s">
        <v>4334</v>
      </c>
      <c r="CD69" s="101" t="s">
        <v>4335</v>
      </c>
      <c r="CE69" s="101" t="s">
        <v>4336</v>
      </c>
      <c r="CF69" s="101" t="s">
        <v>4337</v>
      </c>
      <c r="CG69" s="101" t="s">
        <v>4338</v>
      </c>
      <c r="CH69" s="101" t="s">
        <v>4339</v>
      </c>
      <c r="CI69" s="101" t="s">
        <v>4340</v>
      </c>
      <c r="CJ69" s="101" t="s">
        <v>4341</v>
      </c>
      <c r="CK69" s="101" t="s">
        <v>4342</v>
      </c>
      <c r="CL69" s="101" t="s">
        <v>4343</v>
      </c>
      <c r="CM69" s="101" t="s">
        <v>4344</v>
      </c>
      <c r="CN69" s="101" t="s">
        <v>4345</v>
      </c>
      <c r="CO69" s="101" t="s">
        <v>4346</v>
      </c>
      <c r="CP69" s="101" t="s">
        <v>4347</v>
      </c>
      <c r="CQ69" s="101" t="s">
        <v>4348</v>
      </c>
      <c r="CR69" s="102" t="s">
        <v>4349</v>
      </c>
    </row>
    <row r="70">
      <c r="A70" s="103"/>
      <c r="B70" s="103"/>
      <c r="C70" s="103"/>
      <c r="D70" s="103"/>
      <c r="E70" s="103"/>
      <c r="F70" s="103"/>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0" t="s">
        <v>4958</v>
      </c>
      <c r="AH70" s="101" t="s">
        <v>4959</v>
      </c>
      <c r="AI70" s="101" t="s">
        <v>4960</v>
      </c>
      <c r="AJ70" s="101" t="s">
        <v>4961</v>
      </c>
      <c r="AK70" s="101" t="s">
        <v>4962</v>
      </c>
      <c r="AL70" s="101" t="s">
        <v>4963</v>
      </c>
      <c r="AM70" s="101" t="s">
        <v>4964</v>
      </c>
      <c r="AN70" s="101" t="s">
        <v>4965</v>
      </c>
      <c r="AO70" s="101" t="s">
        <v>4966</v>
      </c>
      <c r="AP70" s="101" t="s">
        <v>4967</v>
      </c>
      <c r="AQ70" s="101" t="s">
        <v>4968</v>
      </c>
      <c r="AR70" s="101" t="s">
        <v>4969</v>
      </c>
      <c r="AS70" s="101" t="s">
        <v>4970</v>
      </c>
      <c r="AT70" s="101" t="s">
        <v>4971</v>
      </c>
      <c r="AU70" s="101" t="s">
        <v>4972</v>
      </c>
      <c r="AV70" s="102" t="s">
        <v>4973</v>
      </c>
      <c r="AW70" s="100" t="s">
        <v>4974</v>
      </c>
      <c r="AX70" s="101" t="s">
        <v>4975</v>
      </c>
      <c r="AY70" s="101" t="s">
        <v>4976</v>
      </c>
      <c r="AZ70" s="101" t="s">
        <v>4977</v>
      </c>
      <c r="BA70" s="101" t="s">
        <v>4978</v>
      </c>
      <c r="BB70" s="101" t="s">
        <v>4979</v>
      </c>
      <c r="BC70" s="101" t="s">
        <v>4980</v>
      </c>
      <c r="BD70" s="101" t="s">
        <v>4981</v>
      </c>
      <c r="BE70" s="101" t="s">
        <v>4982</v>
      </c>
      <c r="BF70" s="101" t="s">
        <v>4983</v>
      </c>
      <c r="BG70" s="101" t="s">
        <v>4984</v>
      </c>
      <c r="BH70" s="101" t="s">
        <v>4985</v>
      </c>
      <c r="BI70" s="101" t="s">
        <v>4986</v>
      </c>
      <c r="BJ70" s="101" t="s">
        <v>4987</v>
      </c>
      <c r="BK70" s="101" t="s">
        <v>4988</v>
      </c>
      <c r="BL70" s="102" t="s">
        <v>4989</v>
      </c>
      <c r="BM70" s="100" t="s">
        <v>4990</v>
      </c>
      <c r="BN70" s="101" t="s">
        <v>4991</v>
      </c>
      <c r="BO70" s="101" t="s">
        <v>4976</v>
      </c>
      <c r="BP70" s="101" t="s">
        <v>4992</v>
      </c>
      <c r="BQ70" s="101" t="s">
        <v>4993</v>
      </c>
      <c r="BR70" s="101" t="s">
        <v>4979</v>
      </c>
      <c r="BS70" s="101" t="s">
        <v>4980</v>
      </c>
      <c r="BT70" s="101" t="s">
        <v>4981</v>
      </c>
      <c r="BU70" s="101" t="s">
        <v>4994</v>
      </c>
      <c r="BV70" s="101" t="s">
        <v>4995</v>
      </c>
      <c r="BW70" s="101" t="s">
        <v>4984</v>
      </c>
      <c r="BX70" s="101" t="s">
        <v>4996</v>
      </c>
      <c r="BY70" s="101" t="s">
        <v>4997</v>
      </c>
      <c r="BZ70" s="101" t="s">
        <v>4998</v>
      </c>
      <c r="CA70" s="101" t="s">
        <v>4988</v>
      </c>
      <c r="CB70" s="102" t="s">
        <v>4989</v>
      </c>
      <c r="CC70" s="100" t="s">
        <v>4378</v>
      </c>
      <c r="CD70" s="101" t="s">
        <v>4379</v>
      </c>
      <c r="CE70" s="101" t="s">
        <v>4380</v>
      </c>
      <c r="CF70" s="101" t="s">
        <v>4381</v>
      </c>
      <c r="CG70" s="101" t="s">
        <v>4382</v>
      </c>
      <c r="CH70" s="101" t="s">
        <v>4383</v>
      </c>
      <c r="CI70" s="101" t="s">
        <v>4384</v>
      </c>
      <c r="CJ70" s="101" t="s">
        <v>4385</v>
      </c>
      <c r="CK70" s="101" t="s">
        <v>4386</v>
      </c>
      <c r="CL70" s="101" t="s">
        <v>4387</v>
      </c>
      <c r="CM70" s="101" t="s">
        <v>4388</v>
      </c>
      <c r="CN70" s="101" t="s">
        <v>4389</v>
      </c>
      <c r="CO70" s="101" t="s">
        <v>4390</v>
      </c>
      <c r="CP70" s="101" t="s">
        <v>4391</v>
      </c>
      <c r="CQ70" s="101" t="s">
        <v>4392</v>
      </c>
      <c r="CR70" s="102" t="s">
        <v>4393</v>
      </c>
    </row>
    <row r="71">
      <c r="A71" s="103"/>
      <c r="B71" s="103"/>
      <c r="C71" s="103"/>
      <c r="D71" s="103"/>
      <c r="E71" s="103"/>
      <c r="F71" s="103"/>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5"/>
      <c r="AH71" s="106"/>
      <c r="AI71" s="106"/>
      <c r="AJ71" s="106"/>
      <c r="AK71" s="106"/>
      <c r="AL71" s="106"/>
      <c r="AM71" s="106"/>
      <c r="AN71" s="106"/>
      <c r="AO71" s="106"/>
      <c r="AP71" s="106"/>
      <c r="AQ71" s="106"/>
      <c r="AR71" s="106"/>
      <c r="AS71" s="106"/>
      <c r="AT71" s="106"/>
      <c r="AU71" s="106"/>
      <c r="AV71" s="107"/>
      <c r="AW71" s="100" t="s">
        <v>4999</v>
      </c>
      <c r="AX71" s="101" t="s">
        <v>5000</v>
      </c>
      <c r="AY71" s="101" t="s">
        <v>5001</v>
      </c>
      <c r="AZ71" s="101" t="s">
        <v>5002</v>
      </c>
      <c r="BA71" s="101" t="s">
        <v>5003</v>
      </c>
      <c r="BB71" s="101" t="s">
        <v>5004</v>
      </c>
      <c r="BC71" s="101" t="s">
        <v>5005</v>
      </c>
      <c r="BD71" s="101" t="s">
        <v>5006</v>
      </c>
      <c r="BE71" s="101" t="s">
        <v>5007</v>
      </c>
      <c r="BF71" s="101" t="s">
        <v>5008</v>
      </c>
      <c r="BG71" s="101" t="s">
        <v>5009</v>
      </c>
      <c r="BH71" s="101" t="s">
        <v>5010</v>
      </c>
      <c r="BI71" s="101" t="s">
        <v>5011</v>
      </c>
      <c r="BJ71" s="101" t="s">
        <v>5012</v>
      </c>
      <c r="BK71" s="101" t="s">
        <v>5013</v>
      </c>
      <c r="BL71" s="102" t="s">
        <v>5014</v>
      </c>
      <c r="BM71" s="100" t="s">
        <v>4999</v>
      </c>
      <c r="BN71" s="101" t="s">
        <v>5015</v>
      </c>
      <c r="BO71" s="101" t="s">
        <v>5016</v>
      </c>
      <c r="BP71" s="101" t="s">
        <v>5017</v>
      </c>
      <c r="BQ71" s="101" t="s">
        <v>5003</v>
      </c>
      <c r="BR71" s="101" t="s">
        <v>5004</v>
      </c>
      <c r="BS71" s="101" t="s">
        <v>5018</v>
      </c>
      <c r="BT71" s="101" t="s">
        <v>5006</v>
      </c>
      <c r="BU71" s="101" t="s">
        <v>5019</v>
      </c>
      <c r="BV71" s="101" t="s">
        <v>5020</v>
      </c>
      <c r="BW71" s="101" t="s">
        <v>5021</v>
      </c>
      <c r="BX71" s="101" t="s">
        <v>5010</v>
      </c>
      <c r="BY71" s="101" t="s">
        <v>5022</v>
      </c>
      <c r="BZ71" s="101" t="s">
        <v>5012</v>
      </c>
      <c r="CA71" s="101" t="s">
        <v>5013</v>
      </c>
      <c r="CB71" s="102" t="s">
        <v>5023</v>
      </c>
      <c r="CC71" s="100" t="s">
        <v>4444</v>
      </c>
      <c r="CD71" s="101" t="s">
        <v>4445</v>
      </c>
      <c r="CE71" s="101" t="s">
        <v>4446</v>
      </c>
      <c r="CF71" s="101" t="s">
        <v>4447</v>
      </c>
      <c r="CG71" s="101" t="s">
        <v>4448</v>
      </c>
      <c r="CH71" s="101" t="s">
        <v>4449</v>
      </c>
      <c r="CI71" s="101" t="s">
        <v>4450</v>
      </c>
      <c r="CJ71" s="101" t="s">
        <v>4451</v>
      </c>
      <c r="CK71" s="101" t="s">
        <v>4452</v>
      </c>
      <c r="CL71" s="101" t="s">
        <v>4453</v>
      </c>
      <c r="CM71" s="101" t="s">
        <v>4454</v>
      </c>
      <c r="CN71" s="101" t="s">
        <v>4455</v>
      </c>
      <c r="CO71" s="101" t="s">
        <v>4456</v>
      </c>
      <c r="CP71" s="101" t="s">
        <v>4457</v>
      </c>
      <c r="CQ71" s="101" t="s">
        <v>4458</v>
      </c>
      <c r="CR71" s="107"/>
    </row>
    <row r="72">
      <c r="A72" s="103"/>
      <c r="B72" s="103"/>
      <c r="C72" s="103"/>
      <c r="D72" s="103"/>
      <c r="E72" s="103"/>
      <c r="F72" s="103"/>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0" t="s">
        <v>5024</v>
      </c>
      <c r="AH72" s="101" t="s">
        <v>5025</v>
      </c>
      <c r="AI72" s="101" t="s">
        <v>5026</v>
      </c>
      <c r="AJ72" s="101" t="s">
        <v>5027</v>
      </c>
      <c r="AK72" s="101" t="s">
        <v>5028</v>
      </c>
      <c r="AL72" s="101" t="s">
        <v>5029</v>
      </c>
      <c r="AM72" s="101" t="s">
        <v>5030</v>
      </c>
      <c r="AN72" s="101" t="s">
        <v>5031</v>
      </c>
      <c r="AO72" s="101" t="s">
        <v>5032</v>
      </c>
      <c r="AP72" s="101" t="s">
        <v>5033</v>
      </c>
      <c r="AQ72" s="101" t="s">
        <v>5034</v>
      </c>
      <c r="AR72" s="101" t="s">
        <v>5035</v>
      </c>
      <c r="AS72" s="101" t="s">
        <v>5036</v>
      </c>
      <c r="AT72" s="101" t="s">
        <v>5037</v>
      </c>
      <c r="AU72" s="101" t="s">
        <v>5038</v>
      </c>
      <c r="AV72" s="102" t="s">
        <v>5039</v>
      </c>
      <c r="AW72" s="100" t="s">
        <v>5040</v>
      </c>
      <c r="AX72" s="101" t="s">
        <v>5041</v>
      </c>
      <c r="AY72" s="101" t="s">
        <v>5042</v>
      </c>
      <c r="AZ72" s="101" t="s">
        <v>5043</v>
      </c>
      <c r="BA72" s="101" t="s">
        <v>5044</v>
      </c>
      <c r="BB72" s="101" t="s">
        <v>5045</v>
      </c>
      <c r="BC72" s="101" t="s">
        <v>5046</v>
      </c>
      <c r="BD72" s="101" t="s">
        <v>5047</v>
      </c>
      <c r="BE72" s="101" t="s">
        <v>5048</v>
      </c>
      <c r="BF72" s="101" t="s">
        <v>5049</v>
      </c>
      <c r="BG72" s="101" t="s">
        <v>5050</v>
      </c>
      <c r="BH72" s="101" t="s">
        <v>5051</v>
      </c>
      <c r="BI72" s="101" t="s">
        <v>5052</v>
      </c>
      <c r="BJ72" s="101" t="s">
        <v>5053</v>
      </c>
      <c r="BK72" s="101" t="s">
        <v>5054</v>
      </c>
      <c r="BL72" s="102" t="s">
        <v>5055</v>
      </c>
      <c r="BM72" s="100" t="s">
        <v>5040</v>
      </c>
      <c r="BN72" s="101" t="s">
        <v>5056</v>
      </c>
      <c r="BO72" s="101" t="s">
        <v>5042</v>
      </c>
      <c r="BP72" s="101" t="s">
        <v>5057</v>
      </c>
      <c r="BQ72" s="101" t="s">
        <v>5058</v>
      </c>
      <c r="BR72" s="101" t="s">
        <v>5059</v>
      </c>
      <c r="BS72" s="101" t="s">
        <v>5046</v>
      </c>
      <c r="BT72" s="101" t="s">
        <v>5060</v>
      </c>
      <c r="BU72" s="101" t="s">
        <v>5061</v>
      </c>
      <c r="BV72" s="101" t="s">
        <v>5062</v>
      </c>
      <c r="BW72" s="101" t="s">
        <v>5063</v>
      </c>
      <c r="BX72" s="101" t="s">
        <v>5064</v>
      </c>
      <c r="BY72" s="101" t="s">
        <v>5052</v>
      </c>
      <c r="BZ72" s="101" t="s">
        <v>5065</v>
      </c>
      <c r="CA72" s="101" t="s">
        <v>5066</v>
      </c>
      <c r="CB72" s="102" t="s">
        <v>5055</v>
      </c>
      <c r="CC72" s="105"/>
      <c r="CD72" s="101" t="s">
        <v>4478</v>
      </c>
      <c r="CE72" s="101" t="s">
        <v>4479</v>
      </c>
      <c r="CF72" s="101" t="s">
        <v>4480</v>
      </c>
      <c r="CG72" s="101" t="s">
        <v>4481</v>
      </c>
      <c r="CH72" s="101" t="s">
        <v>4482</v>
      </c>
      <c r="CI72" s="101" t="s">
        <v>4483</v>
      </c>
      <c r="CJ72" s="101" t="s">
        <v>4484</v>
      </c>
      <c r="CK72" s="101" t="s">
        <v>4485</v>
      </c>
      <c r="CL72" s="101" t="s">
        <v>4486</v>
      </c>
      <c r="CM72" s="101" t="s">
        <v>4487</v>
      </c>
      <c r="CN72" s="101" t="s">
        <v>4488</v>
      </c>
      <c r="CO72" s="101" t="s">
        <v>4489</v>
      </c>
      <c r="CP72" s="101" t="s">
        <v>4490</v>
      </c>
      <c r="CQ72" s="101" t="s">
        <v>4491</v>
      </c>
      <c r="CR72" s="102" t="s">
        <v>4492</v>
      </c>
    </row>
    <row r="73">
      <c r="A73" s="103"/>
      <c r="B73" s="103"/>
      <c r="C73" s="103"/>
      <c r="D73" s="103"/>
      <c r="E73" s="103"/>
      <c r="F73" s="103"/>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0" t="s">
        <v>5067</v>
      </c>
      <c r="AH73" s="101" t="s">
        <v>5068</v>
      </c>
      <c r="AI73" s="101" t="s">
        <v>5069</v>
      </c>
      <c r="AJ73" s="101" t="s">
        <v>5070</v>
      </c>
      <c r="AK73" s="101" t="s">
        <v>5071</v>
      </c>
      <c r="AL73" s="101" t="s">
        <v>5072</v>
      </c>
      <c r="AM73" s="101" t="s">
        <v>5073</v>
      </c>
      <c r="AN73" s="101" t="s">
        <v>5074</v>
      </c>
      <c r="AO73" s="101" t="s">
        <v>5075</v>
      </c>
      <c r="AP73" s="101" t="s">
        <v>5076</v>
      </c>
      <c r="AQ73" s="101" t="s">
        <v>5077</v>
      </c>
      <c r="AR73" s="101" t="s">
        <v>5078</v>
      </c>
      <c r="AS73" s="101" t="s">
        <v>5079</v>
      </c>
      <c r="AT73" s="101" t="s">
        <v>5080</v>
      </c>
      <c r="AU73" s="101" t="s">
        <v>5081</v>
      </c>
      <c r="AV73" s="102" t="s">
        <v>5082</v>
      </c>
      <c r="AW73" s="100" t="s">
        <v>5083</v>
      </c>
      <c r="AX73" s="101" t="s">
        <v>5084</v>
      </c>
      <c r="AY73" s="101" t="s">
        <v>5085</v>
      </c>
      <c r="AZ73" s="101" t="s">
        <v>5086</v>
      </c>
      <c r="BA73" s="101" t="s">
        <v>5087</v>
      </c>
      <c r="BB73" s="101" t="s">
        <v>5088</v>
      </c>
      <c r="BC73" s="101" t="s">
        <v>5089</v>
      </c>
      <c r="BD73" s="101" t="s">
        <v>5090</v>
      </c>
      <c r="BE73" s="101" t="s">
        <v>5091</v>
      </c>
      <c r="BF73" s="101" t="s">
        <v>5092</v>
      </c>
      <c r="BG73" s="101" t="s">
        <v>5093</v>
      </c>
      <c r="BH73" s="101" t="s">
        <v>5094</v>
      </c>
      <c r="BI73" s="101" t="s">
        <v>5095</v>
      </c>
      <c r="BJ73" s="101" t="s">
        <v>5096</v>
      </c>
      <c r="BK73" s="101" t="s">
        <v>5097</v>
      </c>
      <c r="BL73" s="102" t="s">
        <v>5098</v>
      </c>
      <c r="BM73" s="100" t="s">
        <v>5099</v>
      </c>
      <c r="BN73" s="101" t="s">
        <v>5100</v>
      </c>
      <c r="BO73" s="101" t="s">
        <v>5085</v>
      </c>
      <c r="BP73" s="101" t="s">
        <v>5101</v>
      </c>
      <c r="BQ73" s="101" t="s">
        <v>5102</v>
      </c>
      <c r="BR73" s="101" t="s">
        <v>5103</v>
      </c>
      <c r="BS73" s="101" t="s">
        <v>5089</v>
      </c>
      <c r="BT73" s="101" t="s">
        <v>5104</v>
      </c>
      <c r="BU73" s="101" t="s">
        <v>5091</v>
      </c>
      <c r="BV73" s="101" t="s">
        <v>5105</v>
      </c>
      <c r="BW73" s="101" t="s">
        <v>5106</v>
      </c>
      <c r="BX73" s="101" t="s">
        <v>5107</v>
      </c>
      <c r="BY73" s="101" t="s">
        <v>5108</v>
      </c>
      <c r="BZ73" s="101" t="s">
        <v>5109</v>
      </c>
      <c r="CA73" s="101" t="s">
        <v>5110</v>
      </c>
      <c r="CB73" s="102" t="s">
        <v>5111</v>
      </c>
      <c r="CC73" s="100" t="s">
        <v>4510</v>
      </c>
      <c r="CD73" s="101" t="s">
        <v>4511</v>
      </c>
      <c r="CE73" s="101" t="s">
        <v>4512</v>
      </c>
      <c r="CF73" s="101" t="s">
        <v>4513</v>
      </c>
      <c r="CG73" s="101" t="s">
        <v>4514</v>
      </c>
      <c r="CH73" s="101" t="s">
        <v>4515</v>
      </c>
      <c r="CI73" s="101" t="s">
        <v>4516</v>
      </c>
      <c r="CJ73" s="101" t="s">
        <v>4517</v>
      </c>
      <c r="CK73" s="101" t="s">
        <v>4518</v>
      </c>
      <c r="CL73" s="101" t="s">
        <v>4519</v>
      </c>
      <c r="CM73" s="101" t="s">
        <v>4520</v>
      </c>
      <c r="CN73" s="101" t="s">
        <v>4521</v>
      </c>
      <c r="CO73" s="101" t="s">
        <v>4522</v>
      </c>
      <c r="CP73" s="101" t="s">
        <v>4523</v>
      </c>
      <c r="CQ73" s="101" t="s">
        <v>4524</v>
      </c>
      <c r="CR73" s="102" t="s">
        <v>4525</v>
      </c>
    </row>
    <row r="74">
      <c r="A74" s="103"/>
      <c r="B74" s="103"/>
      <c r="C74" s="103"/>
      <c r="D74" s="103"/>
      <c r="E74" s="103"/>
      <c r="F74" s="103"/>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0" t="s">
        <v>5112</v>
      </c>
      <c r="AH74" s="101" t="s">
        <v>5113</v>
      </c>
      <c r="AI74" s="101" t="s">
        <v>5114</v>
      </c>
      <c r="AJ74" s="101" t="s">
        <v>5115</v>
      </c>
      <c r="AK74" s="101" t="s">
        <v>5116</v>
      </c>
      <c r="AL74" s="101" t="s">
        <v>5117</v>
      </c>
      <c r="AM74" s="101" t="s">
        <v>5118</v>
      </c>
      <c r="AN74" s="101" t="s">
        <v>5119</v>
      </c>
      <c r="AO74" s="101" t="s">
        <v>5120</v>
      </c>
      <c r="AP74" s="101" t="s">
        <v>5121</v>
      </c>
      <c r="AQ74" s="101" t="s">
        <v>5122</v>
      </c>
      <c r="AR74" s="101" t="s">
        <v>5123</v>
      </c>
      <c r="AS74" s="101" t="s">
        <v>5124</v>
      </c>
      <c r="AT74" s="101" t="s">
        <v>5125</v>
      </c>
      <c r="AU74" s="101" t="s">
        <v>5126</v>
      </c>
      <c r="AV74" s="102" t="s">
        <v>5127</v>
      </c>
      <c r="AW74" s="100" t="s">
        <v>5128</v>
      </c>
      <c r="AX74" s="101" t="s">
        <v>5129</v>
      </c>
      <c r="AY74" s="101" t="s">
        <v>5130</v>
      </c>
      <c r="AZ74" s="101" t="s">
        <v>5131</v>
      </c>
      <c r="BA74" s="101" t="s">
        <v>5132</v>
      </c>
      <c r="BB74" s="101" t="s">
        <v>5133</v>
      </c>
      <c r="BC74" s="101" t="s">
        <v>5134</v>
      </c>
      <c r="BD74" s="101" t="s">
        <v>5135</v>
      </c>
      <c r="BE74" s="101" t="s">
        <v>5136</v>
      </c>
      <c r="BF74" s="101" t="s">
        <v>5137</v>
      </c>
      <c r="BG74" s="101" t="s">
        <v>5138</v>
      </c>
      <c r="BH74" s="101" t="s">
        <v>5139</v>
      </c>
      <c r="BI74" s="101" t="s">
        <v>5140</v>
      </c>
      <c r="BJ74" s="101" t="s">
        <v>5141</v>
      </c>
      <c r="BK74" s="101" t="s">
        <v>5142</v>
      </c>
      <c r="BL74" s="102" t="s">
        <v>5143</v>
      </c>
      <c r="BM74" s="100" t="s">
        <v>5128</v>
      </c>
      <c r="BN74" s="101" t="s">
        <v>5144</v>
      </c>
      <c r="BO74" s="101" t="s">
        <v>5145</v>
      </c>
      <c r="BP74" s="101" t="s">
        <v>5146</v>
      </c>
      <c r="BQ74" s="101" t="s">
        <v>5132</v>
      </c>
      <c r="BR74" s="101" t="s">
        <v>5147</v>
      </c>
      <c r="BS74" s="101" t="s">
        <v>5134</v>
      </c>
      <c r="BT74" s="101" t="s">
        <v>5135</v>
      </c>
      <c r="BU74" s="101" t="s">
        <v>5136</v>
      </c>
      <c r="BV74" s="101" t="s">
        <v>5148</v>
      </c>
      <c r="BW74" s="101" t="s">
        <v>5138</v>
      </c>
      <c r="BX74" s="101" t="s">
        <v>5139</v>
      </c>
      <c r="BY74" s="101" t="s">
        <v>5149</v>
      </c>
      <c r="BZ74" s="101" t="s">
        <v>5141</v>
      </c>
      <c r="CA74" s="101" t="s">
        <v>5142</v>
      </c>
      <c r="CB74" s="102" t="s">
        <v>5150</v>
      </c>
      <c r="CC74" s="100" t="s">
        <v>4543</v>
      </c>
      <c r="CD74" s="101" t="s">
        <v>4544</v>
      </c>
      <c r="CE74" s="101" t="s">
        <v>4545</v>
      </c>
      <c r="CF74" s="101" t="s">
        <v>4546</v>
      </c>
      <c r="CG74" s="101" t="s">
        <v>4547</v>
      </c>
      <c r="CH74" s="101" t="s">
        <v>4548</v>
      </c>
      <c r="CI74" s="101" t="s">
        <v>4549</v>
      </c>
      <c r="CJ74" s="101" t="s">
        <v>4550</v>
      </c>
      <c r="CK74" s="101" t="s">
        <v>4551</v>
      </c>
      <c r="CL74" s="101" t="s">
        <v>4552</v>
      </c>
      <c r="CM74" s="101" t="s">
        <v>4553</v>
      </c>
      <c r="CN74" s="101" t="s">
        <v>4554</v>
      </c>
      <c r="CO74" s="101" t="s">
        <v>4555</v>
      </c>
      <c r="CP74" s="101" t="s">
        <v>4556</v>
      </c>
      <c r="CQ74" s="101" t="s">
        <v>4557</v>
      </c>
      <c r="CR74" s="102" t="s">
        <v>4558</v>
      </c>
    </row>
    <row r="75">
      <c r="A75" s="103"/>
      <c r="B75" s="103"/>
      <c r="C75" s="103"/>
      <c r="D75" s="103"/>
      <c r="E75" s="103"/>
      <c r="F75" s="103"/>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0" t="s">
        <v>5151</v>
      </c>
      <c r="AH75" s="101" t="s">
        <v>5152</v>
      </c>
      <c r="AI75" s="101" t="s">
        <v>5153</v>
      </c>
      <c r="AJ75" s="101" t="s">
        <v>5154</v>
      </c>
      <c r="AK75" s="101" t="s">
        <v>5155</v>
      </c>
      <c r="AL75" s="101" t="s">
        <v>5156</v>
      </c>
      <c r="AM75" s="101" t="s">
        <v>5157</v>
      </c>
      <c r="AN75" s="101" t="s">
        <v>5158</v>
      </c>
      <c r="AO75" s="101" t="s">
        <v>5159</v>
      </c>
      <c r="AP75" s="101" t="s">
        <v>5160</v>
      </c>
      <c r="AQ75" s="101" t="s">
        <v>5161</v>
      </c>
      <c r="AR75" s="101" t="s">
        <v>5162</v>
      </c>
      <c r="AS75" s="101" t="s">
        <v>5163</v>
      </c>
      <c r="AT75" s="101" t="s">
        <v>5164</v>
      </c>
      <c r="AU75" s="101" t="s">
        <v>5165</v>
      </c>
      <c r="AV75" s="107"/>
      <c r="AW75" s="100" t="s">
        <v>5166</v>
      </c>
      <c r="AX75" s="101" t="s">
        <v>5167</v>
      </c>
      <c r="AY75" s="101" t="s">
        <v>5168</v>
      </c>
      <c r="AZ75" s="101" t="s">
        <v>5169</v>
      </c>
      <c r="BA75" s="101" t="s">
        <v>5170</v>
      </c>
      <c r="BB75" s="101" t="s">
        <v>5171</v>
      </c>
      <c r="BC75" s="101" t="s">
        <v>5172</v>
      </c>
      <c r="BD75" s="101" t="s">
        <v>5173</v>
      </c>
      <c r="BE75" s="101" t="s">
        <v>5174</v>
      </c>
      <c r="BF75" s="101" t="s">
        <v>5175</v>
      </c>
      <c r="BG75" s="101" t="s">
        <v>5176</v>
      </c>
      <c r="BH75" s="101" t="s">
        <v>5177</v>
      </c>
      <c r="BI75" s="101" t="s">
        <v>5178</v>
      </c>
      <c r="BJ75" s="101" t="s">
        <v>5179</v>
      </c>
      <c r="BK75" s="101" t="s">
        <v>5180</v>
      </c>
      <c r="BL75" s="102" t="s">
        <v>5181</v>
      </c>
      <c r="BM75" s="100" t="s">
        <v>5166</v>
      </c>
      <c r="BN75" s="101" t="s">
        <v>5167</v>
      </c>
      <c r="BO75" s="101" t="s">
        <v>5168</v>
      </c>
      <c r="BP75" s="101" t="s">
        <v>5169</v>
      </c>
      <c r="BQ75" s="101" t="s">
        <v>5170</v>
      </c>
      <c r="BR75" s="101" t="s">
        <v>5171</v>
      </c>
      <c r="BS75" s="101" t="s">
        <v>5172</v>
      </c>
      <c r="BT75" s="101" t="s">
        <v>5173</v>
      </c>
      <c r="BU75" s="101" t="s">
        <v>5174</v>
      </c>
      <c r="BV75" s="101" t="s">
        <v>5175</v>
      </c>
      <c r="BW75" s="101" t="s">
        <v>5176</v>
      </c>
      <c r="BX75" s="101" t="s">
        <v>5177</v>
      </c>
      <c r="BY75" s="101" t="s">
        <v>5182</v>
      </c>
      <c r="BZ75" s="101" t="s">
        <v>5183</v>
      </c>
      <c r="CA75" s="101" t="s">
        <v>5180</v>
      </c>
      <c r="CB75" s="102" t="s">
        <v>5181</v>
      </c>
      <c r="CC75" s="100" t="s">
        <v>4581</v>
      </c>
      <c r="CD75" s="101" t="s">
        <v>4582</v>
      </c>
      <c r="CE75" s="101" t="s">
        <v>4583</v>
      </c>
      <c r="CF75" s="101" t="s">
        <v>4584</v>
      </c>
      <c r="CG75" s="101" t="s">
        <v>4585</v>
      </c>
      <c r="CH75" s="101" t="s">
        <v>4586</v>
      </c>
      <c r="CI75" s="101" t="s">
        <v>4587</v>
      </c>
      <c r="CJ75" s="101" t="s">
        <v>4588</v>
      </c>
      <c r="CK75" s="101" t="s">
        <v>4589</v>
      </c>
      <c r="CL75" s="101" t="s">
        <v>4590</v>
      </c>
      <c r="CM75" s="101" t="s">
        <v>4591</v>
      </c>
      <c r="CN75" s="101" t="s">
        <v>4592</v>
      </c>
      <c r="CO75" s="101" t="s">
        <v>4593</v>
      </c>
      <c r="CP75" s="101" t="s">
        <v>4594</v>
      </c>
      <c r="CQ75" s="101" t="s">
        <v>4595</v>
      </c>
      <c r="CR75" s="102" t="s">
        <v>4596</v>
      </c>
    </row>
    <row r="76">
      <c r="A76" s="103"/>
      <c r="B76" s="103"/>
      <c r="C76" s="103"/>
      <c r="D76" s="103"/>
      <c r="E76" s="103"/>
      <c r="F76" s="103"/>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5"/>
      <c r="AH76" s="101" t="s">
        <v>5184</v>
      </c>
      <c r="AI76" s="101" t="s">
        <v>5185</v>
      </c>
      <c r="AJ76" s="101" t="s">
        <v>5186</v>
      </c>
      <c r="AK76" s="101" t="s">
        <v>5187</v>
      </c>
      <c r="AL76" s="101" t="s">
        <v>5188</v>
      </c>
      <c r="AM76" s="101" t="s">
        <v>5189</v>
      </c>
      <c r="AN76" s="101" t="s">
        <v>5190</v>
      </c>
      <c r="AO76" s="101" t="s">
        <v>5191</v>
      </c>
      <c r="AP76" s="101" t="s">
        <v>5192</v>
      </c>
      <c r="AQ76" s="101" t="s">
        <v>5193</v>
      </c>
      <c r="AR76" s="101" t="s">
        <v>5194</v>
      </c>
      <c r="AS76" s="101" t="s">
        <v>5195</v>
      </c>
      <c r="AT76" s="101" t="s">
        <v>5196</v>
      </c>
      <c r="AU76" s="101" t="s">
        <v>5197</v>
      </c>
      <c r="AV76" s="102" t="s">
        <v>5198</v>
      </c>
      <c r="AW76" s="100" t="s">
        <v>5199</v>
      </c>
      <c r="AX76" s="101" t="s">
        <v>5200</v>
      </c>
      <c r="AY76" s="101" t="s">
        <v>5201</v>
      </c>
      <c r="AZ76" s="101" t="s">
        <v>5202</v>
      </c>
      <c r="BA76" s="101" t="s">
        <v>5203</v>
      </c>
      <c r="BB76" s="101" t="s">
        <v>5204</v>
      </c>
      <c r="BC76" s="101" t="s">
        <v>5205</v>
      </c>
      <c r="BD76" s="101" t="s">
        <v>5206</v>
      </c>
      <c r="BE76" s="101" t="s">
        <v>5207</v>
      </c>
      <c r="BF76" s="101" t="s">
        <v>5208</v>
      </c>
      <c r="BG76" s="101" t="s">
        <v>5209</v>
      </c>
      <c r="BH76" s="101" t="s">
        <v>5210</v>
      </c>
      <c r="BI76" s="101" t="s">
        <v>5211</v>
      </c>
      <c r="BJ76" s="101" t="s">
        <v>5212</v>
      </c>
      <c r="BK76" s="101" t="s">
        <v>5213</v>
      </c>
      <c r="BL76" s="102" t="s">
        <v>5214</v>
      </c>
      <c r="BM76" s="100" t="s">
        <v>5199</v>
      </c>
      <c r="BN76" s="101" t="s">
        <v>5200</v>
      </c>
      <c r="BO76" s="101" t="s">
        <v>5201</v>
      </c>
      <c r="BP76" s="101" t="s">
        <v>5215</v>
      </c>
      <c r="BQ76" s="101" t="s">
        <v>5203</v>
      </c>
      <c r="BR76" s="101" t="s">
        <v>5204</v>
      </c>
      <c r="BS76" s="101" t="s">
        <v>5205</v>
      </c>
      <c r="BT76" s="101" t="s">
        <v>5206</v>
      </c>
      <c r="BU76" s="101" t="s">
        <v>5207</v>
      </c>
      <c r="BV76" s="101" t="s">
        <v>5216</v>
      </c>
      <c r="BW76" s="101" t="s">
        <v>5209</v>
      </c>
      <c r="BX76" s="101" t="s">
        <v>5210</v>
      </c>
      <c r="BY76" s="101" t="s">
        <v>5211</v>
      </c>
      <c r="BZ76" s="101" t="s">
        <v>5212</v>
      </c>
      <c r="CA76" s="101" t="s">
        <v>5213</v>
      </c>
      <c r="CB76" s="102" t="s">
        <v>5217</v>
      </c>
      <c r="CC76" s="100" t="s">
        <v>4618</v>
      </c>
      <c r="CD76" s="101" t="s">
        <v>4619</v>
      </c>
      <c r="CE76" s="101" t="s">
        <v>4620</v>
      </c>
      <c r="CF76" s="101" t="s">
        <v>4621</v>
      </c>
      <c r="CG76" s="101" t="s">
        <v>4622</v>
      </c>
      <c r="CH76" s="101" t="s">
        <v>4623</v>
      </c>
      <c r="CI76" s="101" t="s">
        <v>4624</v>
      </c>
      <c r="CJ76" s="101" t="s">
        <v>4625</v>
      </c>
      <c r="CK76" s="101" t="s">
        <v>4626</v>
      </c>
      <c r="CL76" s="101" t="s">
        <v>4627</v>
      </c>
      <c r="CM76" s="101" t="s">
        <v>4628</v>
      </c>
      <c r="CN76" s="101" t="s">
        <v>4629</v>
      </c>
      <c r="CO76" s="101" t="s">
        <v>4630</v>
      </c>
      <c r="CP76" s="101" t="s">
        <v>4631</v>
      </c>
      <c r="CQ76" s="101" t="s">
        <v>4632</v>
      </c>
      <c r="CR76" s="102" t="s">
        <v>4633</v>
      </c>
    </row>
    <row r="77">
      <c r="A77" s="103"/>
      <c r="B77" s="103"/>
      <c r="C77" s="103"/>
      <c r="D77" s="103"/>
      <c r="E77" s="103"/>
      <c r="F77" s="103"/>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0" t="s">
        <v>5218</v>
      </c>
      <c r="AH77" s="101" t="s">
        <v>5219</v>
      </c>
      <c r="AI77" s="101" t="s">
        <v>5220</v>
      </c>
      <c r="AJ77" s="101" t="s">
        <v>5221</v>
      </c>
      <c r="AK77" s="101" t="s">
        <v>5222</v>
      </c>
      <c r="AL77" s="101" t="s">
        <v>5223</v>
      </c>
      <c r="AM77" s="101" t="s">
        <v>5224</v>
      </c>
      <c r="AN77" s="101" t="s">
        <v>5225</v>
      </c>
      <c r="AO77" s="101" t="s">
        <v>5226</v>
      </c>
      <c r="AP77" s="101" t="s">
        <v>5227</v>
      </c>
      <c r="AQ77" s="101" t="s">
        <v>5228</v>
      </c>
      <c r="AR77" s="101" t="s">
        <v>5229</v>
      </c>
      <c r="AS77" s="101" t="s">
        <v>5230</v>
      </c>
      <c r="AT77" s="101" t="s">
        <v>5231</v>
      </c>
      <c r="AU77" s="101" t="s">
        <v>5232</v>
      </c>
      <c r="AV77" s="102" t="s">
        <v>5233</v>
      </c>
      <c r="AW77" s="100" t="s">
        <v>5234</v>
      </c>
      <c r="AX77" s="101" t="s">
        <v>5235</v>
      </c>
      <c r="AY77" s="101" t="s">
        <v>5236</v>
      </c>
      <c r="AZ77" s="101" t="s">
        <v>5237</v>
      </c>
      <c r="BA77" s="101" t="s">
        <v>5238</v>
      </c>
      <c r="BB77" s="101" t="s">
        <v>5239</v>
      </c>
      <c r="BC77" s="101" t="s">
        <v>5240</v>
      </c>
      <c r="BD77" s="101" t="s">
        <v>5241</v>
      </c>
      <c r="BE77" s="101" t="s">
        <v>5242</v>
      </c>
      <c r="BF77" s="101" t="s">
        <v>5243</v>
      </c>
      <c r="BG77" s="101" t="s">
        <v>5244</v>
      </c>
      <c r="BH77" s="101" t="s">
        <v>5245</v>
      </c>
      <c r="BI77" s="101" t="s">
        <v>5246</v>
      </c>
      <c r="BJ77" s="101" t="s">
        <v>5247</v>
      </c>
      <c r="BK77" s="101" t="s">
        <v>5248</v>
      </c>
      <c r="BL77" s="102" t="s">
        <v>5249</v>
      </c>
      <c r="BM77" s="100" t="s">
        <v>5250</v>
      </c>
      <c r="BN77" s="101" t="s">
        <v>5251</v>
      </c>
      <c r="BO77" s="101" t="s">
        <v>5236</v>
      </c>
      <c r="BP77" s="101" t="s">
        <v>5237</v>
      </c>
      <c r="BQ77" s="101" t="s">
        <v>5238</v>
      </c>
      <c r="BR77" s="101" t="s">
        <v>5239</v>
      </c>
      <c r="BS77" s="101" t="s">
        <v>5240</v>
      </c>
      <c r="BT77" s="101" t="s">
        <v>5241</v>
      </c>
      <c r="BU77" s="101" t="s">
        <v>5252</v>
      </c>
      <c r="BV77" s="101" t="s">
        <v>5243</v>
      </c>
      <c r="BW77" s="101" t="s">
        <v>5244</v>
      </c>
      <c r="BX77" s="101" t="s">
        <v>5245</v>
      </c>
      <c r="BY77" s="101" t="s">
        <v>5246</v>
      </c>
      <c r="BZ77" s="101" t="s">
        <v>5247</v>
      </c>
      <c r="CA77" s="101" t="s">
        <v>5248</v>
      </c>
      <c r="CB77" s="102" t="s">
        <v>5249</v>
      </c>
      <c r="CC77" s="100" t="s">
        <v>4653</v>
      </c>
      <c r="CD77" s="101" t="s">
        <v>4654</v>
      </c>
      <c r="CE77" s="101" t="s">
        <v>4655</v>
      </c>
      <c r="CF77" s="101" t="s">
        <v>4656</v>
      </c>
      <c r="CG77" s="101" t="s">
        <v>4657</v>
      </c>
      <c r="CH77" s="101" t="s">
        <v>4658</v>
      </c>
      <c r="CI77" s="101" t="s">
        <v>4659</v>
      </c>
      <c r="CJ77" s="101" t="s">
        <v>4660</v>
      </c>
      <c r="CK77" s="101" t="s">
        <v>4661</v>
      </c>
      <c r="CL77" s="101" t="s">
        <v>4662</v>
      </c>
      <c r="CM77" s="101" t="s">
        <v>4663</v>
      </c>
      <c r="CN77" s="101" t="s">
        <v>4664</v>
      </c>
      <c r="CO77" s="101" t="s">
        <v>4665</v>
      </c>
      <c r="CP77" s="101" t="s">
        <v>4666</v>
      </c>
      <c r="CQ77" s="101" t="s">
        <v>4667</v>
      </c>
      <c r="CR77" s="107"/>
    </row>
    <row r="78">
      <c r="A78" s="103"/>
      <c r="B78" s="103"/>
      <c r="C78" s="103"/>
      <c r="D78" s="103"/>
      <c r="E78" s="103"/>
      <c r="F78" s="103"/>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0" t="s">
        <v>5253</v>
      </c>
      <c r="AH78" s="101" t="s">
        <v>5254</v>
      </c>
      <c r="AI78" s="101" t="s">
        <v>2008</v>
      </c>
      <c r="AJ78" s="101" t="s">
        <v>5255</v>
      </c>
      <c r="AK78" s="101" t="s">
        <v>5256</v>
      </c>
      <c r="AL78" s="101" t="s">
        <v>5257</v>
      </c>
      <c r="AM78" s="101" t="s">
        <v>5258</v>
      </c>
      <c r="AN78" s="101" t="s">
        <v>5259</v>
      </c>
      <c r="AO78" s="101" t="s">
        <v>5260</v>
      </c>
      <c r="AP78" s="101" t="s">
        <v>5261</v>
      </c>
      <c r="AQ78" s="101" t="s">
        <v>5262</v>
      </c>
      <c r="AR78" s="101" t="s">
        <v>5263</v>
      </c>
      <c r="AS78" s="101" t="s">
        <v>5264</v>
      </c>
      <c r="AT78" s="101" t="s">
        <v>5265</v>
      </c>
      <c r="AU78" s="101" t="s">
        <v>5266</v>
      </c>
      <c r="AV78" s="102" t="s">
        <v>5267</v>
      </c>
      <c r="AW78" s="100" t="s">
        <v>5268</v>
      </c>
      <c r="AX78" s="101" t="s">
        <v>5269</v>
      </c>
      <c r="AY78" s="101" t="s">
        <v>5270</v>
      </c>
      <c r="AZ78" s="101" t="s">
        <v>5271</v>
      </c>
      <c r="BA78" s="101" t="s">
        <v>5272</v>
      </c>
      <c r="BB78" s="101" t="s">
        <v>5273</v>
      </c>
      <c r="BC78" s="101" t="s">
        <v>5274</v>
      </c>
      <c r="BD78" s="101" t="s">
        <v>5275</v>
      </c>
      <c r="BE78" s="101" t="s">
        <v>5276</v>
      </c>
      <c r="BF78" s="101" t="s">
        <v>5277</v>
      </c>
      <c r="BG78" s="101" t="s">
        <v>5278</v>
      </c>
      <c r="BH78" s="101" t="s">
        <v>5279</v>
      </c>
      <c r="BI78" s="101" t="s">
        <v>5280</v>
      </c>
      <c r="BJ78" s="101" t="s">
        <v>5281</v>
      </c>
      <c r="BK78" s="101" t="s">
        <v>5282</v>
      </c>
      <c r="BL78" s="102" t="s">
        <v>5283</v>
      </c>
      <c r="BM78" s="100" t="s">
        <v>5268</v>
      </c>
      <c r="BN78" s="101" t="s">
        <v>5284</v>
      </c>
      <c r="BO78" s="101" t="s">
        <v>5285</v>
      </c>
      <c r="BP78" s="101" t="s">
        <v>5271</v>
      </c>
      <c r="BQ78" s="101" t="s">
        <v>5272</v>
      </c>
      <c r="BR78" s="101" t="s">
        <v>5273</v>
      </c>
      <c r="BS78" s="101" t="s">
        <v>5274</v>
      </c>
      <c r="BT78" s="101" t="s">
        <v>5275</v>
      </c>
      <c r="BU78" s="101" t="s">
        <v>5276</v>
      </c>
      <c r="BV78" s="101" t="s">
        <v>5277</v>
      </c>
      <c r="BW78" s="101" t="s">
        <v>5286</v>
      </c>
      <c r="BX78" s="101" t="s">
        <v>5279</v>
      </c>
      <c r="BY78" s="101" t="s">
        <v>5280</v>
      </c>
      <c r="BZ78" s="101" t="s">
        <v>5281</v>
      </c>
      <c r="CA78" s="101" t="s">
        <v>5282</v>
      </c>
      <c r="CB78" s="102" t="s">
        <v>5283</v>
      </c>
      <c r="CC78" s="100" t="s">
        <v>4691</v>
      </c>
      <c r="CD78" s="101" t="s">
        <v>4692</v>
      </c>
      <c r="CE78" s="101" t="s">
        <v>4693</v>
      </c>
      <c r="CF78" s="101" t="s">
        <v>4694</v>
      </c>
      <c r="CG78" s="101" t="s">
        <v>4695</v>
      </c>
      <c r="CH78" s="101" t="s">
        <v>4696</v>
      </c>
      <c r="CI78" s="101" t="s">
        <v>4697</v>
      </c>
      <c r="CJ78" s="101" t="s">
        <v>4698</v>
      </c>
      <c r="CK78" s="101" t="s">
        <v>4699</v>
      </c>
      <c r="CL78" s="101" t="s">
        <v>4700</v>
      </c>
      <c r="CM78" s="101" t="s">
        <v>4701</v>
      </c>
      <c r="CN78" s="101" t="s">
        <v>4702</v>
      </c>
      <c r="CO78" s="101" t="s">
        <v>4703</v>
      </c>
      <c r="CP78" s="101" t="s">
        <v>4704</v>
      </c>
      <c r="CQ78" s="101" t="s">
        <v>4705</v>
      </c>
      <c r="CR78" s="102" t="s">
        <v>4706</v>
      </c>
    </row>
    <row r="79">
      <c r="A79" s="103"/>
      <c r="B79" s="103"/>
      <c r="C79" s="103"/>
      <c r="D79" s="103"/>
      <c r="E79" s="103"/>
      <c r="F79" s="103"/>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0" t="s">
        <v>5287</v>
      </c>
      <c r="AH79" s="101" t="s">
        <v>5288</v>
      </c>
      <c r="AI79" s="101" t="s">
        <v>5289</v>
      </c>
      <c r="AJ79" s="101" t="s">
        <v>5290</v>
      </c>
      <c r="AK79" s="101" t="s">
        <v>5291</v>
      </c>
      <c r="AL79" s="101" t="s">
        <v>5292</v>
      </c>
      <c r="AM79" s="101" t="s">
        <v>5293</v>
      </c>
      <c r="AN79" s="101" t="s">
        <v>5294</v>
      </c>
      <c r="AO79" s="101" t="s">
        <v>5295</v>
      </c>
      <c r="AP79" s="101" t="s">
        <v>5296</v>
      </c>
      <c r="AQ79" s="101" t="s">
        <v>5297</v>
      </c>
      <c r="AR79" s="101" t="s">
        <v>5298</v>
      </c>
      <c r="AS79" s="101" t="s">
        <v>5299</v>
      </c>
      <c r="AT79" s="101" t="s">
        <v>5300</v>
      </c>
      <c r="AU79" s="101" t="s">
        <v>5301</v>
      </c>
      <c r="AV79" s="102" t="s">
        <v>5302</v>
      </c>
      <c r="AW79" s="100" t="s">
        <v>5303</v>
      </c>
      <c r="AX79" s="101" t="s">
        <v>5304</v>
      </c>
      <c r="AY79" s="101" t="s">
        <v>5305</v>
      </c>
      <c r="AZ79" s="101" t="s">
        <v>5306</v>
      </c>
      <c r="BA79" s="101" t="s">
        <v>5307</v>
      </c>
      <c r="BB79" s="101" t="s">
        <v>5308</v>
      </c>
      <c r="BC79" s="101" t="s">
        <v>5309</v>
      </c>
      <c r="BD79" s="101" t="s">
        <v>5310</v>
      </c>
      <c r="BE79" s="101" t="s">
        <v>5311</v>
      </c>
      <c r="BF79" s="101" t="s">
        <v>5312</v>
      </c>
      <c r="BG79" s="101" t="s">
        <v>5313</v>
      </c>
      <c r="BH79" s="101" t="s">
        <v>5314</v>
      </c>
      <c r="BI79" s="101" t="s">
        <v>5315</v>
      </c>
      <c r="BJ79" s="101" t="s">
        <v>5316</v>
      </c>
      <c r="BK79" s="101" t="s">
        <v>5317</v>
      </c>
      <c r="BL79" s="102" t="s">
        <v>5318</v>
      </c>
      <c r="BM79" s="100" t="s">
        <v>5303</v>
      </c>
      <c r="BN79" s="101" t="s">
        <v>5304</v>
      </c>
      <c r="BO79" s="101" t="s">
        <v>5305</v>
      </c>
      <c r="BP79" s="101" t="s">
        <v>5306</v>
      </c>
      <c r="BQ79" s="101" t="s">
        <v>5307</v>
      </c>
      <c r="BR79" s="101" t="s">
        <v>5308</v>
      </c>
      <c r="BS79" s="101" t="s">
        <v>5309</v>
      </c>
      <c r="BT79" s="101" t="s">
        <v>5319</v>
      </c>
      <c r="BU79" s="101" t="s">
        <v>5320</v>
      </c>
      <c r="BV79" s="101" t="s">
        <v>5321</v>
      </c>
      <c r="BW79" s="101" t="s">
        <v>5313</v>
      </c>
      <c r="BX79" s="101" t="s">
        <v>5314</v>
      </c>
      <c r="BY79" s="101" t="s">
        <v>5322</v>
      </c>
      <c r="BZ79" s="101" t="s">
        <v>5316</v>
      </c>
      <c r="CA79" s="101" t="s">
        <v>5317</v>
      </c>
      <c r="CB79" s="102" t="s">
        <v>5323</v>
      </c>
      <c r="CC79" s="100" t="s">
        <v>4728</v>
      </c>
      <c r="CD79" s="101" t="s">
        <v>4729</v>
      </c>
      <c r="CE79" s="101" t="s">
        <v>4730</v>
      </c>
      <c r="CF79" s="101" t="s">
        <v>4731</v>
      </c>
      <c r="CG79" s="101" t="s">
        <v>4732</v>
      </c>
      <c r="CH79" s="101" t="s">
        <v>4733</v>
      </c>
      <c r="CI79" s="101" t="s">
        <v>4734</v>
      </c>
      <c r="CJ79" s="101" t="s">
        <v>4735</v>
      </c>
      <c r="CK79" s="101" t="s">
        <v>4736</v>
      </c>
      <c r="CL79" s="101" t="s">
        <v>4737</v>
      </c>
      <c r="CM79" s="101" t="s">
        <v>4738</v>
      </c>
      <c r="CN79" s="101" t="s">
        <v>4739</v>
      </c>
      <c r="CO79" s="101" t="s">
        <v>4740</v>
      </c>
      <c r="CP79" s="101" t="s">
        <v>4741</v>
      </c>
      <c r="CQ79" s="101" t="s">
        <v>4742</v>
      </c>
      <c r="CR79" s="102" t="s">
        <v>4743</v>
      </c>
    </row>
    <row r="80">
      <c r="A80" s="103"/>
      <c r="B80" s="103"/>
      <c r="C80" s="103"/>
      <c r="D80" s="103"/>
      <c r="E80" s="103"/>
      <c r="F80" s="103"/>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0" t="s">
        <v>5324</v>
      </c>
      <c r="AH80" s="101" t="s">
        <v>5325</v>
      </c>
      <c r="AI80" s="101" t="s">
        <v>5326</v>
      </c>
      <c r="AJ80" s="101" t="s">
        <v>5327</v>
      </c>
      <c r="AK80" s="101" t="s">
        <v>5328</v>
      </c>
      <c r="AL80" s="101" t="s">
        <v>5329</v>
      </c>
      <c r="AM80" s="101" t="s">
        <v>5330</v>
      </c>
      <c r="AN80" s="101" t="s">
        <v>5331</v>
      </c>
      <c r="AO80" s="101" t="s">
        <v>5332</v>
      </c>
      <c r="AP80" s="101" t="s">
        <v>5333</v>
      </c>
      <c r="AQ80" s="101" t="s">
        <v>5334</v>
      </c>
      <c r="AR80" s="101" t="s">
        <v>5335</v>
      </c>
      <c r="AS80" s="101" t="s">
        <v>5336</v>
      </c>
      <c r="AT80" s="101" t="s">
        <v>5337</v>
      </c>
      <c r="AU80" s="101" t="s">
        <v>5338</v>
      </c>
      <c r="AV80" s="102" t="s">
        <v>5339</v>
      </c>
      <c r="AW80" s="100" t="s">
        <v>5340</v>
      </c>
      <c r="AX80" s="101" t="s">
        <v>5341</v>
      </c>
      <c r="AY80" s="101" t="s">
        <v>5342</v>
      </c>
      <c r="AZ80" s="101" t="s">
        <v>5343</v>
      </c>
      <c r="BA80" s="101" t="s">
        <v>5344</v>
      </c>
      <c r="BB80" s="101" t="s">
        <v>5345</v>
      </c>
      <c r="BC80" s="101" t="s">
        <v>5346</v>
      </c>
      <c r="BD80" s="101" t="s">
        <v>5347</v>
      </c>
      <c r="BE80" s="101" t="s">
        <v>5348</v>
      </c>
      <c r="BF80" s="101" t="s">
        <v>5349</v>
      </c>
      <c r="BG80" s="101" t="s">
        <v>5350</v>
      </c>
      <c r="BH80" s="101" t="s">
        <v>5351</v>
      </c>
      <c r="BI80" s="101" t="s">
        <v>5352</v>
      </c>
      <c r="BJ80" s="101" t="s">
        <v>5353</v>
      </c>
      <c r="BK80" s="101" t="s">
        <v>5354</v>
      </c>
      <c r="BL80" s="102" t="s">
        <v>5355</v>
      </c>
      <c r="BM80" s="100" t="s">
        <v>5340</v>
      </c>
      <c r="BN80" s="101" t="s">
        <v>5341</v>
      </c>
      <c r="BO80" s="101" t="s">
        <v>5342</v>
      </c>
      <c r="BP80" s="101" t="s">
        <v>5343</v>
      </c>
      <c r="BQ80" s="101" t="s">
        <v>5356</v>
      </c>
      <c r="BR80" s="101" t="s">
        <v>5345</v>
      </c>
      <c r="BS80" s="101" t="s">
        <v>5357</v>
      </c>
      <c r="BT80" s="101" t="s">
        <v>5347</v>
      </c>
      <c r="BU80" s="101" t="s">
        <v>5348</v>
      </c>
      <c r="BV80" s="101" t="s">
        <v>5349</v>
      </c>
      <c r="BW80" s="101" t="s">
        <v>5350</v>
      </c>
      <c r="BX80" s="101" t="s">
        <v>5358</v>
      </c>
      <c r="BY80" s="101" t="s">
        <v>5359</v>
      </c>
      <c r="BZ80" s="101" t="s">
        <v>5353</v>
      </c>
      <c r="CA80" s="101" t="s">
        <v>5354</v>
      </c>
      <c r="CB80" s="102" t="s">
        <v>5355</v>
      </c>
      <c r="CC80" s="100" t="s">
        <v>4767</v>
      </c>
      <c r="CD80" s="101" t="s">
        <v>4768</v>
      </c>
      <c r="CE80" s="101" t="s">
        <v>4769</v>
      </c>
      <c r="CF80" s="101" t="s">
        <v>4770</v>
      </c>
      <c r="CG80" s="101" t="s">
        <v>4771</v>
      </c>
      <c r="CH80" s="101" t="s">
        <v>4772</v>
      </c>
      <c r="CI80" s="101" t="s">
        <v>4773</v>
      </c>
      <c r="CJ80" s="101" t="s">
        <v>4774</v>
      </c>
      <c r="CK80" s="101" t="s">
        <v>4775</v>
      </c>
      <c r="CL80" s="101" t="s">
        <v>4776</v>
      </c>
      <c r="CM80" s="101" t="s">
        <v>4777</v>
      </c>
      <c r="CN80" s="101" t="s">
        <v>4778</v>
      </c>
      <c r="CO80" s="101" t="s">
        <v>4779</v>
      </c>
      <c r="CP80" s="101" t="s">
        <v>4780</v>
      </c>
      <c r="CQ80" s="101" t="s">
        <v>4781</v>
      </c>
      <c r="CR80" s="102" t="s">
        <v>4782</v>
      </c>
    </row>
    <row r="81">
      <c r="A81" s="103"/>
      <c r="B81" s="103"/>
      <c r="C81" s="103"/>
      <c r="D81" s="103"/>
      <c r="E81" s="103"/>
      <c r="F81" s="103"/>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10" t="s">
        <v>5360</v>
      </c>
      <c r="AH81" s="111" t="s">
        <v>5361</v>
      </c>
      <c r="AI81" s="111" t="s">
        <v>5362</v>
      </c>
      <c r="AJ81" s="111" t="s">
        <v>5363</v>
      </c>
      <c r="AK81" s="111" t="s">
        <v>5364</v>
      </c>
      <c r="AL81" s="111" t="s">
        <v>5365</v>
      </c>
      <c r="AM81" s="111" t="s">
        <v>5366</v>
      </c>
      <c r="AN81" s="111" t="s">
        <v>5367</v>
      </c>
      <c r="AO81" s="111" t="s">
        <v>5368</v>
      </c>
      <c r="AP81" s="111" t="s">
        <v>5369</v>
      </c>
      <c r="AQ81" s="111" t="s">
        <v>5370</v>
      </c>
      <c r="AR81" s="111" t="s">
        <v>5371</v>
      </c>
      <c r="AS81" s="111" t="s">
        <v>5372</v>
      </c>
      <c r="AT81" s="111" t="s">
        <v>5373</v>
      </c>
      <c r="AU81" s="111" t="s">
        <v>5374</v>
      </c>
      <c r="AV81" s="115"/>
      <c r="AW81" s="110" t="s">
        <v>5375</v>
      </c>
      <c r="AX81" s="111" t="s">
        <v>5376</v>
      </c>
      <c r="AY81" s="111" t="s">
        <v>5377</v>
      </c>
      <c r="AZ81" s="111" t="s">
        <v>5378</v>
      </c>
      <c r="BA81" s="111" t="s">
        <v>5379</v>
      </c>
      <c r="BB81" s="111" t="s">
        <v>5380</v>
      </c>
      <c r="BC81" s="111" t="s">
        <v>5381</v>
      </c>
      <c r="BD81" s="111" t="s">
        <v>5382</v>
      </c>
      <c r="BE81" s="111" t="s">
        <v>5383</v>
      </c>
      <c r="BF81" s="111" t="s">
        <v>5384</v>
      </c>
      <c r="BG81" s="111" t="s">
        <v>5385</v>
      </c>
      <c r="BH81" s="111" t="s">
        <v>5386</v>
      </c>
      <c r="BI81" s="111" t="s">
        <v>5387</v>
      </c>
      <c r="BJ81" s="111" t="s">
        <v>5388</v>
      </c>
      <c r="BK81" s="111" t="s">
        <v>5389</v>
      </c>
      <c r="BL81" s="112" t="s">
        <v>5390</v>
      </c>
      <c r="BM81" s="110" t="s">
        <v>5375</v>
      </c>
      <c r="BN81" s="111" t="s">
        <v>5376</v>
      </c>
      <c r="BO81" s="111" t="s">
        <v>5377</v>
      </c>
      <c r="BP81" s="111" t="s">
        <v>5378</v>
      </c>
      <c r="BQ81" s="111" t="s">
        <v>5379</v>
      </c>
      <c r="BR81" s="111" t="s">
        <v>5380</v>
      </c>
      <c r="BS81" s="111" t="s">
        <v>5381</v>
      </c>
      <c r="BT81" s="111" t="s">
        <v>5382</v>
      </c>
      <c r="BU81" s="111" t="s">
        <v>5383</v>
      </c>
      <c r="BV81" s="111" t="s">
        <v>5384</v>
      </c>
      <c r="BW81" s="111" t="s">
        <v>5385</v>
      </c>
      <c r="BX81" s="111" t="s">
        <v>5386</v>
      </c>
      <c r="BY81" s="111" t="s">
        <v>5387</v>
      </c>
      <c r="BZ81" s="111" t="s">
        <v>5388</v>
      </c>
      <c r="CA81" s="111" t="s">
        <v>5389</v>
      </c>
      <c r="CB81" s="112" t="s">
        <v>5390</v>
      </c>
      <c r="CC81" s="110"/>
      <c r="CD81" s="111"/>
      <c r="CE81" s="111"/>
      <c r="CF81" s="111"/>
      <c r="CG81" s="111"/>
      <c r="CH81" s="111"/>
      <c r="CI81" s="111"/>
      <c r="CJ81" s="111"/>
      <c r="CK81" s="111"/>
      <c r="CL81" s="111"/>
      <c r="CM81" s="111"/>
      <c r="CN81" s="111"/>
      <c r="CO81" s="111"/>
      <c r="CP81" s="111"/>
      <c r="CQ81" s="111"/>
      <c r="CR81" s="112"/>
    </row>
    <row r="82">
      <c r="A82" s="103"/>
      <c r="B82" s="103"/>
      <c r="C82" s="103"/>
      <c r="D82" s="103"/>
      <c r="E82" s="103"/>
      <c r="F82" s="103"/>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96"/>
      <c r="AH82" s="97" t="s">
        <v>5391</v>
      </c>
      <c r="AI82" s="97" t="s">
        <v>5392</v>
      </c>
      <c r="AJ82" s="97" t="s">
        <v>5393</v>
      </c>
      <c r="AK82" s="97" t="s">
        <v>5394</v>
      </c>
      <c r="AL82" s="97" t="s">
        <v>5395</v>
      </c>
      <c r="AM82" s="97" t="s">
        <v>5396</v>
      </c>
      <c r="AN82" s="97" t="s">
        <v>5397</v>
      </c>
      <c r="AO82" s="97" t="s">
        <v>5398</v>
      </c>
      <c r="AP82" s="97" t="s">
        <v>5399</v>
      </c>
      <c r="AQ82" s="97" t="s">
        <v>5400</v>
      </c>
      <c r="AR82" s="97" t="s">
        <v>5401</v>
      </c>
      <c r="AS82" s="97" t="s">
        <v>5402</v>
      </c>
      <c r="AT82" s="97" t="s">
        <v>5403</v>
      </c>
      <c r="AU82" s="97" t="s">
        <v>5404</v>
      </c>
      <c r="AV82" s="98" t="s">
        <v>5405</v>
      </c>
      <c r="AW82" s="99" t="s">
        <v>5406</v>
      </c>
      <c r="AX82" s="97" t="s">
        <v>5407</v>
      </c>
      <c r="AY82" s="97" t="s">
        <v>5408</v>
      </c>
      <c r="AZ82" s="97" t="s">
        <v>5409</v>
      </c>
      <c r="BA82" s="97" t="s">
        <v>5410</v>
      </c>
      <c r="BB82" s="97" t="s">
        <v>5411</v>
      </c>
      <c r="BC82" s="97" t="s">
        <v>5412</v>
      </c>
      <c r="BD82" s="97" t="s">
        <v>5413</v>
      </c>
      <c r="BE82" s="97" t="s">
        <v>5414</v>
      </c>
      <c r="BF82" s="97" t="s">
        <v>5415</v>
      </c>
      <c r="BG82" s="97" t="s">
        <v>5416</v>
      </c>
      <c r="BH82" s="97" t="s">
        <v>5417</v>
      </c>
      <c r="BI82" s="97" t="s">
        <v>5418</v>
      </c>
      <c r="BJ82" s="97" t="s">
        <v>5419</v>
      </c>
      <c r="BK82" s="97" t="s">
        <v>5420</v>
      </c>
      <c r="BL82" s="98" t="s">
        <v>5421</v>
      </c>
      <c r="BM82" s="99" t="s">
        <v>5406</v>
      </c>
      <c r="BN82" s="97" t="s">
        <v>5407</v>
      </c>
      <c r="BO82" s="97" t="s">
        <v>5422</v>
      </c>
      <c r="BP82" s="97" t="s">
        <v>5409</v>
      </c>
      <c r="BQ82" s="97" t="s">
        <v>5410</v>
      </c>
      <c r="BR82" s="97" t="s">
        <v>5423</v>
      </c>
      <c r="BS82" s="97" t="s">
        <v>5412</v>
      </c>
      <c r="BT82" s="97" t="s">
        <v>5413</v>
      </c>
      <c r="BU82" s="97" t="s">
        <v>5414</v>
      </c>
      <c r="BV82" s="97" t="s">
        <v>5415</v>
      </c>
      <c r="BW82" s="97" t="s">
        <v>5416</v>
      </c>
      <c r="BX82" s="97" t="s">
        <v>5417</v>
      </c>
      <c r="BY82" s="97" t="s">
        <v>5418</v>
      </c>
      <c r="BZ82" s="97" t="s">
        <v>5419</v>
      </c>
      <c r="CA82" s="97" t="s">
        <v>5420</v>
      </c>
      <c r="CB82" s="98" t="s">
        <v>5421</v>
      </c>
      <c r="CC82" s="99" t="s">
        <v>4802</v>
      </c>
      <c r="CD82" s="97" t="s">
        <v>4803</v>
      </c>
      <c r="CE82" s="97" t="s">
        <v>4804</v>
      </c>
      <c r="CF82" s="97" t="s">
        <v>4805</v>
      </c>
      <c r="CG82" s="97" t="s">
        <v>4806</v>
      </c>
      <c r="CH82" s="97" t="s">
        <v>4807</v>
      </c>
      <c r="CI82" s="97" t="s">
        <v>4808</v>
      </c>
      <c r="CJ82" s="97" t="s">
        <v>4809</v>
      </c>
      <c r="CK82" s="97" t="s">
        <v>4810</v>
      </c>
      <c r="CL82" s="97" t="s">
        <v>4811</v>
      </c>
      <c r="CM82" s="97" t="s">
        <v>4812</v>
      </c>
      <c r="CN82" s="97" t="s">
        <v>4813</v>
      </c>
      <c r="CO82" s="97" t="s">
        <v>4814</v>
      </c>
      <c r="CP82" s="97" t="s">
        <v>4815</v>
      </c>
      <c r="CQ82" s="97" t="s">
        <v>4816</v>
      </c>
      <c r="CR82" s="98" t="s">
        <v>4817</v>
      </c>
    </row>
    <row r="83">
      <c r="A83" s="103"/>
      <c r="B83" s="103"/>
      <c r="C83" s="103"/>
      <c r="D83" s="103"/>
      <c r="E83" s="103"/>
      <c r="F83" s="103"/>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0" t="s">
        <v>5424</v>
      </c>
      <c r="AH83" s="101" t="s">
        <v>5425</v>
      </c>
      <c r="AI83" s="101" t="s">
        <v>5426</v>
      </c>
      <c r="AJ83" s="101" t="s">
        <v>5427</v>
      </c>
      <c r="AK83" s="101" t="s">
        <v>5428</v>
      </c>
      <c r="AL83" s="101" t="s">
        <v>5429</v>
      </c>
      <c r="AM83" s="101" t="s">
        <v>5430</v>
      </c>
      <c r="AN83" s="101" t="s">
        <v>5431</v>
      </c>
      <c r="AO83" s="101" t="s">
        <v>5432</v>
      </c>
      <c r="AP83" s="101" t="s">
        <v>5433</v>
      </c>
      <c r="AQ83" s="101" t="s">
        <v>5434</v>
      </c>
      <c r="AR83" s="101" t="s">
        <v>5435</v>
      </c>
      <c r="AS83" s="101" t="s">
        <v>5436</v>
      </c>
      <c r="AT83" s="101" t="s">
        <v>5437</v>
      </c>
      <c r="AU83" s="101" t="s">
        <v>5438</v>
      </c>
      <c r="AV83" s="102" t="s">
        <v>5439</v>
      </c>
      <c r="AW83" s="100" t="s">
        <v>5440</v>
      </c>
      <c r="AX83" s="101" t="s">
        <v>5441</v>
      </c>
      <c r="AY83" s="101" t="s">
        <v>5442</v>
      </c>
      <c r="AZ83" s="101" t="s">
        <v>5443</v>
      </c>
      <c r="BA83" s="101" t="s">
        <v>5444</v>
      </c>
      <c r="BB83" s="101" t="s">
        <v>5445</v>
      </c>
      <c r="BC83" s="101" t="s">
        <v>5446</v>
      </c>
      <c r="BD83" s="101" t="s">
        <v>5447</v>
      </c>
      <c r="BE83" s="101" t="s">
        <v>5448</v>
      </c>
      <c r="BF83" s="101" t="s">
        <v>5449</v>
      </c>
      <c r="BG83" s="101" t="s">
        <v>5450</v>
      </c>
      <c r="BH83" s="101" t="s">
        <v>5451</v>
      </c>
      <c r="BI83" s="101" t="s">
        <v>5452</v>
      </c>
      <c r="BJ83" s="101" t="s">
        <v>5453</v>
      </c>
      <c r="BK83" s="101" t="s">
        <v>5454</v>
      </c>
      <c r="BL83" s="102" t="s">
        <v>5455</v>
      </c>
      <c r="BM83" s="100" t="s">
        <v>5440</v>
      </c>
      <c r="BN83" s="101" t="s">
        <v>5441</v>
      </c>
      <c r="BO83" s="101" t="s">
        <v>5456</v>
      </c>
      <c r="BP83" s="101" t="s">
        <v>5457</v>
      </c>
      <c r="BQ83" s="101" t="s">
        <v>5458</v>
      </c>
      <c r="BR83" s="101" t="s">
        <v>5459</v>
      </c>
      <c r="BS83" s="101" t="s">
        <v>5460</v>
      </c>
      <c r="BT83" s="101" t="s">
        <v>5447</v>
      </c>
      <c r="BU83" s="101" t="s">
        <v>5448</v>
      </c>
      <c r="BV83" s="101" t="s">
        <v>5461</v>
      </c>
      <c r="BW83" s="101" t="s">
        <v>5462</v>
      </c>
      <c r="BX83" s="101" t="s">
        <v>5463</v>
      </c>
      <c r="BY83" s="101" t="s">
        <v>5452</v>
      </c>
      <c r="BZ83" s="101" t="s">
        <v>5453</v>
      </c>
      <c r="CA83" s="101" t="s">
        <v>5454</v>
      </c>
      <c r="CB83" s="102" t="s">
        <v>5455</v>
      </c>
      <c r="CC83" s="100" t="s">
        <v>4842</v>
      </c>
      <c r="CD83" s="101" t="s">
        <v>4843</v>
      </c>
      <c r="CE83" s="101" t="s">
        <v>4844</v>
      </c>
      <c r="CF83" s="101" t="s">
        <v>4845</v>
      </c>
      <c r="CG83" s="101" t="s">
        <v>4846</v>
      </c>
      <c r="CH83" s="101" t="s">
        <v>4847</v>
      </c>
      <c r="CI83" s="101" t="s">
        <v>4848</v>
      </c>
      <c r="CJ83" s="101" t="s">
        <v>4849</v>
      </c>
      <c r="CK83" s="101" t="s">
        <v>4850</v>
      </c>
      <c r="CL83" s="101" t="s">
        <v>4851</v>
      </c>
      <c r="CM83" s="101" t="s">
        <v>4852</v>
      </c>
      <c r="CN83" s="101" t="s">
        <v>4853</v>
      </c>
      <c r="CO83" s="101" t="s">
        <v>4854</v>
      </c>
      <c r="CP83" s="101" t="s">
        <v>4855</v>
      </c>
      <c r="CQ83" s="101" t="s">
        <v>4856</v>
      </c>
      <c r="CR83" s="102" t="s">
        <v>4857</v>
      </c>
    </row>
    <row r="84">
      <c r="A84" s="103"/>
      <c r="B84" s="103"/>
      <c r="C84" s="103"/>
      <c r="D84" s="103"/>
      <c r="E84" s="103"/>
      <c r="F84" s="103"/>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0" t="s">
        <v>5464</v>
      </c>
      <c r="AH84" s="101" t="s">
        <v>5465</v>
      </c>
      <c r="AI84" s="101" t="s">
        <v>5466</v>
      </c>
      <c r="AJ84" s="101" t="s">
        <v>5467</v>
      </c>
      <c r="AK84" s="101" t="s">
        <v>5468</v>
      </c>
      <c r="AL84" s="101" t="s">
        <v>5469</v>
      </c>
      <c r="AM84" s="101" t="s">
        <v>5470</v>
      </c>
      <c r="AN84" s="101" t="s">
        <v>5471</v>
      </c>
      <c r="AO84" s="101" t="s">
        <v>5472</v>
      </c>
      <c r="AP84" s="101" t="s">
        <v>5473</v>
      </c>
      <c r="AQ84" s="101" t="s">
        <v>5474</v>
      </c>
      <c r="AR84" s="101" t="s">
        <v>5475</v>
      </c>
      <c r="AS84" s="101" t="s">
        <v>5476</v>
      </c>
      <c r="AT84" s="101" t="s">
        <v>5477</v>
      </c>
      <c r="AU84" s="101" t="s">
        <v>5478</v>
      </c>
      <c r="AV84" s="102" t="s">
        <v>5479</v>
      </c>
      <c r="AW84" s="100" t="s">
        <v>5480</v>
      </c>
      <c r="AX84" s="101" t="s">
        <v>5481</v>
      </c>
      <c r="AY84" s="101" t="s">
        <v>5482</v>
      </c>
      <c r="AZ84" s="101" t="s">
        <v>5483</v>
      </c>
      <c r="BA84" s="101" t="s">
        <v>5484</v>
      </c>
      <c r="BB84" s="101" t="s">
        <v>5485</v>
      </c>
      <c r="BC84" s="101" t="s">
        <v>5486</v>
      </c>
      <c r="BD84" s="101" t="s">
        <v>5487</v>
      </c>
      <c r="BE84" s="101" t="s">
        <v>5488</v>
      </c>
      <c r="BF84" s="101" t="s">
        <v>5489</v>
      </c>
      <c r="BG84" s="101" t="s">
        <v>5490</v>
      </c>
      <c r="BH84" s="101" t="s">
        <v>5491</v>
      </c>
      <c r="BI84" s="101" t="s">
        <v>5492</v>
      </c>
      <c r="BJ84" s="101" t="s">
        <v>5493</v>
      </c>
      <c r="BK84" s="101" t="s">
        <v>5494</v>
      </c>
      <c r="BL84" s="102" t="s">
        <v>5495</v>
      </c>
      <c r="BM84" s="100" t="s">
        <v>5480</v>
      </c>
      <c r="BN84" s="101" t="s">
        <v>5496</v>
      </c>
      <c r="BO84" s="101" t="s">
        <v>5497</v>
      </c>
      <c r="BP84" s="101" t="s">
        <v>5498</v>
      </c>
      <c r="BQ84" s="101" t="s">
        <v>5484</v>
      </c>
      <c r="BR84" s="101" t="s">
        <v>5499</v>
      </c>
      <c r="BS84" s="101" t="s">
        <v>5486</v>
      </c>
      <c r="BT84" s="101" t="s">
        <v>5487</v>
      </c>
      <c r="BU84" s="101" t="s">
        <v>5488</v>
      </c>
      <c r="BV84" s="101" t="s">
        <v>5489</v>
      </c>
      <c r="BW84" s="101" t="s">
        <v>5490</v>
      </c>
      <c r="BX84" s="101" t="s">
        <v>5491</v>
      </c>
      <c r="BY84" s="101" t="s">
        <v>5492</v>
      </c>
      <c r="BZ84" s="101" t="s">
        <v>5493</v>
      </c>
      <c r="CA84" s="101" t="s">
        <v>5494</v>
      </c>
      <c r="CB84" s="102" t="s">
        <v>5495</v>
      </c>
      <c r="CC84" s="100" t="s">
        <v>4879</v>
      </c>
      <c r="CD84" s="101" t="s">
        <v>4880</v>
      </c>
      <c r="CE84" s="101" t="s">
        <v>4881</v>
      </c>
      <c r="CF84" s="101" t="s">
        <v>4882</v>
      </c>
      <c r="CG84" s="101" t="s">
        <v>4883</v>
      </c>
      <c r="CH84" s="101" t="s">
        <v>4884</v>
      </c>
      <c r="CI84" s="101" t="s">
        <v>4885</v>
      </c>
      <c r="CJ84" s="101" t="s">
        <v>4886</v>
      </c>
      <c r="CK84" s="101" t="s">
        <v>4887</v>
      </c>
      <c r="CL84" s="101" t="s">
        <v>4888</v>
      </c>
      <c r="CM84" s="101" t="s">
        <v>4889</v>
      </c>
      <c r="CN84" s="101" t="s">
        <v>4890</v>
      </c>
      <c r="CO84" s="101" t="s">
        <v>4891</v>
      </c>
      <c r="CP84" s="101" t="s">
        <v>4892</v>
      </c>
      <c r="CQ84" s="101" t="s">
        <v>4893</v>
      </c>
      <c r="CR84" s="107"/>
    </row>
    <row r="85">
      <c r="A85" s="103"/>
      <c r="B85" s="103"/>
      <c r="C85" s="103"/>
      <c r="D85" s="103"/>
      <c r="E85" s="103"/>
      <c r="F85" s="103"/>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0" t="s">
        <v>5500</v>
      </c>
      <c r="AH85" s="101" t="s">
        <v>5501</v>
      </c>
      <c r="AI85" s="101" t="s">
        <v>5502</v>
      </c>
      <c r="AJ85" s="101" t="s">
        <v>5503</v>
      </c>
      <c r="AK85" s="101" t="s">
        <v>5504</v>
      </c>
      <c r="AL85" s="101" t="s">
        <v>5505</v>
      </c>
      <c r="AM85" s="101" t="s">
        <v>5506</v>
      </c>
      <c r="AN85" s="101" t="s">
        <v>5507</v>
      </c>
      <c r="AO85" s="101" t="s">
        <v>5508</v>
      </c>
      <c r="AP85" s="101" t="s">
        <v>5509</v>
      </c>
      <c r="AQ85" s="101" t="s">
        <v>5510</v>
      </c>
      <c r="AR85" s="101" t="s">
        <v>5511</v>
      </c>
      <c r="AS85" s="101" t="s">
        <v>5512</v>
      </c>
      <c r="AT85" s="101" t="s">
        <v>5513</v>
      </c>
      <c r="AU85" s="101" t="s">
        <v>5514</v>
      </c>
      <c r="AV85" s="102" t="s">
        <v>5515</v>
      </c>
      <c r="AW85" s="100" t="s">
        <v>5516</v>
      </c>
      <c r="AX85" s="101" t="s">
        <v>5517</v>
      </c>
      <c r="AY85" s="101" t="s">
        <v>5518</v>
      </c>
      <c r="AZ85" s="101" t="s">
        <v>5519</v>
      </c>
      <c r="BA85" s="101" t="s">
        <v>5520</v>
      </c>
      <c r="BB85" s="101" t="s">
        <v>5521</v>
      </c>
      <c r="BC85" s="101" t="s">
        <v>5522</v>
      </c>
      <c r="BD85" s="101" t="s">
        <v>5523</v>
      </c>
      <c r="BE85" s="101" t="s">
        <v>5524</v>
      </c>
      <c r="BF85" s="101" t="s">
        <v>5525</v>
      </c>
      <c r="BG85" s="101" t="s">
        <v>5526</v>
      </c>
      <c r="BH85" s="101" t="s">
        <v>5527</v>
      </c>
      <c r="BI85" s="101" t="s">
        <v>5528</v>
      </c>
      <c r="BJ85" s="101" t="s">
        <v>5529</v>
      </c>
      <c r="BK85" s="101" t="s">
        <v>5530</v>
      </c>
      <c r="BL85" s="102" t="s">
        <v>5531</v>
      </c>
      <c r="BM85" s="100" t="s">
        <v>5532</v>
      </c>
      <c r="BN85" s="101" t="s">
        <v>5517</v>
      </c>
      <c r="BO85" s="101" t="s">
        <v>5518</v>
      </c>
      <c r="BP85" s="101" t="s">
        <v>5533</v>
      </c>
      <c r="BQ85" s="101" t="s">
        <v>5534</v>
      </c>
      <c r="BR85" s="101" t="s">
        <v>5535</v>
      </c>
      <c r="BS85" s="101" t="s">
        <v>5522</v>
      </c>
      <c r="BT85" s="101" t="s">
        <v>5523</v>
      </c>
      <c r="BU85" s="101" t="s">
        <v>5536</v>
      </c>
      <c r="BV85" s="101" t="s">
        <v>5537</v>
      </c>
      <c r="BW85" s="101" t="s">
        <v>5526</v>
      </c>
      <c r="BX85" s="101" t="s">
        <v>5527</v>
      </c>
      <c r="BY85" s="101" t="s">
        <v>5528</v>
      </c>
      <c r="BZ85" s="101" t="s">
        <v>5529</v>
      </c>
      <c r="CA85" s="101" t="s">
        <v>5530</v>
      </c>
      <c r="CB85" s="102" t="s">
        <v>5538</v>
      </c>
      <c r="CC85" s="105"/>
      <c r="CD85" s="101" t="s">
        <v>4920</v>
      </c>
      <c r="CE85" s="101" t="s">
        <v>4921</v>
      </c>
      <c r="CF85" s="101" t="s">
        <v>4922</v>
      </c>
      <c r="CG85" s="101" t="s">
        <v>4923</v>
      </c>
      <c r="CH85" s="101" t="s">
        <v>4924</v>
      </c>
      <c r="CI85" s="101" t="s">
        <v>4925</v>
      </c>
      <c r="CJ85" s="101" t="s">
        <v>4926</v>
      </c>
      <c r="CK85" s="101" t="s">
        <v>4927</v>
      </c>
      <c r="CL85" s="101" t="s">
        <v>4928</v>
      </c>
      <c r="CM85" s="101" t="s">
        <v>4929</v>
      </c>
      <c r="CN85" s="101" t="s">
        <v>4930</v>
      </c>
      <c r="CO85" s="101" t="s">
        <v>4931</v>
      </c>
      <c r="CP85" s="101" t="s">
        <v>4932</v>
      </c>
      <c r="CQ85" s="101" t="s">
        <v>4933</v>
      </c>
      <c r="CR85" s="102" t="s">
        <v>4934</v>
      </c>
    </row>
    <row r="86">
      <c r="A86" s="103"/>
      <c r="B86" s="103"/>
      <c r="C86" s="103"/>
      <c r="D86" s="103"/>
      <c r="E86" s="103"/>
      <c r="F86" s="103"/>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0" t="s">
        <v>5539</v>
      </c>
      <c r="AH86" s="101" t="s">
        <v>5540</v>
      </c>
      <c r="AI86" s="101" t="s">
        <v>5541</v>
      </c>
      <c r="AJ86" s="101" t="s">
        <v>5542</v>
      </c>
      <c r="AK86" s="101" t="s">
        <v>5543</v>
      </c>
      <c r="AL86" s="101" t="s">
        <v>5544</v>
      </c>
      <c r="AM86" s="101" t="s">
        <v>5545</v>
      </c>
      <c r="AN86" s="101" t="s">
        <v>5546</v>
      </c>
      <c r="AO86" s="101" t="s">
        <v>5547</v>
      </c>
      <c r="AP86" s="101" t="s">
        <v>5548</v>
      </c>
      <c r="AQ86" s="101" t="s">
        <v>5549</v>
      </c>
      <c r="AR86" s="101" t="s">
        <v>5550</v>
      </c>
      <c r="AS86" s="101" t="s">
        <v>5551</v>
      </c>
      <c r="AT86" s="101" t="s">
        <v>5552</v>
      </c>
      <c r="AU86" s="101" t="s">
        <v>5553</v>
      </c>
      <c r="AV86" s="102" t="s">
        <v>5554</v>
      </c>
      <c r="AW86" s="100" t="s">
        <v>5555</v>
      </c>
      <c r="AX86" s="101" t="s">
        <v>5556</v>
      </c>
      <c r="AY86" s="101" t="s">
        <v>5557</v>
      </c>
      <c r="AZ86" s="101" t="s">
        <v>5558</v>
      </c>
      <c r="BA86" s="101" t="s">
        <v>5559</v>
      </c>
      <c r="BB86" s="101" t="s">
        <v>5560</v>
      </c>
      <c r="BC86" s="101" t="s">
        <v>5561</v>
      </c>
      <c r="BD86" s="101" t="s">
        <v>5562</v>
      </c>
      <c r="BE86" s="101" t="s">
        <v>5563</v>
      </c>
      <c r="BF86" s="101" t="s">
        <v>5564</v>
      </c>
      <c r="BG86" s="101" t="s">
        <v>5565</v>
      </c>
      <c r="BH86" s="101" t="s">
        <v>5566</v>
      </c>
      <c r="BI86" s="101" t="s">
        <v>5567</v>
      </c>
      <c r="BJ86" s="101" t="s">
        <v>5568</v>
      </c>
      <c r="BK86" s="101" t="s">
        <v>5569</v>
      </c>
      <c r="BL86" s="102" t="s">
        <v>5570</v>
      </c>
      <c r="BM86" s="100" t="s">
        <v>5555</v>
      </c>
      <c r="BN86" s="101" t="s">
        <v>5571</v>
      </c>
      <c r="BO86" s="101" t="s">
        <v>5557</v>
      </c>
      <c r="BP86" s="101" t="s">
        <v>5572</v>
      </c>
      <c r="BQ86" s="101" t="s">
        <v>5573</v>
      </c>
      <c r="BR86" s="101" t="s">
        <v>5574</v>
      </c>
      <c r="BS86" s="101" t="s">
        <v>5575</v>
      </c>
      <c r="BT86" s="101" t="s">
        <v>5576</v>
      </c>
      <c r="BU86" s="101" t="s">
        <v>5563</v>
      </c>
      <c r="BV86" s="101" t="s">
        <v>5577</v>
      </c>
      <c r="BW86" s="101" t="s">
        <v>5578</v>
      </c>
      <c r="BX86" s="101" t="s">
        <v>5566</v>
      </c>
      <c r="BY86" s="101" t="s">
        <v>5579</v>
      </c>
      <c r="BZ86" s="101" t="s">
        <v>5580</v>
      </c>
      <c r="CA86" s="101" t="s">
        <v>5581</v>
      </c>
      <c r="CB86" s="102" t="s">
        <v>5570</v>
      </c>
      <c r="CC86" s="100" t="s">
        <v>4958</v>
      </c>
      <c r="CD86" s="101" t="s">
        <v>4959</v>
      </c>
      <c r="CE86" s="101" t="s">
        <v>4960</v>
      </c>
      <c r="CF86" s="101" t="s">
        <v>4961</v>
      </c>
      <c r="CG86" s="101" t="s">
        <v>4962</v>
      </c>
      <c r="CH86" s="101" t="s">
        <v>4963</v>
      </c>
      <c r="CI86" s="101" t="s">
        <v>4964</v>
      </c>
      <c r="CJ86" s="101" t="s">
        <v>4965</v>
      </c>
      <c r="CK86" s="101" t="s">
        <v>4966</v>
      </c>
      <c r="CL86" s="101" t="s">
        <v>4967</v>
      </c>
      <c r="CM86" s="101" t="s">
        <v>4968</v>
      </c>
      <c r="CN86" s="101" t="s">
        <v>4969</v>
      </c>
      <c r="CO86" s="101" t="s">
        <v>4970</v>
      </c>
      <c r="CP86" s="101" t="s">
        <v>4971</v>
      </c>
      <c r="CQ86" s="101" t="s">
        <v>4972</v>
      </c>
      <c r="CR86" s="102" t="s">
        <v>4973</v>
      </c>
    </row>
    <row r="87">
      <c r="A87" s="103"/>
      <c r="B87" s="103"/>
      <c r="C87" s="103"/>
      <c r="D87" s="103"/>
      <c r="E87" s="103"/>
      <c r="F87" s="103"/>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5"/>
      <c r="AH87" s="106"/>
      <c r="AI87" s="106"/>
      <c r="AJ87" s="106"/>
      <c r="AK87" s="106"/>
      <c r="AL87" s="106"/>
      <c r="AM87" s="106"/>
      <c r="AN87" s="106"/>
      <c r="AO87" s="106"/>
      <c r="AP87" s="106"/>
      <c r="AQ87" s="106"/>
      <c r="AR87" s="106"/>
      <c r="AS87" s="106"/>
      <c r="AT87" s="106"/>
      <c r="AU87" s="106"/>
      <c r="AV87" s="107"/>
      <c r="AW87" s="100" t="s">
        <v>5582</v>
      </c>
      <c r="AX87" s="101" t="s">
        <v>5583</v>
      </c>
      <c r="AY87" s="101" t="s">
        <v>5584</v>
      </c>
      <c r="AZ87" s="101" t="s">
        <v>5585</v>
      </c>
      <c r="BA87" s="101" t="s">
        <v>5586</v>
      </c>
      <c r="BB87" s="101" t="s">
        <v>5587</v>
      </c>
      <c r="BC87" s="101" t="s">
        <v>5588</v>
      </c>
      <c r="BD87" s="101" t="s">
        <v>5589</v>
      </c>
      <c r="BE87" s="101" t="s">
        <v>5590</v>
      </c>
      <c r="BF87" s="101" t="s">
        <v>5591</v>
      </c>
      <c r="BG87" s="101" t="s">
        <v>5592</v>
      </c>
      <c r="BH87" s="101" t="s">
        <v>5593</v>
      </c>
      <c r="BI87" s="101" t="s">
        <v>5594</v>
      </c>
      <c r="BJ87" s="101" t="s">
        <v>5595</v>
      </c>
      <c r="BK87" s="101" t="s">
        <v>5596</v>
      </c>
      <c r="BL87" s="102" t="s">
        <v>5597</v>
      </c>
      <c r="BM87" s="100" t="s">
        <v>5598</v>
      </c>
      <c r="BN87" s="101" t="s">
        <v>5583</v>
      </c>
      <c r="BO87" s="101" t="s">
        <v>5599</v>
      </c>
      <c r="BP87" s="101" t="s">
        <v>5600</v>
      </c>
      <c r="BQ87" s="101" t="s">
        <v>5586</v>
      </c>
      <c r="BR87" s="101" t="s">
        <v>5601</v>
      </c>
      <c r="BS87" s="101" t="s">
        <v>5602</v>
      </c>
      <c r="BT87" s="101" t="s">
        <v>5589</v>
      </c>
      <c r="BU87" s="101" t="s">
        <v>5603</v>
      </c>
      <c r="BV87" s="101" t="s">
        <v>5591</v>
      </c>
      <c r="BW87" s="101" t="s">
        <v>5592</v>
      </c>
      <c r="BX87" s="101" t="s">
        <v>5593</v>
      </c>
      <c r="BY87" s="101" t="s">
        <v>5604</v>
      </c>
      <c r="BZ87" s="101" t="s">
        <v>5605</v>
      </c>
      <c r="CA87" s="101" t="s">
        <v>5596</v>
      </c>
      <c r="CB87" s="102" t="s">
        <v>5606</v>
      </c>
      <c r="CC87" s="100" t="s">
        <v>5024</v>
      </c>
      <c r="CD87" s="101" t="s">
        <v>5025</v>
      </c>
      <c r="CE87" s="101" t="s">
        <v>5026</v>
      </c>
      <c r="CF87" s="101" t="s">
        <v>5027</v>
      </c>
      <c r="CG87" s="101" t="s">
        <v>5028</v>
      </c>
      <c r="CH87" s="101" t="s">
        <v>5029</v>
      </c>
      <c r="CI87" s="101" t="s">
        <v>5030</v>
      </c>
      <c r="CJ87" s="101" t="s">
        <v>5031</v>
      </c>
      <c r="CK87" s="101" t="s">
        <v>5032</v>
      </c>
      <c r="CL87" s="101" t="s">
        <v>5033</v>
      </c>
      <c r="CM87" s="101" t="s">
        <v>5034</v>
      </c>
      <c r="CN87" s="101" t="s">
        <v>5035</v>
      </c>
      <c r="CO87" s="101" t="s">
        <v>5036</v>
      </c>
      <c r="CP87" s="101" t="s">
        <v>5037</v>
      </c>
      <c r="CQ87" s="101" t="s">
        <v>5038</v>
      </c>
      <c r="CR87" s="102" t="s">
        <v>5039</v>
      </c>
    </row>
    <row r="88">
      <c r="A88" s="103"/>
      <c r="B88" s="103"/>
      <c r="C88" s="103"/>
      <c r="D88" s="103"/>
      <c r="E88" s="103"/>
      <c r="F88" s="103"/>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0" t="s">
        <v>5607</v>
      </c>
      <c r="AH88" s="101" t="s">
        <v>5608</v>
      </c>
      <c r="AI88" s="101" t="s">
        <v>5609</v>
      </c>
      <c r="AJ88" s="101" t="s">
        <v>5610</v>
      </c>
      <c r="AK88" s="101" t="s">
        <v>5611</v>
      </c>
      <c r="AL88" s="101" t="s">
        <v>5612</v>
      </c>
      <c r="AM88" s="101" t="s">
        <v>5613</v>
      </c>
      <c r="AN88" s="101" t="s">
        <v>5614</v>
      </c>
      <c r="AO88" s="101" t="s">
        <v>5615</v>
      </c>
      <c r="AP88" s="101" t="s">
        <v>5616</v>
      </c>
      <c r="AQ88" s="101" t="s">
        <v>5617</v>
      </c>
      <c r="AR88" s="101" t="s">
        <v>5618</v>
      </c>
      <c r="AS88" s="101" t="s">
        <v>5619</v>
      </c>
      <c r="AT88" s="101" t="s">
        <v>5620</v>
      </c>
      <c r="AU88" s="101" t="s">
        <v>5621</v>
      </c>
      <c r="AV88" s="107"/>
      <c r="AW88" s="100" t="s">
        <v>5622</v>
      </c>
      <c r="AX88" s="101" t="s">
        <v>5623</v>
      </c>
      <c r="AY88" s="101" t="s">
        <v>5624</v>
      </c>
      <c r="AZ88" s="101" t="s">
        <v>5625</v>
      </c>
      <c r="BA88" s="101" t="s">
        <v>5626</v>
      </c>
      <c r="BB88" s="101" t="s">
        <v>5627</v>
      </c>
      <c r="BC88" s="101" t="s">
        <v>5628</v>
      </c>
      <c r="BD88" s="101" t="s">
        <v>5629</v>
      </c>
      <c r="BE88" s="101" t="s">
        <v>5630</v>
      </c>
      <c r="BF88" s="101" t="s">
        <v>5631</v>
      </c>
      <c r="BG88" s="101" t="s">
        <v>5632</v>
      </c>
      <c r="BH88" s="101" t="s">
        <v>5633</v>
      </c>
      <c r="BI88" s="101" t="s">
        <v>5634</v>
      </c>
      <c r="BJ88" s="101" t="s">
        <v>5635</v>
      </c>
      <c r="BK88" s="101" t="s">
        <v>5636</v>
      </c>
      <c r="BL88" s="102" t="s">
        <v>5637</v>
      </c>
      <c r="BM88" s="100" t="s">
        <v>5638</v>
      </c>
      <c r="BN88" s="101" t="s">
        <v>5639</v>
      </c>
      <c r="BO88" s="101" t="s">
        <v>5640</v>
      </c>
      <c r="BP88" s="101" t="s">
        <v>5625</v>
      </c>
      <c r="BQ88" s="101" t="s">
        <v>5641</v>
      </c>
      <c r="BR88" s="101" t="s">
        <v>5642</v>
      </c>
      <c r="BS88" s="101" t="s">
        <v>5643</v>
      </c>
      <c r="BT88" s="101" t="s">
        <v>5644</v>
      </c>
      <c r="BU88" s="101" t="s">
        <v>5630</v>
      </c>
      <c r="BV88" s="101" t="s">
        <v>5645</v>
      </c>
      <c r="BW88" s="101" t="s">
        <v>5632</v>
      </c>
      <c r="BX88" s="101" t="s">
        <v>5633</v>
      </c>
      <c r="BY88" s="101" t="s">
        <v>5634</v>
      </c>
      <c r="BZ88" s="101" t="s">
        <v>5646</v>
      </c>
      <c r="CA88" s="101" t="s">
        <v>5636</v>
      </c>
      <c r="CB88" s="102" t="s">
        <v>5647</v>
      </c>
      <c r="CC88" s="100" t="s">
        <v>5067</v>
      </c>
      <c r="CD88" s="101" t="s">
        <v>5068</v>
      </c>
      <c r="CE88" s="101" t="s">
        <v>5069</v>
      </c>
      <c r="CF88" s="101" t="s">
        <v>5070</v>
      </c>
      <c r="CG88" s="101" t="s">
        <v>5071</v>
      </c>
      <c r="CH88" s="101" t="s">
        <v>5072</v>
      </c>
      <c r="CI88" s="101" t="s">
        <v>5073</v>
      </c>
      <c r="CJ88" s="101" t="s">
        <v>5074</v>
      </c>
      <c r="CK88" s="101" t="s">
        <v>5075</v>
      </c>
      <c r="CL88" s="101" t="s">
        <v>5076</v>
      </c>
      <c r="CM88" s="101" t="s">
        <v>5077</v>
      </c>
      <c r="CN88" s="101" t="s">
        <v>5078</v>
      </c>
      <c r="CO88" s="101" t="s">
        <v>5079</v>
      </c>
      <c r="CP88" s="101" t="s">
        <v>5080</v>
      </c>
      <c r="CQ88" s="101" t="s">
        <v>5081</v>
      </c>
      <c r="CR88" s="102" t="s">
        <v>5082</v>
      </c>
    </row>
    <row r="89">
      <c r="A89" s="103"/>
      <c r="B89" s="103"/>
      <c r="C89" s="103"/>
      <c r="D89" s="103"/>
      <c r="E89" s="103"/>
      <c r="F89" s="103"/>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5"/>
      <c r="AH89" s="101" t="s">
        <v>5648</v>
      </c>
      <c r="AI89" s="101" t="s">
        <v>5649</v>
      </c>
      <c r="AJ89" s="101" t="s">
        <v>5650</v>
      </c>
      <c r="AK89" s="101" t="s">
        <v>5651</v>
      </c>
      <c r="AL89" s="101" t="s">
        <v>5652</v>
      </c>
      <c r="AM89" s="101" t="s">
        <v>5653</v>
      </c>
      <c r="AN89" s="101" t="s">
        <v>5654</v>
      </c>
      <c r="AO89" s="101" t="s">
        <v>5655</v>
      </c>
      <c r="AP89" s="101" t="s">
        <v>5656</v>
      </c>
      <c r="AQ89" s="101" t="s">
        <v>5657</v>
      </c>
      <c r="AR89" s="101" t="s">
        <v>5658</v>
      </c>
      <c r="AS89" s="101" t="s">
        <v>5659</v>
      </c>
      <c r="AT89" s="101" t="s">
        <v>5660</v>
      </c>
      <c r="AU89" s="101" t="s">
        <v>5661</v>
      </c>
      <c r="AV89" s="102" t="s">
        <v>5662</v>
      </c>
      <c r="AW89" s="100" t="s">
        <v>5663</v>
      </c>
      <c r="AX89" s="101" t="s">
        <v>5664</v>
      </c>
      <c r="AY89" s="101" t="s">
        <v>5665</v>
      </c>
      <c r="AZ89" s="101" t="s">
        <v>5666</v>
      </c>
      <c r="BA89" s="101" t="s">
        <v>5667</v>
      </c>
      <c r="BB89" s="101" t="s">
        <v>5668</v>
      </c>
      <c r="BC89" s="101" t="s">
        <v>5669</v>
      </c>
      <c r="BD89" s="101" t="s">
        <v>5670</v>
      </c>
      <c r="BE89" s="101" t="s">
        <v>5671</v>
      </c>
      <c r="BF89" s="101" t="s">
        <v>5672</v>
      </c>
      <c r="BG89" s="101" t="s">
        <v>5673</v>
      </c>
      <c r="BH89" s="101" t="s">
        <v>5674</v>
      </c>
      <c r="BI89" s="101" t="s">
        <v>5675</v>
      </c>
      <c r="BJ89" s="101" t="s">
        <v>5676</v>
      </c>
      <c r="BK89" s="101" t="s">
        <v>5677</v>
      </c>
      <c r="BL89" s="102" t="s">
        <v>5678</v>
      </c>
      <c r="BM89" s="100" t="s">
        <v>5679</v>
      </c>
      <c r="BN89" s="101" t="s">
        <v>5680</v>
      </c>
      <c r="BO89" s="101" t="s">
        <v>5681</v>
      </c>
      <c r="BP89" s="101" t="s">
        <v>5666</v>
      </c>
      <c r="BQ89" s="101" t="s">
        <v>5667</v>
      </c>
      <c r="BR89" s="101" t="s">
        <v>5668</v>
      </c>
      <c r="BS89" s="101" t="s">
        <v>5669</v>
      </c>
      <c r="BT89" s="101" t="s">
        <v>5682</v>
      </c>
      <c r="BU89" s="101" t="s">
        <v>5683</v>
      </c>
      <c r="BV89" s="101" t="s">
        <v>5684</v>
      </c>
      <c r="BW89" s="101" t="s">
        <v>5673</v>
      </c>
      <c r="BX89" s="101" t="s">
        <v>5674</v>
      </c>
      <c r="BY89" s="101" t="s">
        <v>5675</v>
      </c>
      <c r="BZ89" s="101" t="s">
        <v>5685</v>
      </c>
      <c r="CA89" s="101" t="s">
        <v>5686</v>
      </c>
      <c r="CB89" s="102" t="s">
        <v>5687</v>
      </c>
      <c r="CC89" s="100" t="s">
        <v>5112</v>
      </c>
      <c r="CD89" s="101" t="s">
        <v>5113</v>
      </c>
      <c r="CE89" s="101" t="s">
        <v>5114</v>
      </c>
      <c r="CF89" s="101" t="s">
        <v>5115</v>
      </c>
      <c r="CG89" s="101" t="s">
        <v>5116</v>
      </c>
      <c r="CH89" s="101" t="s">
        <v>5117</v>
      </c>
      <c r="CI89" s="101" t="s">
        <v>5118</v>
      </c>
      <c r="CJ89" s="101" t="s">
        <v>5119</v>
      </c>
      <c r="CK89" s="101" t="s">
        <v>5120</v>
      </c>
      <c r="CL89" s="101" t="s">
        <v>5121</v>
      </c>
      <c r="CM89" s="101" t="s">
        <v>5122</v>
      </c>
      <c r="CN89" s="101" t="s">
        <v>5123</v>
      </c>
      <c r="CO89" s="101" t="s">
        <v>5124</v>
      </c>
      <c r="CP89" s="101" t="s">
        <v>5125</v>
      </c>
      <c r="CQ89" s="101" t="s">
        <v>5126</v>
      </c>
      <c r="CR89" s="102" t="s">
        <v>5127</v>
      </c>
    </row>
    <row r="90">
      <c r="A90" s="103"/>
      <c r="B90" s="103"/>
      <c r="C90" s="103"/>
      <c r="D90" s="103"/>
      <c r="E90" s="103"/>
      <c r="F90" s="103"/>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0" t="s">
        <v>5688</v>
      </c>
      <c r="AH90" s="101" t="s">
        <v>5689</v>
      </c>
      <c r="AI90" s="101" t="s">
        <v>5690</v>
      </c>
      <c r="AJ90" s="101" t="s">
        <v>5691</v>
      </c>
      <c r="AK90" s="101" t="s">
        <v>5692</v>
      </c>
      <c r="AL90" s="101" t="s">
        <v>5693</v>
      </c>
      <c r="AM90" s="101" t="s">
        <v>5694</v>
      </c>
      <c r="AN90" s="101" t="s">
        <v>5695</v>
      </c>
      <c r="AO90" s="101" t="s">
        <v>5696</v>
      </c>
      <c r="AP90" s="101" t="s">
        <v>5697</v>
      </c>
      <c r="AQ90" s="101" t="s">
        <v>5698</v>
      </c>
      <c r="AR90" s="101" t="s">
        <v>5699</v>
      </c>
      <c r="AS90" s="101" t="s">
        <v>5700</v>
      </c>
      <c r="AT90" s="101" t="s">
        <v>5701</v>
      </c>
      <c r="AU90" s="101" t="s">
        <v>5702</v>
      </c>
      <c r="AV90" s="102" t="s">
        <v>5703</v>
      </c>
      <c r="AW90" s="100" t="s">
        <v>5704</v>
      </c>
      <c r="AX90" s="101" t="s">
        <v>5705</v>
      </c>
      <c r="AY90" s="101" t="s">
        <v>5706</v>
      </c>
      <c r="AZ90" s="101" t="s">
        <v>5707</v>
      </c>
      <c r="BA90" s="101" t="s">
        <v>5708</v>
      </c>
      <c r="BB90" s="101" t="s">
        <v>5709</v>
      </c>
      <c r="BC90" s="101" t="s">
        <v>5710</v>
      </c>
      <c r="BD90" s="101" t="s">
        <v>5711</v>
      </c>
      <c r="BE90" s="101" t="s">
        <v>5712</v>
      </c>
      <c r="BF90" s="101" t="s">
        <v>5713</v>
      </c>
      <c r="BG90" s="101" t="s">
        <v>5714</v>
      </c>
      <c r="BH90" s="101" t="s">
        <v>5715</v>
      </c>
      <c r="BI90" s="101" t="s">
        <v>5716</v>
      </c>
      <c r="BJ90" s="101" t="s">
        <v>5717</v>
      </c>
      <c r="BK90" s="101" t="s">
        <v>5718</v>
      </c>
      <c r="BL90" s="102" t="s">
        <v>5719</v>
      </c>
      <c r="BM90" s="100" t="s">
        <v>5704</v>
      </c>
      <c r="BN90" s="101" t="s">
        <v>5705</v>
      </c>
      <c r="BO90" s="101" t="s">
        <v>5720</v>
      </c>
      <c r="BP90" s="101" t="s">
        <v>5721</v>
      </c>
      <c r="BQ90" s="101" t="s">
        <v>5708</v>
      </c>
      <c r="BR90" s="101" t="s">
        <v>5709</v>
      </c>
      <c r="BS90" s="101" t="s">
        <v>5722</v>
      </c>
      <c r="BT90" s="101" t="s">
        <v>5711</v>
      </c>
      <c r="BU90" s="101" t="s">
        <v>5712</v>
      </c>
      <c r="BV90" s="101" t="s">
        <v>5723</v>
      </c>
      <c r="BW90" s="101" t="s">
        <v>5714</v>
      </c>
      <c r="BX90" s="101" t="s">
        <v>5715</v>
      </c>
      <c r="BY90" s="101" t="s">
        <v>5724</v>
      </c>
      <c r="BZ90" s="101" t="s">
        <v>5725</v>
      </c>
      <c r="CA90" s="101" t="s">
        <v>5726</v>
      </c>
      <c r="CB90" s="102" t="s">
        <v>5727</v>
      </c>
      <c r="CC90" s="100" t="s">
        <v>5151</v>
      </c>
      <c r="CD90" s="101" t="s">
        <v>5152</v>
      </c>
      <c r="CE90" s="101" t="s">
        <v>5153</v>
      </c>
      <c r="CF90" s="101" t="s">
        <v>5154</v>
      </c>
      <c r="CG90" s="101" t="s">
        <v>5155</v>
      </c>
      <c r="CH90" s="101" t="s">
        <v>5156</v>
      </c>
      <c r="CI90" s="101" t="s">
        <v>5157</v>
      </c>
      <c r="CJ90" s="101" t="s">
        <v>5158</v>
      </c>
      <c r="CK90" s="101" t="s">
        <v>5159</v>
      </c>
      <c r="CL90" s="101" t="s">
        <v>5160</v>
      </c>
      <c r="CM90" s="101" t="s">
        <v>5161</v>
      </c>
      <c r="CN90" s="101" t="s">
        <v>5162</v>
      </c>
      <c r="CO90" s="101" t="s">
        <v>5163</v>
      </c>
      <c r="CP90" s="101" t="s">
        <v>5164</v>
      </c>
      <c r="CQ90" s="101" t="s">
        <v>5165</v>
      </c>
      <c r="CR90" s="107"/>
    </row>
    <row r="91">
      <c r="A91" s="103"/>
      <c r="B91" s="103"/>
      <c r="C91" s="103"/>
      <c r="D91" s="103"/>
      <c r="E91" s="103"/>
      <c r="F91" s="103"/>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0" t="s">
        <v>5728</v>
      </c>
      <c r="AH91" s="101" t="s">
        <v>5729</v>
      </c>
      <c r="AI91" s="101" t="s">
        <v>5730</v>
      </c>
      <c r="AJ91" s="101" t="s">
        <v>5731</v>
      </c>
      <c r="AK91" s="101" t="s">
        <v>5732</v>
      </c>
      <c r="AL91" s="101" t="s">
        <v>5733</v>
      </c>
      <c r="AM91" s="101" t="s">
        <v>5734</v>
      </c>
      <c r="AN91" s="101" t="s">
        <v>5735</v>
      </c>
      <c r="AO91" s="101" t="s">
        <v>5736</v>
      </c>
      <c r="AP91" s="101" t="s">
        <v>5737</v>
      </c>
      <c r="AQ91" s="101" t="s">
        <v>5738</v>
      </c>
      <c r="AR91" s="101" t="s">
        <v>5739</v>
      </c>
      <c r="AS91" s="101" t="s">
        <v>5740</v>
      </c>
      <c r="AT91" s="101" t="s">
        <v>5741</v>
      </c>
      <c r="AU91" s="101" t="s">
        <v>5742</v>
      </c>
      <c r="AV91" s="102" t="s">
        <v>5743</v>
      </c>
      <c r="AW91" s="100" t="s">
        <v>5744</v>
      </c>
      <c r="AX91" s="101" t="s">
        <v>5745</v>
      </c>
      <c r="AY91" s="101" t="s">
        <v>5746</v>
      </c>
      <c r="AZ91" s="101" t="s">
        <v>5747</v>
      </c>
      <c r="BA91" s="101" t="s">
        <v>5748</v>
      </c>
      <c r="BB91" s="101" t="s">
        <v>5749</v>
      </c>
      <c r="BC91" s="101" t="s">
        <v>5750</v>
      </c>
      <c r="BD91" s="101" t="s">
        <v>5751</v>
      </c>
      <c r="BE91" s="101" t="s">
        <v>5752</v>
      </c>
      <c r="BF91" s="101" t="s">
        <v>5753</v>
      </c>
      <c r="BG91" s="101" t="s">
        <v>5754</v>
      </c>
      <c r="BH91" s="101" t="s">
        <v>5755</v>
      </c>
      <c r="BI91" s="101" t="s">
        <v>5756</v>
      </c>
      <c r="BJ91" s="101" t="s">
        <v>5757</v>
      </c>
      <c r="BK91" s="101" t="s">
        <v>5758</v>
      </c>
      <c r="BL91" s="102" t="s">
        <v>5759</v>
      </c>
      <c r="BM91" s="100" t="s">
        <v>5744</v>
      </c>
      <c r="BN91" s="101" t="s">
        <v>5760</v>
      </c>
      <c r="BO91" s="101" t="s">
        <v>5761</v>
      </c>
      <c r="BP91" s="101" t="s">
        <v>5747</v>
      </c>
      <c r="BQ91" s="101" t="s">
        <v>5762</v>
      </c>
      <c r="BR91" s="101" t="s">
        <v>5763</v>
      </c>
      <c r="BS91" s="101" t="s">
        <v>5764</v>
      </c>
      <c r="BT91" s="101" t="s">
        <v>5765</v>
      </c>
      <c r="BU91" s="101" t="s">
        <v>5766</v>
      </c>
      <c r="BV91" s="101" t="s">
        <v>5767</v>
      </c>
      <c r="BW91" s="101" t="s">
        <v>5768</v>
      </c>
      <c r="BX91" s="101" t="s">
        <v>5769</v>
      </c>
      <c r="BY91" s="101" t="s">
        <v>5770</v>
      </c>
      <c r="BZ91" s="101" t="s">
        <v>5771</v>
      </c>
      <c r="CA91" s="101" t="s">
        <v>5772</v>
      </c>
      <c r="CB91" s="102" t="s">
        <v>5773</v>
      </c>
      <c r="CC91" s="105"/>
      <c r="CD91" s="101" t="s">
        <v>5184</v>
      </c>
      <c r="CE91" s="101" t="s">
        <v>5185</v>
      </c>
      <c r="CF91" s="101" t="s">
        <v>5186</v>
      </c>
      <c r="CG91" s="101" t="s">
        <v>5187</v>
      </c>
      <c r="CH91" s="101" t="s">
        <v>5188</v>
      </c>
      <c r="CI91" s="101" t="s">
        <v>5189</v>
      </c>
      <c r="CJ91" s="101" t="s">
        <v>5190</v>
      </c>
      <c r="CK91" s="101" t="s">
        <v>5191</v>
      </c>
      <c r="CL91" s="101" t="s">
        <v>5192</v>
      </c>
      <c r="CM91" s="101" t="s">
        <v>5193</v>
      </c>
      <c r="CN91" s="101" t="s">
        <v>5194</v>
      </c>
      <c r="CO91" s="101" t="s">
        <v>5195</v>
      </c>
      <c r="CP91" s="101" t="s">
        <v>5196</v>
      </c>
      <c r="CQ91" s="101" t="s">
        <v>5197</v>
      </c>
      <c r="CR91" s="102" t="s">
        <v>5198</v>
      </c>
    </row>
    <row r="92">
      <c r="A92" s="103"/>
      <c r="B92" s="103"/>
      <c r="C92" s="103"/>
      <c r="D92" s="103"/>
      <c r="E92" s="103"/>
      <c r="F92" s="103"/>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0" t="s">
        <v>5774</v>
      </c>
      <c r="AH92" s="101" t="s">
        <v>5775</v>
      </c>
      <c r="AI92" s="101" t="s">
        <v>5776</v>
      </c>
      <c r="AJ92" s="101" t="s">
        <v>5777</v>
      </c>
      <c r="AK92" s="101" t="s">
        <v>5778</v>
      </c>
      <c r="AL92" s="101" t="s">
        <v>5779</v>
      </c>
      <c r="AM92" s="101" t="s">
        <v>5780</v>
      </c>
      <c r="AN92" s="101" t="s">
        <v>5781</v>
      </c>
      <c r="AO92" s="101" t="s">
        <v>5782</v>
      </c>
      <c r="AP92" s="101" t="s">
        <v>5783</v>
      </c>
      <c r="AQ92" s="101" t="s">
        <v>5784</v>
      </c>
      <c r="AR92" s="101" t="s">
        <v>5785</v>
      </c>
      <c r="AS92" s="101" t="s">
        <v>5786</v>
      </c>
      <c r="AT92" s="101" t="s">
        <v>5787</v>
      </c>
      <c r="AU92" s="101" t="s">
        <v>5788</v>
      </c>
      <c r="AV92" s="102" t="s">
        <v>2142</v>
      </c>
      <c r="AW92" s="100" t="s">
        <v>5789</v>
      </c>
      <c r="AX92" s="101" t="s">
        <v>5790</v>
      </c>
      <c r="AY92" s="101" t="s">
        <v>5791</v>
      </c>
      <c r="AZ92" s="101" t="s">
        <v>5792</v>
      </c>
      <c r="BA92" s="101" t="s">
        <v>5793</v>
      </c>
      <c r="BB92" s="101" t="s">
        <v>5794</v>
      </c>
      <c r="BC92" s="101" t="s">
        <v>5795</v>
      </c>
      <c r="BD92" s="101" t="s">
        <v>5796</v>
      </c>
      <c r="BE92" s="101" t="s">
        <v>5797</v>
      </c>
      <c r="BF92" s="101" t="s">
        <v>5798</v>
      </c>
      <c r="BG92" s="101" t="s">
        <v>5799</v>
      </c>
      <c r="BH92" s="101" t="s">
        <v>5800</v>
      </c>
      <c r="BI92" s="101" t="s">
        <v>5801</v>
      </c>
      <c r="BJ92" s="101" t="s">
        <v>5802</v>
      </c>
      <c r="BK92" s="101" t="s">
        <v>5803</v>
      </c>
      <c r="BL92" s="102" t="s">
        <v>5804</v>
      </c>
      <c r="BM92" s="100" t="s">
        <v>5805</v>
      </c>
      <c r="BN92" s="101" t="s">
        <v>5806</v>
      </c>
      <c r="BO92" s="101" t="s">
        <v>5791</v>
      </c>
      <c r="BP92" s="101" t="s">
        <v>5807</v>
      </c>
      <c r="BQ92" s="101" t="s">
        <v>5808</v>
      </c>
      <c r="BR92" s="101" t="s">
        <v>5809</v>
      </c>
      <c r="BS92" s="101" t="s">
        <v>5810</v>
      </c>
      <c r="BT92" s="101" t="s">
        <v>5796</v>
      </c>
      <c r="BU92" s="101" t="s">
        <v>5811</v>
      </c>
      <c r="BV92" s="101" t="s">
        <v>5812</v>
      </c>
      <c r="BW92" s="101" t="s">
        <v>5813</v>
      </c>
      <c r="BX92" s="101" t="s">
        <v>5814</v>
      </c>
      <c r="BY92" s="101" t="s">
        <v>5815</v>
      </c>
      <c r="BZ92" s="101" t="s">
        <v>5802</v>
      </c>
      <c r="CA92" s="101" t="s">
        <v>5816</v>
      </c>
      <c r="CB92" s="102" t="s">
        <v>5804</v>
      </c>
      <c r="CC92" s="100" t="s">
        <v>5218</v>
      </c>
      <c r="CD92" s="101" t="s">
        <v>5219</v>
      </c>
      <c r="CE92" s="101" t="s">
        <v>5220</v>
      </c>
      <c r="CF92" s="101" t="s">
        <v>5221</v>
      </c>
      <c r="CG92" s="101" t="s">
        <v>5222</v>
      </c>
      <c r="CH92" s="101" t="s">
        <v>5223</v>
      </c>
      <c r="CI92" s="101" t="s">
        <v>5224</v>
      </c>
      <c r="CJ92" s="101" t="s">
        <v>5225</v>
      </c>
      <c r="CK92" s="101" t="s">
        <v>5226</v>
      </c>
      <c r="CL92" s="101" t="s">
        <v>5227</v>
      </c>
      <c r="CM92" s="101" t="s">
        <v>5228</v>
      </c>
      <c r="CN92" s="101" t="s">
        <v>5229</v>
      </c>
      <c r="CO92" s="101" t="s">
        <v>5230</v>
      </c>
      <c r="CP92" s="101" t="s">
        <v>5231</v>
      </c>
      <c r="CQ92" s="101" t="s">
        <v>5232</v>
      </c>
      <c r="CR92" s="102" t="s">
        <v>5233</v>
      </c>
    </row>
    <row r="93">
      <c r="A93" s="103"/>
      <c r="B93" s="103"/>
      <c r="C93" s="103"/>
      <c r="D93" s="103"/>
      <c r="E93" s="103"/>
      <c r="F93" s="103"/>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0" t="s">
        <v>5817</v>
      </c>
      <c r="AH93" s="101" t="s">
        <v>5818</v>
      </c>
      <c r="AI93" s="101" t="s">
        <v>5819</v>
      </c>
      <c r="AJ93" s="101" t="s">
        <v>5820</v>
      </c>
      <c r="AK93" s="101" t="s">
        <v>5821</v>
      </c>
      <c r="AL93" s="101" t="s">
        <v>5822</v>
      </c>
      <c r="AM93" s="101" t="s">
        <v>5823</v>
      </c>
      <c r="AN93" s="101" t="s">
        <v>5824</v>
      </c>
      <c r="AO93" s="101" t="s">
        <v>5825</v>
      </c>
      <c r="AP93" s="101" t="s">
        <v>5826</v>
      </c>
      <c r="AQ93" s="101" t="s">
        <v>5827</v>
      </c>
      <c r="AR93" s="101" t="s">
        <v>5828</v>
      </c>
      <c r="AS93" s="101" t="s">
        <v>5829</v>
      </c>
      <c r="AT93" s="101" t="s">
        <v>5830</v>
      </c>
      <c r="AU93" s="101" t="s">
        <v>5831</v>
      </c>
      <c r="AV93" s="102" t="s">
        <v>5832</v>
      </c>
      <c r="AW93" s="100" t="s">
        <v>5833</v>
      </c>
      <c r="AX93" s="101" t="s">
        <v>5834</v>
      </c>
      <c r="AY93" s="101" t="s">
        <v>5835</v>
      </c>
      <c r="AZ93" s="101" t="s">
        <v>5836</v>
      </c>
      <c r="BA93" s="101" t="s">
        <v>5837</v>
      </c>
      <c r="BB93" s="101" t="s">
        <v>5838</v>
      </c>
      <c r="BC93" s="101" t="s">
        <v>5839</v>
      </c>
      <c r="BD93" s="101" t="s">
        <v>5840</v>
      </c>
      <c r="BE93" s="101" t="s">
        <v>5841</v>
      </c>
      <c r="BF93" s="101" t="s">
        <v>5842</v>
      </c>
      <c r="BG93" s="101" t="s">
        <v>5843</v>
      </c>
      <c r="BH93" s="101" t="s">
        <v>5844</v>
      </c>
      <c r="BI93" s="101" t="s">
        <v>5845</v>
      </c>
      <c r="BJ93" s="101" t="s">
        <v>5846</v>
      </c>
      <c r="BK93" s="101" t="s">
        <v>5847</v>
      </c>
      <c r="BL93" s="102" t="s">
        <v>5848</v>
      </c>
      <c r="BM93" s="100" t="s">
        <v>5833</v>
      </c>
      <c r="BN93" s="101" t="s">
        <v>5834</v>
      </c>
      <c r="BO93" s="101" t="s">
        <v>5849</v>
      </c>
      <c r="BP93" s="101" t="s">
        <v>5836</v>
      </c>
      <c r="BQ93" s="101" t="s">
        <v>5837</v>
      </c>
      <c r="BR93" s="101" t="s">
        <v>5838</v>
      </c>
      <c r="BS93" s="101" t="s">
        <v>5839</v>
      </c>
      <c r="BT93" s="101" t="s">
        <v>5840</v>
      </c>
      <c r="BU93" s="101" t="s">
        <v>5850</v>
      </c>
      <c r="BV93" s="101" t="s">
        <v>5842</v>
      </c>
      <c r="BW93" s="101" t="s">
        <v>5843</v>
      </c>
      <c r="BX93" s="101" t="s">
        <v>5851</v>
      </c>
      <c r="BY93" s="101" t="s">
        <v>5852</v>
      </c>
      <c r="BZ93" s="101" t="s">
        <v>5846</v>
      </c>
      <c r="CA93" s="101" t="s">
        <v>5847</v>
      </c>
      <c r="CB93" s="102" t="s">
        <v>5848</v>
      </c>
      <c r="CC93" s="100" t="s">
        <v>5253</v>
      </c>
      <c r="CD93" s="101" t="s">
        <v>5254</v>
      </c>
      <c r="CE93" s="101" t="s">
        <v>2008</v>
      </c>
      <c r="CF93" s="101" t="s">
        <v>5255</v>
      </c>
      <c r="CG93" s="101" t="s">
        <v>5256</v>
      </c>
      <c r="CH93" s="101" t="s">
        <v>5257</v>
      </c>
      <c r="CI93" s="101" t="s">
        <v>5258</v>
      </c>
      <c r="CJ93" s="101" t="s">
        <v>5259</v>
      </c>
      <c r="CK93" s="101" t="s">
        <v>5260</v>
      </c>
      <c r="CL93" s="101" t="s">
        <v>5261</v>
      </c>
      <c r="CM93" s="101" t="s">
        <v>5262</v>
      </c>
      <c r="CN93" s="101" t="s">
        <v>5263</v>
      </c>
      <c r="CO93" s="101" t="s">
        <v>5264</v>
      </c>
      <c r="CP93" s="101" t="s">
        <v>5265</v>
      </c>
      <c r="CQ93" s="101" t="s">
        <v>5266</v>
      </c>
      <c r="CR93" s="102" t="s">
        <v>5267</v>
      </c>
    </row>
    <row r="94">
      <c r="A94" s="103"/>
      <c r="B94" s="103"/>
      <c r="C94" s="103"/>
      <c r="D94" s="103"/>
      <c r="E94" s="103"/>
      <c r="F94" s="103"/>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0" t="s">
        <v>5853</v>
      </c>
      <c r="AH94" s="101" t="s">
        <v>5854</v>
      </c>
      <c r="AI94" s="101" t="s">
        <v>5855</v>
      </c>
      <c r="AJ94" s="101" t="s">
        <v>5856</v>
      </c>
      <c r="AK94" s="101" t="s">
        <v>5857</v>
      </c>
      <c r="AL94" s="101" t="s">
        <v>5858</v>
      </c>
      <c r="AM94" s="101" t="s">
        <v>5859</v>
      </c>
      <c r="AN94" s="101" t="s">
        <v>5860</v>
      </c>
      <c r="AO94" s="101" t="s">
        <v>5861</v>
      </c>
      <c r="AP94" s="101" t="s">
        <v>5862</v>
      </c>
      <c r="AQ94" s="101" t="s">
        <v>5863</v>
      </c>
      <c r="AR94" s="101" t="s">
        <v>5864</v>
      </c>
      <c r="AS94" s="101" t="s">
        <v>5865</v>
      </c>
      <c r="AT94" s="101" t="s">
        <v>5866</v>
      </c>
      <c r="AU94" s="101" t="s">
        <v>5867</v>
      </c>
      <c r="AV94" s="107"/>
      <c r="AW94" s="100" t="s">
        <v>5868</v>
      </c>
      <c r="AX94" s="101" t="s">
        <v>5869</v>
      </c>
      <c r="AY94" s="101" t="s">
        <v>5870</v>
      </c>
      <c r="AZ94" s="101" t="s">
        <v>5871</v>
      </c>
      <c r="BA94" s="101" t="s">
        <v>5872</v>
      </c>
      <c r="BB94" s="101" t="s">
        <v>5873</v>
      </c>
      <c r="BC94" s="101" t="s">
        <v>5874</v>
      </c>
      <c r="BD94" s="101" t="s">
        <v>5875</v>
      </c>
      <c r="BE94" s="101" t="s">
        <v>5876</v>
      </c>
      <c r="BF94" s="101" t="s">
        <v>5877</v>
      </c>
      <c r="BG94" s="101" t="s">
        <v>5878</v>
      </c>
      <c r="BH94" s="101" t="s">
        <v>5879</v>
      </c>
      <c r="BI94" s="101" t="s">
        <v>5880</v>
      </c>
      <c r="BJ94" s="101" t="s">
        <v>5881</v>
      </c>
      <c r="BK94" s="101" t="s">
        <v>5882</v>
      </c>
      <c r="BL94" s="102" t="s">
        <v>5883</v>
      </c>
      <c r="BM94" s="100" t="s">
        <v>5868</v>
      </c>
      <c r="BN94" s="101" t="s">
        <v>5869</v>
      </c>
      <c r="BO94" s="101" t="s">
        <v>5870</v>
      </c>
      <c r="BP94" s="101" t="s">
        <v>5871</v>
      </c>
      <c r="BQ94" s="101" t="s">
        <v>5872</v>
      </c>
      <c r="BR94" s="101" t="s">
        <v>5873</v>
      </c>
      <c r="BS94" s="101" t="s">
        <v>5874</v>
      </c>
      <c r="BT94" s="101" t="s">
        <v>5875</v>
      </c>
      <c r="BU94" s="101" t="s">
        <v>5876</v>
      </c>
      <c r="BV94" s="101" t="s">
        <v>5884</v>
      </c>
      <c r="BW94" s="101" t="s">
        <v>5878</v>
      </c>
      <c r="BX94" s="101" t="s">
        <v>5879</v>
      </c>
      <c r="BY94" s="101" t="s">
        <v>5880</v>
      </c>
      <c r="BZ94" s="101" t="s">
        <v>5881</v>
      </c>
      <c r="CA94" s="101" t="s">
        <v>5885</v>
      </c>
      <c r="CB94" s="102" t="s">
        <v>5886</v>
      </c>
      <c r="CC94" s="100" t="s">
        <v>5287</v>
      </c>
      <c r="CD94" s="101" t="s">
        <v>5288</v>
      </c>
      <c r="CE94" s="101" t="s">
        <v>5289</v>
      </c>
      <c r="CF94" s="101" t="s">
        <v>5290</v>
      </c>
      <c r="CG94" s="101" t="s">
        <v>5291</v>
      </c>
      <c r="CH94" s="101" t="s">
        <v>5292</v>
      </c>
      <c r="CI94" s="101" t="s">
        <v>5293</v>
      </c>
      <c r="CJ94" s="101" t="s">
        <v>5294</v>
      </c>
      <c r="CK94" s="101" t="s">
        <v>5295</v>
      </c>
      <c r="CL94" s="101" t="s">
        <v>5296</v>
      </c>
      <c r="CM94" s="101" t="s">
        <v>5297</v>
      </c>
      <c r="CN94" s="101" t="s">
        <v>5298</v>
      </c>
      <c r="CO94" s="101" t="s">
        <v>5299</v>
      </c>
      <c r="CP94" s="101" t="s">
        <v>5300</v>
      </c>
      <c r="CQ94" s="101" t="s">
        <v>5301</v>
      </c>
      <c r="CR94" s="102" t="s">
        <v>5302</v>
      </c>
    </row>
    <row r="95">
      <c r="A95" s="103"/>
      <c r="B95" s="103"/>
      <c r="C95" s="103"/>
      <c r="D95" s="103"/>
      <c r="E95" s="103"/>
      <c r="F95" s="103"/>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5"/>
      <c r="AH95" s="101" t="s">
        <v>5887</v>
      </c>
      <c r="AI95" s="101" t="s">
        <v>5888</v>
      </c>
      <c r="AJ95" s="101" t="s">
        <v>5889</v>
      </c>
      <c r="AK95" s="101" t="s">
        <v>5890</v>
      </c>
      <c r="AL95" s="101" t="s">
        <v>5891</v>
      </c>
      <c r="AM95" s="101" t="s">
        <v>5892</v>
      </c>
      <c r="AN95" s="101" t="s">
        <v>5893</v>
      </c>
      <c r="AO95" s="101" t="s">
        <v>5894</v>
      </c>
      <c r="AP95" s="101" t="s">
        <v>5895</v>
      </c>
      <c r="AQ95" s="101" t="s">
        <v>5896</v>
      </c>
      <c r="AR95" s="101" t="s">
        <v>5897</v>
      </c>
      <c r="AS95" s="101" t="s">
        <v>5898</v>
      </c>
      <c r="AT95" s="101" t="s">
        <v>5899</v>
      </c>
      <c r="AU95" s="101" t="s">
        <v>5900</v>
      </c>
      <c r="AV95" s="102" t="s">
        <v>5901</v>
      </c>
      <c r="AW95" s="100" t="s">
        <v>5902</v>
      </c>
      <c r="AX95" s="101" t="s">
        <v>5903</v>
      </c>
      <c r="AY95" s="101" t="s">
        <v>5904</v>
      </c>
      <c r="AZ95" s="101" t="s">
        <v>5905</v>
      </c>
      <c r="BA95" s="101" t="s">
        <v>5906</v>
      </c>
      <c r="BB95" s="101" t="s">
        <v>5907</v>
      </c>
      <c r="BC95" s="101" t="s">
        <v>5908</v>
      </c>
      <c r="BD95" s="101" t="s">
        <v>5909</v>
      </c>
      <c r="BE95" s="101" t="s">
        <v>5910</v>
      </c>
      <c r="BF95" s="101" t="s">
        <v>5911</v>
      </c>
      <c r="BG95" s="101" t="s">
        <v>5912</v>
      </c>
      <c r="BH95" s="101" t="s">
        <v>5913</v>
      </c>
      <c r="BI95" s="101" t="s">
        <v>5914</v>
      </c>
      <c r="BJ95" s="101" t="s">
        <v>5915</v>
      </c>
      <c r="BK95" s="101" t="s">
        <v>5916</v>
      </c>
      <c r="BL95" s="102" t="s">
        <v>5917</v>
      </c>
      <c r="BM95" s="100" t="s">
        <v>5918</v>
      </c>
      <c r="BN95" s="101" t="s">
        <v>5903</v>
      </c>
      <c r="BO95" s="101" t="s">
        <v>5919</v>
      </c>
      <c r="BP95" s="101" t="s">
        <v>5920</v>
      </c>
      <c r="BQ95" s="101" t="s">
        <v>5906</v>
      </c>
      <c r="BR95" s="101" t="s">
        <v>5907</v>
      </c>
      <c r="BS95" s="101" t="s">
        <v>5908</v>
      </c>
      <c r="BT95" s="101" t="s">
        <v>5909</v>
      </c>
      <c r="BU95" s="101" t="s">
        <v>5910</v>
      </c>
      <c r="BV95" s="101" t="s">
        <v>5911</v>
      </c>
      <c r="BW95" s="101" t="s">
        <v>5912</v>
      </c>
      <c r="BX95" s="101" t="s">
        <v>5921</v>
      </c>
      <c r="BY95" s="101" t="s">
        <v>5914</v>
      </c>
      <c r="BZ95" s="101" t="s">
        <v>5915</v>
      </c>
      <c r="CA95" s="101" t="s">
        <v>5916</v>
      </c>
      <c r="CB95" s="102" t="s">
        <v>5917</v>
      </c>
      <c r="CC95" s="100" t="s">
        <v>5324</v>
      </c>
      <c r="CD95" s="101" t="s">
        <v>5325</v>
      </c>
      <c r="CE95" s="101" t="s">
        <v>5326</v>
      </c>
      <c r="CF95" s="101" t="s">
        <v>5327</v>
      </c>
      <c r="CG95" s="101" t="s">
        <v>5328</v>
      </c>
      <c r="CH95" s="101" t="s">
        <v>5329</v>
      </c>
      <c r="CI95" s="101" t="s">
        <v>5330</v>
      </c>
      <c r="CJ95" s="101" t="s">
        <v>5331</v>
      </c>
      <c r="CK95" s="101" t="s">
        <v>5332</v>
      </c>
      <c r="CL95" s="101" t="s">
        <v>5333</v>
      </c>
      <c r="CM95" s="101" t="s">
        <v>5334</v>
      </c>
      <c r="CN95" s="101" t="s">
        <v>5335</v>
      </c>
      <c r="CO95" s="101" t="s">
        <v>5336</v>
      </c>
      <c r="CP95" s="101" t="s">
        <v>5337</v>
      </c>
      <c r="CQ95" s="101" t="s">
        <v>5338</v>
      </c>
      <c r="CR95" s="102" t="s">
        <v>5339</v>
      </c>
    </row>
    <row r="96">
      <c r="A96" s="103"/>
      <c r="B96" s="103"/>
      <c r="C96" s="103"/>
      <c r="D96" s="103"/>
      <c r="E96" s="103"/>
      <c r="F96" s="103"/>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0" t="s">
        <v>5922</v>
      </c>
      <c r="AH96" s="101" t="s">
        <v>5923</v>
      </c>
      <c r="AI96" s="101" t="s">
        <v>5924</v>
      </c>
      <c r="AJ96" s="101" t="s">
        <v>5925</v>
      </c>
      <c r="AK96" s="101" t="s">
        <v>5926</v>
      </c>
      <c r="AL96" s="101" t="s">
        <v>5927</v>
      </c>
      <c r="AM96" s="101" t="s">
        <v>5928</v>
      </c>
      <c r="AN96" s="101" t="s">
        <v>5929</v>
      </c>
      <c r="AO96" s="101" t="s">
        <v>5930</v>
      </c>
      <c r="AP96" s="101" t="s">
        <v>5931</v>
      </c>
      <c r="AQ96" s="101" t="s">
        <v>5932</v>
      </c>
      <c r="AR96" s="101" t="s">
        <v>5933</v>
      </c>
      <c r="AS96" s="101" t="s">
        <v>5934</v>
      </c>
      <c r="AT96" s="101" t="s">
        <v>5935</v>
      </c>
      <c r="AU96" s="101" t="s">
        <v>5936</v>
      </c>
      <c r="AV96" s="102" t="s">
        <v>5937</v>
      </c>
      <c r="AW96" s="100" t="s">
        <v>5938</v>
      </c>
      <c r="AX96" s="101" t="s">
        <v>5939</v>
      </c>
      <c r="AY96" s="101" t="s">
        <v>5940</v>
      </c>
      <c r="AZ96" s="101" t="s">
        <v>5941</v>
      </c>
      <c r="BA96" s="101" t="s">
        <v>5942</v>
      </c>
      <c r="BB96" s="101" t="s">
        <v>5943</v>
      </c>
      <c r="BC96" s="101" t="s">
        <v>5944</v>
      </c>
      <c r="BD96" s="101" t="s">
        <v>5945</v>
      </c>
      <c r="BE96" s="101" t="s">
        <v>5946</v>
      </c>
      <c r="BF96" s="101" t="s">
        <v>5947</v>
      </c>
      <c r="BG96" s="101" t="s">
        <v>5948</v>
      </c>
      <c r="BH96" s="101" t="s">
        <v>5949</v>
      </c>
      <c r="BI96" s="101" t="s">
        <v>5950</v>
      </c>
      <c r="BJ96" s="101" t="s">
        <v>5951</v>
      </c>
      <c r="BK96" s="101" t="s">
        <v>5952</v>
      </c>
      <c r="BL96" s="102" t="s">
        <v>5953</v>
      </c>
      <c r="BM96" s="100" t="s">
        <v>5938</v>
      </c>
      <c r="BN96" s="101" t="s">
        <v>5939</v>
      </c>
      <c r="BO96" s="101" t="s">
        <v>5940</v>
      </c>
      <c r="BP96" s="101" t="s">
        <v>5941</v>
      </c>
      <c r="BQ96" s="101" t="s">
        <v>5954</v>
      </c>
      <c r="BR96" s="101" t="s">
        <v>5943</v>
      </c>
      <c r="BS96" s="101" t="s">
        <v>5944</v>
      </c>
      <c r="BT96" s="101" t="s">
        <v>5945</v>
      </c>
      <c r="BU96" s="101" t="s">
        <v>5946</v>
      </c>
      <c r="BV96" s="101" t="s">
        <v>5955</v>
      </c>
      <c r="BW96" s="101" t="s">
        <v>5948</v>
      </c>
      <c r="BX96" s="101" t="s">
        <v>5949</v>
      </c>
      <c r="BY96" s="101" t="s">
        <v>5956</v>
      </c>
      <c r="BZ96" s="101" t="s">
        <v>5957</v>
      </c>
      <c r="CA96" s="101" t="s">
        <v>5958</v>
      </c>
      <c r="CB96" s="102" t="s">
        <v>5953</v>
      </c>
      <c r="CC96" s="100" t="s">
        <v>5360</v>
      </c>
      <c r="CD96" s="101" t="s">
        <v>5361</v>
      </c>
      <c r="CE96" s="101" t="s">
        <v>5362</v>
      </c>
      <c r="CF96" s="101" t="s">
        <v>5363</v>
      </c>
      <c r="CG96" s="101" t="s">
        <v>5364</v>
      </c>
      <c r="CH96" s="101" t="s">
        <v>5365</v>
      </c>
      <c r="CI96" s="101" t="s">
        <v>5366</v>
      </c>
      <c r="CJ96" s="101" t="s">
        <v>5367</v>
      </c>
      <c r="CK96" s="101" t="s">
        <v>5368</v>
      </c>
      <c r="CL96" s="101" t="s">
        <v>5369</v>
      </c>
      <c r="CM96" s="101" t="s">
        <v>5370</v>
      </c>
      <c r="CN96" s="101" t="s">
        <v>5371</v>
      </c>
      <c r="CO96" s="101" t="s">
        <v>5372</v>
      </c>
      <c r="CP96" s="101" t="s">
        <v>5373</v>
      </c>
      <c r="CQ96" s="101" t="s">
        <v>5374</v>
      </c>
      <c r="CR96" s="107"/>
    </row>
    <row r="97">
      <c r="A97" s="103"/>
      <c r="B97" s="103"/>
      <c r="C97" s="103"/>
      <c r="D97" s="103"/>
      <c r="E97" s="103"/>
      <c r="F97" s="103"/>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10" t="s">
        <v>5959</v>
      </c>
      <c r="AH97" s="111" t="s">
        <v>5960</v>
      </c>
      <c r="AI97" s="111" t="s">
        <v>5961</v>
      </c>
      <c r="AJ97" s="111" t="s">
        <v>5962</v>
      </c>
      <c r="AK97" s="111" t="s">
        <v>5963</v>
      </c>
      <c r="AL97" s="111" t="s">
        <v>5964</v>
      </c>
      <c r="AM97" s="111" t="s">
        <v>5965</v>
      </c>
      <c r="AN97" s="111" t="s">
        <v>5966</v>
      </c>
      <c r="AO97" s="111" t="s">
        <v>5967</v>
      </c>
      <c r="AP97" s="111" t="s">
        <v>5968</v>
      </c>
      <c r="AQ97" s="111" t="s">
        <v>5969</v>
      </c>
      <c r="AR97" s="111" t="s">
        <v>5970</v>
      </c>
      <c r="AS97" s="111" t="s">
        <v>5971</v>
      </c>
      <c r="AT97" s="111" t="s">
        <v>5972</v>
      </c>
      <c r="AU97" s="111" t="s">
        <v>5973</v>
      </c>
      <c r="AV97" s="112" t="s">
        <v>5974</v>
      </c>
      <c r="AW97" s="110" t="s">
        <v>5975</v>
      </c>
      <c r="AX97" s="111" t="s">
        <v>5976</v>
      </c>
      <c r="AY97" s="111" t="s">
        <v>5977</v>
      </c>
      <c r="AZ97" s="111" t="s">
        <v>5978</v>
      </c>
      <c r="BA97" s="111" t="s">
        <v>5979</v>
      </c>
      <c r="BB97" s="111" t="s">
        <v>5980</v>
      </c>
      <c r="BC97" s="111" t="s">
        <v>5981</v>
      </c>
      <c r="BD97" s="111" t="s">
        <v>5982</v>
      </c>
      <c r="BE97" s="111" t="s">
        <v>5983</v>
      </c>
      <c r="BF97" s="111" t="s">
        <v>5984</v>
      </c>
      <c r="BG97" s="111" t="s">
        <v>5985</v>
      </c>
      <c r="BH97" s="111" t="s">
        <v>5986</v>
      </c>
      <c r="BI97" s="111" t="s">
        <v>5987</v>
      </c>
      <c r="BJ97" s="111" t="s">
        <v>5988</v>
      </c>
      <c r="BK97" s="111" t="s">
        <v>5989</v>
      </c>
      <c r="BL97" s="112" t="s">
        <v>5990</v>
      </c>
      <c r="BM97" s="110" t="s">
        <v>5991</v>
      </c>
      <c r="BN97" s="111" t="s">
        <v>5976</v>
      </c>
      <c r="BO97" s="111" t="s">
        <v>5992</v>
      </c>
      <c r="BP97" s="111" t="s">
        <v>5978</v>
      </c>
      <c r="BQ97" s="111" t="s">
        <v>5979</v>
      </c>
      <c r="BR97" s="111" t="s">
        <v>5980</v>
      </c>
      <c r="BS97" s="111" t="s">
        <v>5981</v>
      </c>
      <c r="BT97" s="111" t="s">
        <v>5993</v>
      </c>
      <c r="BU97" s="111" t="s">
        <v>5983</v>
      </c>
      <c r="BV97" s="111" t="s">
        <v>5984</v>
      </c>
      <c r="BW97" s="111" t="s">
        <v>5985</v>
      </c>
      <c r="BX97" s="111" t="s">
        <v>5986</v>
      </c>
      <c r="BY97" s="111" t="s">
        <v>5987</v>
      </c>
      <c r="BZ97" s="111" t="s">
        <v>5994</v>
      </c>
      <c r="CA97" s="111" t="s">
        <v>5989</v>
      </c>
      <c r="CB97" s="112" t="s">
        <v>5990</v>
      </c>
      <c r="CC97" s="110"/>
      <c r="CD97" s="111"/>
      <c r="CE97" s="111"/>
      <c r="CF97" s="111"/>
      <c r="CG97" s="111"/>
      <c r="CH97" s="111"/>
      <c r="CI97" s="111"/>
      <c r="CJ97" s="111"/>
      <c r="CK97" s="111"/>
      <c r="CL97" s="111"/>
      <c r="CM97" s="111"/>
      <c r="CN97" s="111"/>
      <c r="CO97" s="111"/>
      <c r="CP97" s="111"/>
      <c r="CQ97" s="111"/>
      <c r="CR97" s="115"/>
    </row>
    <row r="98">
      <c r="A98" s="103"/>
      <c r="B98" s="103"/>
      <c r="C98" s="103"/>
      <c r="D98" s="103"/>
      <c r="E98" s="103"/>
      <c r="F98" s="103"/>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99" t="s">
        <v>5995</v>
      </c>
      <c r="AH98" s="97" t="s">
        <v>5996</v>
      </c>
      <c r="AI98" s="97" t="s">
        <v>5997</v>
      </c>
      <c r="AJ98" s="97" t="s">
        <v>5998</v>
      </c>
      <c r="AK98" s="97" t="s">
        <v>5999</v>
      </c>
      <c r="AL98" s="97" t="s">
        <v>6000</v>
      </c>
      <c r="AM98" s="97" t="s">
        <v>6001</v>
      </c>
      <c r="AN98" s="97" t="s">
        <v>6002</v>
      </c>
      <c r="AO98" s="97" t="s">
        <v>6003</v>
      </c>
      <c r="AP98" s="97" t="s">
        <v>6004</v>
      </c>
      <c r="AQ98" s="97" t="s">
        <v>6005</v>
      </c>
      <c r="AR98" s="97" t="s">
        <v>6006</v>
      </c>
      <c r="AS98" s="97" t="s">
        <v>6007</v>
      </c>
      <c r="AT98" s="97" t="s">
        <v>6008</v>
      </c>
      <c r="AU98" s="97" t="s">
        <v>6009</v>
      </c>
      <c r="AV98" s="98" t="s">
        <v>6010</v>
      </c>
      <c r="AW98" s="99" t="s">
        <v>6011</v>
      </c>
      <c r="AX98" s="97" t="s">
        <v>6012</v>
      </c>
      <c r="AY98" s="97" t="s">
        <v>6013</v>
      </c>
      <c r="AZ98" s="97" t="s">
        <v>6014</v>
      </c>
      <c r="BA98" s="97" t="s">
        <v>6015</v>
      </c>
      <c r="BB98" s="97" t="s">
        <v>6016</v>
      </c>
      <c r="BC98" s="97" t="s">
        <v>6017</v>
      </c>
      <c r="BD98" s="97" t="s">
        <v>6018</v>
      </c>
      <c r="BE98" s="97" t="s">
        <v>6019</v>
      </c>
      <c r="BF98" s="97" t="s">
        <v>6020</v>
      </c>
      <c r="BG98" s="97" t="s">
        <v>6021</v>
      </c>
      <c r="BH98" s="97" t="s">
        <v>6022</v>
      </c>
      <c r="BI98" s="97" t="s">
        <v>6023</v>
      </c>
      <c r="BJ98" s="97" t="s">
        <v>6024</v>
      </c>
      <c r="BK98" s="97" t="s">
        <v>6025</v>
      </c>
      <c r="BL98" s="98" t="s">
        <v>6026</v>
      </c>
      <c r="BM98" s="99" t="s">
        <v>6011</v>
      </c>
      <c r="BN98" s="97" t="s">
        <v>6012</v>
      </c>
      <c r="BO98" s="97" t="s">
        <v>6013</v>
      </c>
      <c r="BP98" s="97" t="s">
        <v>6014</v>
      </c>
      <c r="BQ98" s="97" t="s">
        <v>6015</v>
      </c>
      <c r="BR98" s="97" t="s">
        <v>6016</v>
      </c>
      <c r="BS98" s="97" t="s">
        <v>6027</v>
      </c>
      <c r="BT98" s="97" t="s">
        <v>6018</v>
      </c>
      <c r="BU98" s="97" t="s">
        <v>6019</v>
      </c>
      <c r="BV98" s="97" t="s">
        <v>6020</v>
      </c>
      <c r="BW98" s="97" t="s">
        <v>6028</v>
      </c>
      <c r="BX98" s="97" t="s">
        <v>6022</v>
      </c>
      <c r="BY98" s="97" t="s">
        <v>6023</v>
      </c>
      <c r="BZ98" s="97" t="s">
        <v>6024</v>
      </c>
      <c r="CA98" s="97" t="s">
        <v>6025</v>
      </c>
      <c r="CB98" s="98" t="s">
        <v>6026</v>
      </c>
      <c r="CC98" s="96"/>
      <c r="CD98" s="97" t="s">
        <v>5391</v>
      </c>
      <c r="CE98" s="97" t="s">
        <v>5392</v>
      </c>
      <c r="CF98" s="97" t="s">
        <v>5393</v>
      </c>
      <c r="CG98" s="97" t="s">
        <v>5394</v>
      </c>
      <c r="CH98" s="97" t="s">
        <v>5395</v>
      </c>
      <c r="CI98" s="97" t="s">
        <v>5396</v>
      </c>
      <c r="CJ98" s="97" t="s">
        <v>5397</v>
      </c>
      <c r="CK98" s="97" t="s">
        <v>5398</v>
      </c>
      <c r="CL98" s="97" t="s">
        <v>5399</v>
      </c>
      <c r="CM98" s="97" t="s">
        <v>5400</v>
      </c>
      <c r="CN98" s="97" t="s">
        <v>5401</v>
      </c>
      <c r="CO98" s="97" t="s">
        <v>5402</v>
      </c>
      <c r="CP98" s="97" t="s">
        <v>5403</v>
      </c>
      <c r="CQ98" s="97" t="s">
        <v>5404</v>
      </c>
      <c r="CR98" s="98" t="s">
        <v>5405</v>
      </c>
    </row>
    <row r="99">
      <c r="A99" s="103"/>
      <c r="B99" s="103"/>
      <c r="C99" s="103"/>
      <c r="D99" s="103"/>
      <c r="E99" s="103"/>
      <c r="F99" s="103"/>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0" t="s">
        <v>6029</v>
      </c>
      <c r="AH99" s="101" t="s">
        <v>6030</v>
      </c>
      <c r="AI99" s="101" t="s">
        <v>6031</v>
      </c>
      <c r="AJ99" s="101" t="s">
        <v>6032</v>
      </c>
      <c r="AK99" s="101" t="s">
        <v>6033</v>
      </c>
      <c r="AL99" s="101" t="s">
        <v>6034</v>
      </c>
      <c r="AM99" s="101" t="s">
        <v>6035</v>
      </c>
      <c r="AN99" s="101" t="s">
        <v>6036</v>
      </c>
      <c r="AO99" s="101" t="s">
        <v>6037</v>
      </c>
      <c r="AP99" s="101" t="s">
        <v>6038</v>
      </c>
      <c r="AQ99" s="101" t="s">
        <v>6039</v>
      </c>
      <c r="AR99" s="101" t="s">
        <v>6040</v>
      </c>
      <c r="AS99" s="101" t="s">
        <v>6041</v>
      </c>
      <c r="AT99" s="101" t="s">
        <v>6042</v>
      </c>
      <c r="AU99" s="101" t="s">
        <v>6043</v>
      </c>
      <c r="AV99" s="102" t="s">
        <v>6044</v>
      </c>
      <c r="AW99" s="100" t="s">
        <v>6045</v>
      </c>
      <c r="AX99" s="101" t="s">
        <v>6046</v>
      </c>
      <c r="AY99" s="101" t="s">
        <v>6047</v>
      </c>
      <c r="AZ99" s="101" t="s">
        <v>6048</v>
      </c>
      <c r="BA99" s="101" t="s">
        <v>6049</v>
      </c>
      <c r="BB99" s="101" t="s">
        <v>6050</v>
      </c>
      <c r="BC99" s="101" t="s">
        <v>6051</v>
      </c>
      <c r="BD99" s="101" t="s">
        <v>6052</v>
      </c>
      <c r="BE99" s="101" t="s">
        <v>6053</v>
      </c>
      <c r="BF99" s="101" t="s">
        <v>6054</v>
      </c>
      <c r="BG99" s="101" t="s">
        <v>6055</v>
      </c>
      <c r="BH99" s="101" t="s">
        <v>6056</v>
      </c>
      <c r="BI99" s="101" t="s">
        <v>6057</v>
      </c>
      <c r="BJ99" s="101" t="s">
        <v>6058</v>
      </c>
      <c r="BK99" s="101" t="s">
        <v>6059</v>
      </c>
      <c r="BL99" s="102" t="s">
        <v>6060</v>
      </c>
      <c r="BM99" s="100" t="s">
        <v>6061</v>
      </c>
      <c r="BN99" s="101" t="s">
        <v>6046</v>
      </c>
      <c r="BO99" s="101" t="s">
        <v>6047</v>
      </c>
      <c r="BP99" s="101" t="s">
        <v>6048</v>
      </c>
      <c r="BQ99" s="101" t="s">
        <v>6049</v>
      </c>
      <c r="BR99" s="101" t="s">
        <v>6050</v>
      </c>
      <c r="BS99" s="101" t="s">
        <v>6051</v>
      </c>
      <c r="BT99" s="101" t="s">
        <v>6052</v>
      </c>
      <c r="BU99" s="101" t="s">
        <v>6053</v>
      </c>
      <c r="BV99" s="101" t="s">
        <v>6054</v>
      </c>
      <c r="BW99" s="101" t="s">
        <v>6055</v>
      </c>
      <c r="BX99" s="101" t="s">
        <v>6062</v>
      </c>
      <c r="BY99" s="101" t="s">
        <v>6063</v>
      </c>
      <c r="BZ99" s="101" t="s">
        <v>6058</v>
      </c>
      <c r="CA99" s="101" t="s">
        <v>6059</v>
      </c>
      <c r="CB99" s="102" t="s">
        <v>6060</v>
      </c>
      <c r="CC99" s="100" t="s">
        <v>5424</v>
      </c>
      <c r="CD99" s="101" t="s">
        <v>5425</v>
      </c>
      <c r="CE99" s="101" t="s">
        <v>5426</v>
      </c>
      <c r="CF99" s="101" t="s">
        <v>5427</v>
      </c>
      <c r="CG99" s="101" t="s">
        <v>5428</v>
      </c>
      <c r="CH99" s="101" t="s">
        <v>5429</v>
      </c>
      <c r="CI99" s="101" t="s">
        <v>5430</v>
      </c>
      <c r="CJ99" s="101" t="s">
        <v>5431</v>
      </c>
      <c r="CK99" s="101" t="s">
        <v>5432</v>
      </c>
      <c r="CL99" s="101" t="s">
        <v>5433</v>
      </c>
      <c r="CM99" s="101" t="s">
        <v>5434</v>
      </c>
      <c r="CN99" s="101" t="s">
        <v>5435</v>
      </c>
      <c r="CO99" s="101" t="s">
        <v>5436</v>
      </c>
      <c r="CP99" s="101" t="s">
        <v>5437</v>
      </c>
      <c r="CQ99" s="101" t="s">
        <v>5438</v>
      </c>
      <c r="CR99" s="102" t="s">
        <v>5439</v>
      </c>
    </row>
    <row r="100">
      <c r="A100" s="103"/>
      <c r="B100" s="103"/>
      <c r="C100" s="103"/>
      <c r="D100" s="103"/>
      <c r="E100" s="103"/>
      <c r="F100" s="103"/>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0" t="s">
        <v>6064</v>
      </c>
      <c r="AH100" s="101" t="s">
        <v>6065</v>
      </c>
      <c r="AI100" s="101" t="s">
        <v>6066</v>
      </c>
      <c r="AJ100" s="101" t="s">
        <v>6067</v>
      </c>
      <c r="AK100" s="101" t="s">
        <v>6068</v>
      </c>
      <c r="AL100" s="101" t="s">
        <v>6069</v>
      </c>
      <c r="AM100" s="101" t="s">
        <v>6070</v>
      </c>
      <c r="AN100" s="101" t="s">
        <v>6071</v>
      </c>
      <c r="AO100" s="101" t="s">
        <v>6072</v>
      </c>
      <c r="AP100" s="101" t="s">
        <v>6073</v>
      </c>
      <c r="AQ100" s="101" t="s">
        <v>6074</v>
      </c>
      <c r="AR100" s="101" t="s">
        <v>6075</v>
      </c>
      <c r="AS100" s="101" t="s">
        <v>6076</v>
      </c>
      <c r="AT100" s="101" t="s">
        <v>6077</v>
      </c>
      <c r="AU100" s="101" t="s">
        <v>6078</v>
      </c>
      <c r="AV100" s="102" t="s">
        <v>6079</v>
      </c>
      <c r="AW100" s="100" t="s">
        <v>6080</v>
      </c>
      <c r="AX100" s="101" t="s">
        <v>6081</v>
      </c>
      <c r="AY100" s="101" t="s">
        <v>6082</v>
      </c>
      <c r="AZ100" s="101" t="s">
        <v>6083</v>
      </c>
      <c r="BA100" s="101" t="s">
        <v>6084</v>
      </c>
      <c r="BB100" s="101" t="s">
        <v>6085</v>
      </c>
      <c r="BC100" s="101" t="s">
        <v>6086</v>
      </c>
      <c r="BD100" s="101" t="s">
        <v>6087</v>
      </c>
      <c r="BE100" s="101" t="s">
        <v>6088</v>
      </c>
      <c r="BF100" s="101" t="s">
        <v>6089</v>
      </c>
      <c r="BG100" s="101" t="s">
        <v>6090</v>
      </c>
      <c r="BH100" s="101" t="s">
        <v>6091</v>
      </c>
      <c r="BI100" s="101" t="s">
        <v>6092</v>
      </c>
      <c r="BJ100" s="101" t="s">
        <v>6093</v>
      </c>
      <c r="BK100" s="101" t="s">
        <v>6094</v>
      </c>
      <c r="BL100" s="102" t="s">
        <v>6095</v>
      </c>
      <c r="BM100" s="100" t="s">
        <v>6096</v>
      </c>
      <c r="BN100" s="101" t="s">
        <v>6081</v>
      </c>
      <c r="BO100" s="101" t="s">
        <v>6082</v>
      </c>
      <c r="BP100" s="101" t="s">
        <v>6083</v>
      </c>
      <c r="BQ100" s="101" t="s">
        <v>6084</v>
      </c>
      <c r="BR100" s="101" t="s">
        <v>6085</v>
      </c>
      <c r="BS100" s="101" t="s">
        <v>6086</v>
      </c>
      <c r="BT100" s="101" t="s">
        <v>6087</v>
      </c>
      <c r="BU100" s="101" t="s">
        <v>6088</v>
      </c>
      <c r="BV100" s="101" t="s">
        <v>6089</v>
      </c>
      <c r="BW100" s="101" t="s">
        <v>6090</v>
      </c>
      <c r="BX100" s="101" t="s">
        <v>6097</v>
      </c>
      <c r="BY100" s="101" t="s">
        <v>6092</v>
      </c>
      <c r="BZ100" s="101" t="s">
        <v>6093</v>
      </c>
      <c r="CA100" s="101" t="s">
        <v>6094</v>
      </c>
      <c r="CB100" s="102" t="s">
        <v>6098</v>
      </c>
      <c r="CC100" s="100" t="s">
        <v>5464</v>
      </c>
      <c r="CD100" s="101" t="s">
        <v>5465</v>
      </c>
      <c r="CE100" s="101" t="s">
        <v>5466</v>
      </c>
      <c r="CF100" s="101" t="s">
        <v>5467</v>
      </c>
      <c r="CG100" s="101" t="s">
        <v>5468</v>
      </c>
      <c r="CH100" s="101" t="s">
        <v>5469</v>
      </c>
      <c r="CI100" s="101" t="s">
        <v>5470</v>
      </c>
      <c r="CJ100" s="101" t="s">
        <v>5471</v>
      </c>
      <c r="CK100" s="101" t="s">
        <v>5472</v>
      </c>
      <c r="CL100" s="101" t="s">
        <v>5473</v>
      </c>
      <c r="CM100" s="101" t="s">
        <v>5474</v>
      </c>
      <c r="CN100" s="101" t="s">
        <v>5475</v>
      </c>
      <c r="CO100" s="101" t="s">
        <v>5476</v>
      </c>
      <c r="CP100" s="101" t="s">
        <v>5477</v>
      </c>
      <c r="CQ100" s="101" t="s">
        <v>5478</v>
      </c>
      <c r="CR100" s="102" t="s">
        <v>5479</v>
      </c>
    </row>
    <row r="101">
      <c r="A101" s="103"/>
      <c r="B101" s="103"/>
      <c r="C101" s="103"/>
      <c r="D101" s="103"/>
      <c r="E101" s="103"/>
      <c r="F101" s="103"/>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0" t="s">
        <v>6099</v>
      </c>
      <c r="AH101" s="101" t="s">
        <v>6100</v>
      </c>
      <c r="AI101" s="101" t="s">
        <v>6101</v>
      </c>
      <c r="AJ101" s="101" t="s">
        <v>6102</v>
      </c>
      <c r="AK101" s="101" t="s">
        <v>6103</v>
      </c>
      <c r="AL101" s="101" t="s">
        <v>6104</v>
      </c>
      <c r="AM101" s="101" t="s">
        <v>6105</v>
      </c>
      <c r="AN101" s="101" t="s">
        <v>6106</v>
      </c>
      <c r="AO101" s="101" t="s">
        <v>6107</v>
      </c>
      <c r="AP101" s="101" t="s">
        <v>6108</v>
      </c>
      <c r="AQ101" s="101" t="s">
        <v>6109</v>
      </c>
      <c r="AR101" s="101" t="s">
        <v>6110</v>
      </c>
      <c r="AS101" s="101" t="s">
        <v>6111</v>
      </c>
      <c r="AT101" s="101" t="s">
        <v>6112</v>
      </c>
      <c r="AU101" s="101" t="s">
        <v>6113</v>
      </c>
      <c r="AV101" s="102" t="s">
        <v>6114</v>
      </c>
      <c r="AW101" s="100" t="s">
        <v>6115</v>
      </c>
      <c r="AX101" s="101" t="s">
        <v>6116</v>
      </c>
      <c r="AY101" s="101" t="s">
        <v>6117</v>
      </c>
      <c r="AZ101" s="101" t="s">
        <v>6118</v>
      </c>
      <c r="BA101" s="101" t="s">
        <v>6119</v>
      </c>
      <c r="BB101" s="101" t="s">
        <v>6120</v>
      </c>
      <c r="BC101" s="101" t="s">
        <v>6121</v>
      </c>
      <c r="BD101" s="101" t="s">
        <v>6122</v>
      </c>
      <c r="BE101" s="101" t="s">
        <v>6123</v>
      </c>
      <c r="BF101" s="101" t="s">
        <v>6124</v>
      </c>
      <c r="BG101" s="101" t="s">
        <v>6125</v>
      </c>
      <c r="BH101" s="101" t="s">
        <v>6126</v>
      </c>
      <c r="BI101" s="101" t="s">
        <v>6127</v>
      </c>
      <c r="BJ101" s="101" t="s">
        <v>6128</v>
      </c>
      <c r="BK101" s="101" t="s">
        <v>6129</v>
      </c>
      <c r="BL101" s="102" t="s">
        <v>6130</v>
      </c>
      <c r="BM101" s="100" t="s">
        <v>6115</v>
      </c>
      <c r="BN101" s="101" t="s">
        <v>6116</v>
      </c>
      <c r="BO101" s="101" t="s">
        <v>6117</v>
      </c>
      <c r="BP101" s="101" t="s">
        <v>6118</v>
      </c>
      <c r="BQ101" s="101" t="s">
        <v>6119</v>
      </c>
      <c r="BR101" s="101" t="s">
        <v>6120</v>
      </c>
      <c r="BS101" s="101" t="s">
        <v>6131</v>
      </c>
      <c r="BT101" s="101" t="s">
        <v>6122</v>
      </c>
      <c r="BU101" s="101" t="s">
        <v>6132</v>
      </c>
      <c r="BV101" s="101" t="s">
        <v>6124</v>
      </c>
      <c r="BW101" s="101" t="s">
        <v>6125</v>
      </c>
      <c r="BX101" s="101" t="s">
        <v>6133</v>
      </c>
      <c r="BY101" s="101" t="s">
        <v>6134</v>
      </c>
      <c r="BZ101" s="101" t="s">
        <v>6128</v>
      </c>
      <c r="CA101" s="101" t="s">
        <v>6129</v>
      </c>
      <c r="CB101" s="102" t="s">
        <v>6130</v>
      </c>
      <c r="CC101" s="100" t="s">
        <v>5500</v>
      </c>
      <c r="CD101" s="101" t="s">
        <v>5501</v>
      </c>
      <c r="CE101" s="101" t="s">
        <v>5502</v>
      </c>
      <c r="CF101" s="101" t="s">
        <v>5503</v>
      </c>
      <c r="CG101" s="101" t="s">
        <v>5504</v>
      </c>
      <c r="CH101" s="101" t="s">
        <v>5505</v>
      </c>
      <c r="CI101" s="101" t="s">
        <v>5506</v>
      </c>
      <c r="CJ101" s="101" t="s">
        <v>5507</v>
      </c>
      <c r="CK101" s="101" t="s">
        <v>5508</v>
      </c>
      <c r="CL101" s="101" t="s">
        <v>5509</v>
      </c>
      <c r="CM101" s="101" t="s">
        <v>5510</v>
      </c>
      <c r="CN101" s="101" t="s">
        <v>5511</v>
      </c>
      <c r="CO101" s="101" t="s">
        <v>5512</v>
      </c>
      <c r="CP101" s="101" t="s">
        <v>5513</v>
      </c>
      <c r="CQ101" s="101" t="s">
        <v>5514</v>
      </c>
      <c r="CR101" s="102" t="s">
        <v>5515</v>
      </c>
    </row>
    <row r="102">
      <c r="A102" s="103"/>
      <c r="B102" s="103"/>
      <c r="C102" s="103"/>
      <c r="D102" s="103"/>
      <c r="E102" s="103"/>
      <c r="F102" s="103"/>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0" t="s">
        <v>6135</v>
      </c>
      <c r="AH102" s="101" t="s">
        <v>6136</v>
      </c>
      <c r="AI102" s="101" t="s">
        <v>6137</v>
      </c>
      <c r="AJ102" s="101" t="s">
        <v>6138</v>
      </c>
      <c r="AK102" s="101" t="s">
        <v>6139</v>
      </c>
      <c r="AL102" s="101" t="s">
        <v>6140</v>
      </c>
      <c r="AM102" s="101" t="s">
        <v>6141</v>
      </c>
      <c r="AN102" s="101" t="s">
        <v>6142</v>
      </c>
      <c r="AO102" s="101" t="s">
        <v>6143</v>
      </c>
      <c r="AP102" s="101" t="s">
        <v>6144</v>
      </c>
      <c r="AQ102" s="101" t="s">
        <v>6145</v>
      </c>
      <c r="AR102" s="101" t="s">
        <v>6146</v>
      </c>
      <c r="AS102" s="101" t="s">
        <v>6147</v>
      </c>
      <c r="AT102" s="101" t="s">
        <v>6148</v>
      </c>
      <c r="AU102" s="101" t="s">
        <v>6149</v>
      </c>
      <c r="AV102" s="102" t="s">
        <v>6150</v>
      </c>
      <c r="AW102" s="100" t="s">
        <v>6151</v>
      </c>
      <c r="AX102" s="101" t="s">
        <v>6152</v>
      </c>
      <c r="AY102" s="101" t="s">
        <v>6153</v>
      </c>
      <c r="AZ102" s="101" t="s">
        <v>6154</v>
      </c>
      <c r="BA102" s="101" t="s">
        <v>6155</v>
      </c>
      <c r="BB102" s="101" t="s">
        <v>6156</v>
      </c>
      <c r="BC102" s="101" t="s">
        <v>6157</v>
      </c>
      <c r="BD102" s="101" t="s">
        <v>6158</v>
      </c>
      <c r="BE102" s="101" t="s">
        <v>6159</v>
      </c>
      <c r="BF102" s="101" t="s">
        <v>6160</v>
      </c>
      <c r="BG102" s="101" t="s">
        <v>6161</v>
      </c>
      <c r="BH102" s="101" t="s">
        <v>6162</v>
      </c>
      <c r="BI102" s="101" t="s">
        <v>6163</v>
      </c>
      <c r="BJ102" s="101" t="s">
        <v>6164</v>
      </c>
      <c r="BK102" s="101" t="s">
        <v>6165</v>
      </c>
      <c r="BL102" s="102" t="s">
        <v>6166</v>
      </c>
      <c r="BM102" s="100" t="s">
        <v>6151</v>
      </c>
      <c r="BN102" s="101" t="s">
        <v>6152</v>
      </c>
      <c r="BO102" s="101" t="s">
        <v>6153</v>
      </c>
      <c r="BP102" s="101" t="s">
        <v>6154</v>
      </c>
      <c r="BQ102" s="101" t="s">
        <v>6167</v>
      </c>
      <c r="BR102" s="101" t="s">
        <v>6156</v>
      </c>
      <c r="BS102" s="101" t="s">
        <v>6157</v>
      </c>
      <c r="BT102" s="101" t="s">
        <v>6158</v>
      </c>
      <c r="BU102" s="101" t="s">
        <v>6168</v>
      </c>
      <c r="BV102" s="101" t="s">
        <v>6160</v>
      </c>
      <c r="BW102" s="101" t="s">
        <v>6161</v>
      </c>
      <c r="BX102" s="101" t="s">
        <v>6169</v>
      </c>
      <c r="BY102" s="101" t="s">
        <v>6170</v>
      </c>
      <c r="BZ102" s="101" t="s">
        <v>6164</v>
      </c>
      <c r="CA102" s="101" t="s">
        <v>6165</v>
      </c>
      <c r="CB102" s="102" t="s">
        <v>6171</v>
      </c>
      <c r="CC102" s="100" t="s">
        <v>5539</v>
      </c>
      <c r="CD102" s="101" t="s">
        <v>5540</v>
      </c>
      <c r="CE102" s="101" t="s">
        <v>5541</v>
      </c>
      <c r="CF102" s="101" t="s">
        <v>5542</v>
      </c>
      <c r="CG102" s="101" t="s">
        <v>5543</v>
      </c>
      <c r="CH102" s="101" t="s">
        <v>5544</v>
      </c>
      <c r="CI102" s="101" t="s">
        <v>5545</v>
      </c>
      <c r="CJ102" s="101" t="s">
        <v>5546</v>
      </c>
      <c r="CK102" s="101" t="s">
        <v>5547</v>
      </c>
      <c r="CL102" s="101" t="s">
        <v>5548</v>
      </c>
      <c r="CM102" s="101" t="s">
        <v>5549</v>
      </c>
      <c r="CN102" s="101" t="s">
        <v>5550</v>
      </c>
      <c r="CO102" s="101" t="s">
        <v>5551</v>
      </c>
      <c r="CP102" s="101" t="s">
        <v>5552</v>
      </c>
      <c r="CQ102" s="101" t="s">
        <v>5553</v>
      </c>
      <c r="CR102" s="102" t="s">
        <v>5554</v>
      </c>
    </row>
    <row r="103">
      <c r="A103" s="103"/>
      <c r="B103" s="103"/>
      <c r="C103" s="103"/>
      <c r="D103" s="103"/>
      <c r="E103" s="103"/>
      <c r="F103" s="103"/>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5"/>
      <c r="AH103" s="106"/>
      <c r="AI103" s="106"/>
      <c r="AJ103" s="106"/>
      <c r="AK103" s="106"/>
      <c r="AL103" s="106"/>
      <c r="AM103" s="106"/>
      <c r="AN103" s="106"/>
      <c r="AO103" s="106"/>
      <c r="AP103" s="106"/>
      <c r="AQ103" s="106"/>
      <c r="AR103" s="106"/>
      <c r="AS103" s="106"/>
      <c r="AT103" s="106"/>
      <c r="AU103" s="106"/>
      <c r="AV103" s="107"/>
      <c r="AW103" s="100" t="s">
        <v>6172</v>
      </c>
      <c r="AX103" s="101" t="s">
        <v>6173</v>
      </c>
      <c r="AY103" s="101" t="s">
        <v>6174</v>
      </c>
      <c r="AZ103" s="101" t="s">
        <v>6175</v>
      </c>
      <c r="BA103" s="101" t="s">
        <v>6176</v>
      </c>
      <c r="BB103" s="101" t="s">
        <v>6177</v>
      </c>
      <c r="BC103" s="101" t="s">
        <v>6178</v>
      </c>
      <c r="BD103" s="101" t="s">
        <v>6179</v>
      </c>
      <c r="BE103" s="101" t="s">
        <v>6180</v>
      </c>
      <c r="BF103" s="101" t="s">
        <v>6181</v>
      </c>
      <c r="BG103" s="101" t="s">
        <v>6182</v>
      </c>
      <c r="BH103" s="101" t="s">
        <v>6183</v>
      </c>
      <c r="BI103" s="101" t="s">
        <v>6184</v>
      </c>
      <c r="BJ103" s="101" t="s">
        <v>6185</v>
      </c>
      <c r="BK103" s="101" t="s">
        <v>6186</v>
      </c>
      <c r="BL103" s="102" t="s">
        <v>6187</v>
      </c>
      <c r="BM103" s="100" t="s">
        <v>6172</v>
      </c>
      <c r="BN103" s="101" t="s">
        <v>6188</v>
      </c>
      <c r="BO103" s="101" t="s">
        <v>6174</v>
      </c>
      <c r="BP103" s="101" t="s">
        <v>6175</v>
      </c>
      <c r="BQ103" s="101" t="s">
        <v>6176</v>
      </c>
      <c r="BR103" s="101" t="s">
        <v>6177</v>
      </c>
      <c r="BS103" s="101" t="s">
        <v>6189</v>
      </c>
      <c r="BT103" s="101" t="s">
        <v>6179</v>
      </c>
      <c r="BU103" s="101" t="s">
        <v>6190</v>
      </c>
      <c r="BV103" s="101" t="s">
        <v>6181</v>
      </c>
      <c r="BW103" s="101" t="s">
        <v>6182</v>
      </c>
      <c r="BX103" s="101" t="s">
        <v>6191</v>
      </c>
      <c r="BY103" s="101" t="s">
        <v>6184</v>
      </c>
      <c r="BZ103" s="101" t="s">
        <v>6185</v>
      </c>
      <c r="CA103" s="101" t="s">
        <v>6192</v>
      </c>
      <c r="CB103" s="102" t="s">
        <v>6193</v>
      </c>
      <c r="CC103" s="100" t="s">
        <v>5607</v>
      </c>
      <c r="CD103" s="101" t="s">
        <v>5608</v>
      </c>
      <c r="CE103" s="101" t="s">
        <v>5609</v>
      </c>
      <c r="CF103" s="101" t="s">
        <v>5610</v>
      </c>
      <c r="CG103" s="101" t="s">
        <v>5611</v>
      </c>
      <c r="CH103" s="101" t="s">
        <v>5612</v>
      </c>
      <c r="CI103" s="101" t="s">
        <v>5613</v>
      </c>
      <c r="CJ103" s="101" t="s">
        <v>5614</v>
      </c>
      <c r="CK103" s="101" t="s">
        <v>5615</v>
      </c>
      <c r="CL103" s="101" t="s">
        <v>5616</v>
      </c>
      <c r="CM103" s="101" t="s">
        <v>5617</v>
      </c>
      <c r="CN103" s="101" t="s">
        <v>5618</v>
      </c>
      <c r="CO103" s="101" t="s">
        <v>5619</v>
      </c>
      <c r="CP103" s="101" t="s">
        <v>5620</v>
      </c>
      <c r="CQ103" s="101" t="s">
        <v>5621</v>
      </c>
      <c r="CR103" s="107"/>
    </row>
    <row r="104">
      <c r="A104" s="103"/>
      <c r="B104" s="103"/>
      <c r="C104" s="103"/>
      <c r="D104" s="103"/>
      <c r="E104" s="103"/>
      <c r="F104" s="103"/>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0" t="s">
        <v>6194</v>
      </c>
      <c r="AH104" s="101" t="s">
        <v>6195</v>
      </c>
      <c r="AI104" s="101" t="s">
        <v>6196</v>
      </c>
      <c r="AJ104" s="101" t="s">
        <v>6197</v>
      </c>
      <c r="AK104" s="101" t="s">
        <v>6198</v>
      </c>
      <c r="AL104" s="101" t="s">
        <v>6199</v>
      </c>
      <c r="AM104" s="101" t="s">
        <v>6200</v>
      </c>
      <c r="AN104" s="101" t="s">
        <v>6201</v>
      </c>
      <c r="AO104" s="101" t="s">
        <v>6202</v>
      </c>
      <c r="AP104" s="101" t="s">
        <v>6203</v>
      </c>
      <c r="AQ104" s="101" t="s">
        <v>6204</v>
      </c>
      <c r="AR104" s="101" t="s">
        <v>6205</v>
      </c>
      <c r="AS104" s="101" t="s">
        <v>6206</v>
      </c>
      <c r="AT104" s="101" t="s">
        <v>6207</v>
      </c>
      <c r="AU104" s="101" t="s">
        <v>6208</v>
      </c>
      <c r="AV104" s="102" t="s">
        <v>6209</v>
      </c>
      <c r="AW104" s="100" t="s">
        <v>6210</v>
      </c>
      <c r="AX104" s="101" t="s">
        <v>6211</v>
      </c>
      <c r="AY104" s="101" t="s">
        <v>6212</v>
      </c>
      <c r="AZ104" s="101" t="s">
        <v>6213</v>
      </c>
      <c r="BA104" s="101" t="s">
        <v>6214</v>
      </c>
      <c r="BB104" s="101" t="s">
        <v>6215</v>
      </c>
      <c r="BC104" s="101" t="s">
        <v>6216</v>
      </c>
      <c r="BD104" s="101" t="s">
        <v>6217</v>
      </c>
      <c r="BE104" s="101" t="s">
        <v>6218</v>
      </c>
      <c r="BF104" s="101" t="s">
        <v>6219</v>
      </c>
      <c r="BG104" s="101" t="s">
        <v>6220</v>
      </c>
      <c r="BH104" s="101" t="s">
        <v>6221</v>
      </c>
      <c r="BI104" s="101" t="s">
        <v>6222</v>
      </c>
      <c r="BJ104" s="101" t="s">
        <v>6223</v>
      </c>
      <c r="BK104" s="101" t="s">
        <v>6224</v>
      </c>
      <c r="BL104" s="102" t="s">
        <v>6225</v>
      </c>
      <c r="BM104" s="100" t="s">
        <v>6210</v>
      </c>
      <c r="BN104" s="101" t="s">
        <v>6226</v>
      </c>
      <c r="BO104" s="101" t="s">
        <v>6227</v>
      </c>
      <c r="BP104" s="101" t="s">
        <v>6213</v>
      </c>
      <c r="BQ104" s="101" t="s">
        <v>6214</v>
      </c>
      <c r="BR104" s="101" t="s">
        <v>6228</v>
      </c>
      <c r="BS104" s="101" t="s">
        <v>6229</v>
      </c>
      <c r="BT104" s="101" t="s">
        <v>6217</v>
      </c>
      <c r="BU104" s="101" t="s">
        <v>6230</v>
      </c>
      <c r="BV104" s="101" t="s">
        <v>6231</v>
      </c>
      <c r="BW104" s="101" t="s">
        <v>6232</v>
      </c>
      <c r="BX104" s="101" t="s">
        <v>6233</v>
      </c>
      <c r="BY104" s="101" t="s">
        <v>6234</v>
      </c>
      <c r="BZ104" s="101" t="s">
        <v>6235</v>
      </c>
      <c r="CA104" s="101" t="s">
        <v>6224</v>
      </c>
      <c r="CB104" s="102" t="s">
        <v>6225</v>
      </c>
      <c r="CC104" s="105"/>
      <c r="CD104" s="101" t="s">
        <v>5648</v>
      </c>
      <c r="CE104" s="101" t="s">
        <v>5649</v>
      </c>
      <c r="CF104" s="101" t="s">
        <v>5650</v>
      </c>
      <c r="CG104" s="101" t="s">
        <v>5651</v>
      </c>
      <c r="CH104" s="101" t="s">
        <v>5652</v>
      </c>
      <c r="CI104" s="101" t="s">
        <v>5653</v>
      </c>
      <c r="CJ104" s="101" t="s">
        <v>5654</v>
      </c>
      <c r="CK104" s="101" t="s">
        <v>5655</v>
      </c>
      <c r="CL104" s="101" t="s">
        <v>5656</v>
      </c>
      <c r="CM104" s="101" t="s">
        <v>5657</v>
      </c>
      <c r="CN104" s="101" t="s">
        <v>5658</v>
      </c>
      <c r="CO104" s="101" t="s">
        <v>5659</v>
      </c>
      <c r="CP104" s="101" t="s">
        <v>5660</v>
      </c>
      <c r="CQ104" s="101" t="s">
        <v>5661</v>
      </c>
      <c r="CR104" s="102" t="s">
        <v>5662</v>
      </c>
    </row>
    <row r="105">
      <c r="A105" s="103"/>
      <c r="B105" s="103"/>
      <c r="C105" s="103"/>
      <c r="D105" s="103"/>
      <c r="E105" s="103"/>
      <c r="F105" s="103"/>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0" t="s">
        <v>6236</v>
      </c>
      <c r="AH105" s="101" t="s">
        <v>6237</v>
      </c>
      <c r="AI105" s="101" t="s">
        <v>6238</v>
      </c>
      <c r="AJ105" s="101" t="s">
        <v>6239</v>
      </c>
      <c r="AK105" s="101" t="s">
        <v>6240</v>
      </c>
      <c r="AL105" s="101" t="s">
        <v>6241</v>
      </c>
      <c r="AM105" s="101" t="s">
        <v>6242</v>
      </c>
      <c r="AN105" s="101" t="s">
        <v>6243</v>
      </c>
      <c r="AO105" s="101" t="s">
        <v>6244</v>
      </c>
      <c r="AP105" s="101" t="s">
        <v>6245</v>
      </c>
      <c r="AQ105" s="101" t="s">
        <v>6246</v>
      </c>
      <c r="AR105" s="101" t="s">
        <v>6247</v>
      </c>
      <c r="AS105" s="101" t="s">
        <v>6248</v>
      </c>
      <c r="AT105" s="101" t="s">
        <v>6249</v>
      </c>
      <c r="AU105" s="101" t="s">
        <v>6250</v>
      </c>
      <c r="AV105" s="102" t="s">
        <v>6251</v>
      </c>
      <c r="AW105" s="100" t="s">
        <v>6252</v>
      </c>
      <c r="AX105" s="101" t="s">
        <v>6253</v>
      </c>
      <c r="AY105" s="101" t="s">
        <v>6254</v>
      </c>
      <c r="AZ105" s="101" t="s">
        <v>6255</v>
      </c>
      <c r="BA105" s="101" t="s">
        <v>6256</v>
      </c>
      <c r="BB105" s="101" t="s">
        <v>6257</v>
      </c>
      <c r="BC105" s="101" t="s">
        <v>6258</v>
      </c>
      <c r="BD105" s="101" t="s">
        <v>6259</v>
      </c>
      <c r="BE105" s="101" t="s">
        <v>6260</v>
      </c>
      <c r="BF105" s="101" t="s">
        <v>6261</v>
      </c>
      <c r="BG105" s="101" t="s">
        <v>6262</v>
      </c>
      <c r="BH105" s="101" t="s">
        <v>6263</v>
      </c>
      <c r="BI105" s="101" t="s">
        <v>6264</v>
      </c>
      <c r="BJ105" s="101" t="s">
        <v>6265</v>
      </c>
      <c r="BK105" s="101" t="s">
        <v>6266</v>
      </c>
      <c r="BL105" s="102" t="s">
        <v>6267</v>
      </c>
      <c r="BM105" s="100" t="s">
        <v>6252</v>
      </c>
      <c r="BN105" s="101" t="s">
        <v>6268</v>
      </c>
      <c r="BO105" s="101" t="s">
        <v>6254</v>
      </c>
      <c r="BP105" s="101" t="s">
        <v>6269</v>
      </c>
      <c r="BQ105" s="101" t="s">
        <v>6256</v>
      </c>
      <c r="BR105" s="101" t="s">
        <v>6257</v>
      </c>
      <c r="BS105" s="101" t="s">
        <v>6258</v>
      </c>
      <c r="BT105" s="101" t="s">
        <v>6270</v>
      </c>
      <c r="BU105" s="101" t="s">
        <v>6260</v>
      </c>
      <c r="BV105" s="101" t="s">
        <v>6271</v>
      </c>
      <c r="BW105" s="101" t="s">
        <v>6272</v>
      </c>
      <c r="BX105" s="101" t="s">
        <v>6273</v>
      </c>
      <c r="BY105" s="101" t="s">
        <v>6274</v>
      </c>
      <c r="BZ105" s="101" t="s">
        <v>6275</v>
      </c>
      <c r="CA105" s="101" t="s">
        <v>6276</v>
      </c>
      <c r="CB105" s="102" t="s">
        <v>6267</v>
      </c>
      <c r="CC105" s="100" t="s">
        <v>5688</v>
      </c>
      <c r="CD105" s="101" t="s">
        <v>5689</v>
      </c>
      <c r="CE105" s="101" t="s">
        <v>5690</v>
      </c>
      <c r="CF105" s="101" t="s">
        <v>5691</v>
      </c>
      <c r="CG105" s="101" t="s">
        <v>5692</v>
      </c>
      <c r="CH105" s="101" t="s">
        <v>5693</v>
      </c>
      <c r="CI105" s="101" t="s">
        <v>5694</v>
      </c>
      <c r="CJ105" s="101" t="s">
        <v>5695</v>
      </c>
      <c r="CK105" s="101" t="s">
        <v>5696</v>
      </c>
      <c r="CL105" s="101" t="s">
        <v>5697</v>
      </c>
      <c r="CM105" s="101" t="s">
        <v>5698</v>
      </c>
      <c r="CN105" s="101" t="s">
        <v>5699</v>
      </c>
      <c r="CO105" s="101" t="s">
        <v>5700</v>
      </c>
      <c r="CP105" s="101" t="s">
        <v>5701</v>
      </c>
      <c r="CQ105" s="101" t="s">
        <v>5702</v>
      </c>
      <c r="CR105" s="102" t="s">
        <v>5703</v>
      </c>
    </row>
    <row r="106">
      <c r="A106" s="103"/>
      <c r="B106" s="103"/>
      <c r="C106" s="103"/>
      <c r="D106" s="103"/>
      <c r="E106" s="103"/>
      <c r="F106" s="103"/>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0" t="s">
        <v>6277</v>
      </c>
      <c r="AH106" s="101" t="s">
        <v>6278</v>
      </c>
      <c r="AI106" s="101" t="s">
        <v>6279</v>
      </c>
      <c r="AJ106" s="101" t="s">
        <v>6280</v>
      </c>
      <c r="AK106" s="101" t="s">
        <v>6281</v>
      </c>
      <c r="AL106" s="101" t="s">
        <v>6282</v>
      </c>
      <c r="AM106" s="101" t="s">
        <v>6283</v>
      </c>
      <c r="AN106" s="101" t="s">
        <v>6284</v>
      </c>
      <c r="AO106" s="101" t="s">
        <v>6285</v>
      </c>
      <c r="AP106" s="101" t="s">
        <v>6286</v>
      </c>
      <c r="AQ106" s="101" t="s">
        <v>6287</v>
      </c>
      <c r="AR106" s="101" t="s">
        <v>6288</v>
      </c>
      <c r="AS106" s="101" t="s">
        <v>6289</v>
      </c>
      <c r="AT106" s="101" t="s">
        <v>6290</v>
      </c>
      <c r="AU106" s="101" t="s">
        <v>6291</v>
      </c>
      <c r="AV106" s="102" t="s">
        <v>6292</v>
      </c>
      <c r="AW106" s="100" t="s">
        <v>6293</v>
      </c>
      <c r="AX106" s="101" t="s">
        <v>6294</v>
      </c>
      <c r="AY106" s="101" t="s">
        <v>6295</v>
      </c>
      <c r="AZ106" s="101" t="s">
        <v>6296</v>
      </c>
      <c r="BA106" s="101" t="s">
        <v>6297</v>
      </c>
      <c r="BB106" s="101" t="s">
        <v>6298</v>
      </c>
      <c r="BC106" s="101" t="s">
        <v>6299</v>
      </c>
      <c r="BD106" s="101" t="s">
        <v>6300</v>
      </c>
      <c r="BE106" s="101" t="s">
        <v>6301</v>
      </c>
      <c r="BF106" s="101" t="s">
        <v>6302</v>
      </c>
      <c r="BG106" s="101" t="s">
        <v>6303</v>
      </c>
      <c r="BH106" s="101" t="s">
        <v>6304</v>
      </c>
      <c r="BI106" s="101" t="s">
        <v>6305</v>
      </c>
      <c r="BJ106" s="101" t="s">
        <v>6306</v>
      </c>
      <c r="BK106" s="101" t="s">
        <v>6307</v>
      </c>
      <c r="BL106" s="102" t="s">
        <v>6308</v>
      </c>
      <c r="BM106" s="100" t="s">
        <v>6309</v>
      </c>
      <c r="BN106" s="101" t="s">
        <v>6310</v>
      </c>
      <c r="BO106" s="101" t="s">
        <v>6295</v>
      </c>
      <c r="BP106" s="101" t="s">
        <v>6296</v>
      </c>
      <c r="BQ106" s="101" t="s">
        <v>6311</v>
      </c>
      <c r="BR106" s="101" t="s">
        <v>6312</v>
      </c>
      <c r="BS106" s="101" t="s">
        <v>6299</v>
      </c>
      <c r="BT106" s="101" t="s">
        <v>6300</v>
      </c>
      <c r="BU106" s="101" t="s">
        <v>6301</v>
      </c>
      <c r="BV106" s="101" t="s">
        <v>6302</v>
      </c>
      <c r="BW106" s="101" t="s">
        <v>6303</v>
      </c>
      <c r="BX106" s="101" t="s">
        <v>6304</v>
      </c>
      <c r="BY106" s="101" t="s">
        <v>6305</v>
      </c>
      <c r="BZ106" s="101" t="s">
        <v>6313</v>
      </c>
      <c r="CA106" s="101" t="s">
        <v>6307</v>
      </c>
      <c r="CB106" s="102" t="s">
        <v>6314</v>
      </c>
      <c r="CC106" s="100" t="s">
        <v>5728</v>
      </c>
      <c r="CD106" s="101" t="s">
        <v>5729</v>
      </c>
      <c r="CE106" s="101" t="s">
        <v>5730</v>
      </c>
      <c r="CF106" s="101" t="s">
        <v>5731</v>
      </c>
      <c r="CG106" s="101" t="s">
        <v>5732</v>
      </c>
      <c r="CH106" s="101" t="s">
        <v>5733</v>
      </c>
      <c r="CI106" s="101" t="s">
        <v>5734</v>
      </c>
      <c r="CJ106" s="101" t="s">
        <v>5735</v>
      </c>
      <c r="CK106" s="101" t="s">
        <v>5736</v>
      </c>
      <c r="CL106" s="101" t="s">
        <v>5737</v>
      </c>
      <c r="CM106" s="101" t="s">
        <v>5738</v>
      </c>
      <c r="CN106" s="101" t="s">
        <v>5739</v>
      </c>
      <c r="CO106" s="101" t="s">
        <v>5740</v>
      </c>
      <c r="CP106" s="101" t="s">
        <v>5741</v>
      </c>
      <c r="CQ106" s="101" t="s">
        <v>5742</v>
      </c>
      <c r="CR106" s="102" t="s">
        <v>5743</v>
      </c>
    </row>
    <row r="107">
      <c r="A107" s="103"/>
      <c r="B107" s="103"/>
      <c r="C107" s="103"/>
      <c r="D107" s="103"/>
      <c r="E107" s="103"/>
      <c r="F107" s="103"/>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0" t="s">
        <v>6315</v>
      </c>
      <c r="AH107" s="101" t="s">
        <v>6316</v>
      </c>
      <c r="AI107" s="101" t="s">
        <v>6317</v>
      </c>
      <c r="AJ107" s="101" t="s">
        <v>6318</v>
      </c>
      <c r="AK107" s="101" t="s">
        <v>6319</v>
      </c>
      <c r="AL107" s="101" t="s">
        <v>6320</v>
      </c>
      <c r="AM107" s="101" t="s">
        <v>6321</v>
      </c>
      <c r="AN107" s="101" t="s">
        <v>6322</v>
      </c>
      <c r="AO107" s="101" t="s">
        <v>6323</v>
      </c>
      <c r="AP107" s="101" t="s">
        <v>6324</v>
      </c>
      <c r="AQ107" s="101" t="s">
        <v>6325</v>
      </c>
      <c r="AR107" s="101" t="s">
        <v>6326</v>
      </c>
      <c r="AS107" s="101" t="s">
        <v>6327</v>
      </c>
      <c r="AT107" s="101" t="s">
        <v>6328</v>
      </c>
      <c r="AU107" s="101" t="s">
        <v>6329</v>
      </c>
      <c r="AV107" s="107"/>
      <c r="AW107" s="100" t="s">
        <v>6330</v>
      </c>
      <c r="AX107" s="101" t="s">
        <v>6331</v>
      </c>
      <c r="AY107" s="101" t="s">
        <v>6332</v>
      </c>
      <c r="AZ107" s="101" t="s">
        <v>6333</v>
      </c>
      <c r="BA107" s="101" t="s">
        <v>6334</v>
      </c>
      <c r="BB107" s="101" t="s">
        <v>6335</v>
      </c>
      <c r="BC107" s="101" t="s">
        <v>6336</v>
      </c>
      <c r="BD107" s="101" t="s">
        <v>6337</v>
      </c>
      <c r="BE107" s="101" t="s">
        <v>6338</v>
      </c>
      <c r="BF107" s="101" t="s">
        <v>6339</v>
      </c>
      <c r="BG107" s="101" t="s">
        <v>6340</v>
      </c>
      <c r="BH107" s="101" t="s">
        <v>6341</v>
      </c>
      <c r="BI107" s="101" t="s">
        <v>6342</v>
      </c>
      <c r="BJ107" s="101" t="s">
        <v>6343</v>
      </c>
      <c r="BK107" s="101" t="s">
        <v>6344</v>
      </c>
      <c r="BL107" s="102" t="s">
        <v>6345</v>
      </c>
      <c r="BM107" s="100" t="s">
        <v>6346</v>
      </c>
      <c r="BN107" s="101" t="s">
        <v>6331</v>
      </c>
      <c r="BO107" s="101" t="s">
        <v>6332</v>
      </c>
      <c r="BP107" s="101" t="s">
        <v>6333</v>
      </c>
      <c r="BQ107" s="101" t="s">
        <v>6347</v>
      </c>
      <c r="BR107" s="101" t="s">
        <v>6348</v>
      </c>
      <c r="BS107" s="101" t="s">
        <v>6336</v>
      </c>
      <c r="BT107" s="101" t="s">
        <v>6349</v>
      </c>
      <c r="BU107" s="101" t="s">
        <v>6338</v>
      </c>
      <c r="BV107" s="101" t="s">
        <v>6350</v>
      </c>
      <c r="BW107" s="101" t="s">
        <v>6351</v>
      </c>
      <c r="BX107" s="101" t="s">
        <v>6341</v>
      </c>
      <c r="BY107" s="101" t="s">
        <v>6352</v>
      </c>
      <c r="BZ107" s="101" t="s">
        <v>6353</v>
      </c>
      <c r="CA107" s="101" t="s">
        <v>6354</v>
      </c>
      <c r="CB107" s="102" t="s">
        <v>6355</v>
      </c>
      <c r="CC107" s="100" t="s">
        <v>5774</v>
      </c>
      <c r="CD107" s="101" t="s">
        <v>5775</v>
      </c>
      <c r="CE107" s="101" t="s">
        <v>5776</v>
      </c>
      <c r="CF107" s="101" t="s">
        <v>5777</v>
      </c>
      <c r="CG107" s="101" t="s">
        <v>5778</v>
      </c>
      <c r="CH107" s="101" t="s">
        <v>5779</v>
      </c>
      <c r="CI107" s="101" t="s">
        <v>5780</v>
      </c>
      <c r="CJ107" s="101" t="s">
        <v>5781</v>
      </c>
      <c r="CK107" s="101" t="s">
        <v>5782</v>
      </c>
      <c r="CL107" s="101" t="s">
        <v>5783</v>
      </c>
      <c r="CM107" s="101" t="s">
        <v>5784</v>
      </c>
      <c r="CN107" s="101" t="s">
        <v>5785</v>
      </c>
      <c r="CO107" s="101" t="s">
        <v>5786</v>
      </c>
      <c r="CP107" s="101" t="s">
        <v>5787</v>
      </c>
      <c r="CQ107" s="101" t="s">
        <v>5788</v>
      </c>
      <c r="CR107" s="102" t="s">
        <v>2142</v>
      </c>
    </row>
    <row r="108">
      <c r="A108" s="103"/>
      <c r="B108" s="103"/>
      <c r="C108" s="103"/>
      <c r="D108" s="103"/>
      <c r="E108" s="103"/>
      <c r="F108" s="103"/>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0" t="s">
        <v>6356</v>
      </c>
      <c r="AH108" s="101" t="s">
        <v>6357</v>
      </c>
      <c r="AI108" s="101" t="s">
        <v>6358</v>
      </c>
      <c r="AJ108" s="101" t="s">
        <v>6359</v>
      </c>
      <c r="AK108" s="101" t="s">
        <v>6360</v>
      </c>
      <c r="AL108" s="101" t="s">
        <v>6361</v>
      </c>
      <c r="AM108" s="101" t="s">
        <v>6362</v>
      </c>
      <c r="AN108" s="101" t="s">
        <v>6363</v>
      </c>
      <c r="AO108" s="101" t="s">
        <v>6364</v>
      </c>
      <c r="AP108" s="101" t="s">
        <v>6365</v>
      </c>
      <c r="AQ108" s="101" t="s">
        <v>6366</v>
      </c>
      <c r="AR108" s="101" t="s">
        <v>6367</v>
      </c>
      <c r="AS108" s="101" t="s">
        <v>6368</v>
      </c>
      <c r="AT108" s="101" t="s">
        <v>6369</v>
      </c>
      <c r="AU108" s="101" t="s">
        <v>6370</v>
      </c>
      <c r="AV108" s="102" t="s">
        <v>6371</v>
      </c>
      <c r="AW108" s="100" t="s">
        <v>6372</v>
      </c>
      <c r="AX108" s="101" t="s">
        <v>6373</v>
      </c>
      <c r="AY108" s="101" t="s">
        <v>6374</v>
      </c>
      <c r="AZ108" s="101" t="s">
        <v>6375</v>
      </c>
      <c r="BA108" s="101" t="s">
        <v>6376</v>
      </c>
      <c r="BB108" s="101" t="s">
        <v>6377</v>
      </c>
      <c r="BC108" s="101" t="s">
        <v>6378</v>
      </c>
      <c r="BD108" s="101" t="s">
        <v>6379</v>
      </c>
      <c r="BE108" s="101" t="s">
        <v>6380</v>
      </c>
      <c r="BF108" s="101" t="s">
        <v>6381</v>
      </c>
      <c r="BG108" s="101" t="s">
        <v>6382</v>
      </c>
      <c r="BH108" s="101" t="s">
        <v>6383</v>
      </c>
      <c r="BI108" s="101" t="s">
        <v>6384</v>
      </c>
      <c r="BJ108" s="101" t="s">
        <v>6385</v>
      </c>
      <c r="BK108" s="101" t="s">
        <v>6386</v>
      </c>
      <c r="BL108" s="102" t="s">
        <v>6387</v>
      </c>
      <c r="BM108" s="100" t="s">
        <v>6388</v>
      </c>
      <c r="BN108" s="101" t="s">
        <v>6389</v>
      </c>
      <c r="BO108" s="101" t="s">
        <v>6374</v>
      </c>
      <c r="BP108" s="101" t="s">
        <v>6375</v>
      </c>
      <c r="BQ108" s="101" t="s">
        <v>6376</v>
      </c>
      <c r="BR108" s="101" t="s">
        <v>6390</v>
      </c>
      <c r="BS108" s="101" t="s">
        <v>6391</v>
      </c>
      <c r="BT108" s="101" t="s">
        <v>6392</v>
      </c>
      <c r="BU108" s="101" t="s">
        <v>6380</v>
      </c>
      <c r="BV108" s="101" t="s">
        <v>6381</v>
      </c>
      <c r="BW108" s="101" t="s">
        <v>6393</v>
      </c>
      <c r="BX108" s="101" t="s">
        <v>6383</v>
      </c>
      <c r="BY108" s="101" t="s">
        <v>6384</v>
      </c>
      <c r="BZ108" s="101" t="s">
        <v>6394</v>
      </c>
      <c r="CA108" s="101" t="s">
        <v>6395</v>
      </c>
      <c r="CB108" s="102" t="s">
        <v>6396</v>
      </c>
      <c r="CC108" s="100" t="s">
        <v>5817</v>
      </c>
      <c r="CD108" s="101" t="s">
        <v>5818</v>
      </c>
      <c r="CE108" s="101" t="s">
        <v>5819</v>
      </c>
      <c r="CF108" s="101" t="s">
        <v>5820</v>
      </c>
      <c r="CG108" s="101" t="s">
        <v>5821</v>
      </c>
      <c r="CH108" s="101" t="s">
        <v>5822</v>
      </c>
      <c r="CI108" s="101" t="s">
        <v>5823</v>
      </c>
      <c r="CJ108" s="101" t="s">
        <v>5824</v>
      </c>
      <c r="CK108" s="101" t="s">
        <v>5825</v>
      </c>
      <c r="CL108" s="101" t="s">
        <v>5826</v>
      </c>
      <c r="CM108" s="101" t="s">
        <v>5827</v>
      </c>
      <c r="CN108" s="101" t="s">
        <v>5828</v>
      </c>
      <c r="CO108" s="101" t="s">
        <v>5829</v>
      </c>
      <c r="CP108" s="101" t="s">
        <v>5830</v>
      </c>
      <c r="CQ108" s="101" t="s">
        <v>5831</v>
      </c>
      <c r="CR108" s="102" t="s">
        <v>5832</v>
      </c>
    </row>
    <row r="109">
      <c r="A109" s="103"/>
      <c r="B109" s="103"/>
      <c r="C109" s="103"/>
      <c r="D109" s="103"/>
      <c r="E109" s="103"/>
      <c r="F109" s="103"/>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0" t="s">
        <v>6397</v>
      </c>
      <c r="AH109" s="101" t="s">
        <v>6398</v>
      </c>
      <c r="AI109" s="101" t="s">
        <v>6399</v>
      </c>
      <c r="AJ109" s="101" t="s">
        <v>6400</v>
      </c>
      <c r="AK109" s="101" t="s">
        <v>6401</v>
      </c>
      <c r="AL109" s="101" t="s">
        <v>6402</v>
      </c>
      <c r="AM109" s="101" t="s">
        <v>6403</v>
      </c>
      <c r="AN109" s="101" t="s">
        <v>6404</v>
      </c>
      <c r="AO109" s="101" t="s">
        <v>6405</v>
      </c>
      <c r="AP109" s="101" t="s">
        <v>6406</v>
      </c>
      <c r="AQ109" s="101" t="s">
        <v>6407</v>
      </c>
      <c r="AR109" s="101" t="s">
        <v>6408</v>
      </c>
      <c r="AS109" s="101" t="s">
        <v>6409</v>
      </c>
      <c r="AT109" s="101" t="s">
        <v>6410</v>
      </c>
      <c r="AU109" s="101" t="s">
        <v>6411</v>
      </c>
      <c r="AV109" s="102" t="s">
        <v>6412</v>
      </c>
      <c r="AW109" s="100" t="s">
        <v>6413</v>
      </c>
      <c r="AX109" s="101" t="s">
        <v>6414</v>
      </c>
      <c r="AY109" s="101" t="s">
        <v>6415</v>
      </c>
      <c r="AZ109" s="101" t="s">
        <v>6416</v>
      </c>
      <c r="BA109" s="101" t="s">
        <v>6417</v>
      </c>
      <c r="BB109" s="101" t="s">
        <v>6418</v>
      </c>
      <c r="BC109" s="101" t="s">
        <v>6419</v>
      </c>
      <c r="BD109" s="101" t="s">
        <v>6420</v>
      </c>
      <c r="BE109" s="101" t="s">
        <v>6421</v>
      </c>
      <c r="BF109" s="101" t="s">
        <v>6422</v>
      </c>
      <c r="BG109" s="101" t="s">
        <v>6423</v>
      </c>
      <c r="BH109" s="101" t="s">
        <v>6424</v>
      </c>
      <c r="BI109" s="101" t="s">
        <v>6425</v>
      </c>
      <c r="BJ109" s="101" t="s">
        <v>6426</v>
      </c>
      <c r="BK109" s="101" t="s">
        <v>6427</v>
      </c>
      <c r="BL109" s="102" t="s">
        <v>6428</v>
      </c>
      <c r="BM109" s="100" t="s">
        <v>6429</v>
      </c>
      <c r="BN109" s="101" t="s">
        <v>6414</v>
      </c>
      <c r="BO109" s="101" t="s">
        <v>6430</v>
      </c>
      <c r="BP109" s="101" t="s">
        <v>6416</v>
      </c>
      <c r="BQ109" s="101" t="s">
        <v>6417</v>
      </c>
      <c r="BR109" s="101" t="s">
        <v>6418</v>
      </c>
      <c r="BS109" s="101" t="s">
        <v>6431</v>
      </c>
      <c r="BT109" s="101" t="s">
        <v>6420</v>
      </c>
      <c r="BU109" s="101" t="s">
        <v>6421</v>
      </c>
      <c r="BV109" s="101" t="s">
        <v>6432</v>
      </c>
      <c r="BW109" s="101" t="s">
        <v>6423</v>
      </c>
      <c r="BX109" s="101" t="s">
        <v>6433</v>
      </c>
      <c r="BY109" s="101" t="s">
        <v>6425</v>
      </c>
      <c r="BZ109" s="101" t="s">
        <v>6434</v>
      </c>
      <c r="CA109" s="101" t="s">
        <v>6435</v>
      </c>
      <c r="CB109" s="102" t="s">
        <v>6436</v>
      </c>
      <c r="CC109" s="100" t="s">
        <v>5853</v>
      </c>
      <c r="CD109" s="101" t="s">
        <v>5854</v>
      </c>
      <c r="CE109" s="101" t="s">
        <v>5855</v>
      </c>
      <c r="CF109" s="101" t="s">
        <v>5856</v>
      </c>
      <c r="CG109" s="101" t="s">
        <v>5857</v>
      </c>
      <c r="CH109" s="101" t="s">
        <v>5858</v>
      </c>
      <c r="CI109" s="101" t="s">
        <v>5859</v>
      </c>
      <c r="CJ109" s="101" t="s">
        <v>5860</v>
      </c>
      <c r="CK109" s="101" t="s">
        <v>5861</v>
      </c>
      <c r="CL109" s="101" t="s">
        <v>5862</v>
      </c>
      <c r="CM109" s="101" t="s">
        <v>5863</v>
      </c>
      <c r="CN109" s="101" t="s">
        <v>5864</v>
      </c>
      <c r="CO109" s="101" t="s">
        <v>5865</v>
      </c>
      <c r="CP109" s="101" t="s">
        <v>5866</v>
      </c>
      <c r="CQ109" s="101" t="s">
        <v>5867</v>
      </c>
      <c r="CR109" s="107"/>
    </row>
    <row r="110">
      <c r="A110" s="103"/>
      <c r="B110" s="103"/>
      <c r="C110" s="103"/>
      <c r="D110" s="103"/>
      <c r="E110" s="103"/>
      <c r="F110" s="103"/>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0" t="s">
        <v>6437</v>
      </c>
      <c r="AH110" s="101" t="s">
        <v>6438</v>
      </c>
      <c r="AI110" s="101" t="s">
        <v>6439</v>
      </c>
      <c r="AJ110" s="101" t="s">
        <v>6440</v>
      </c>
      <c r="AK110" s="101" t="s">
        <v>6441</v>
      </c>
      <c r="AL110" s="101" t="s">
        <v>6442</v>
      </c>
      <c r="AM110" s="101" t="s">
        <v>6443</v>
      </c>
      <c r="AN110" s="101" t="s">
        <v>6444</v>
      </c>
      <c r="AO110" s="101" t="s">
        <v>6445</v>
      </c>
      <c r="AP110" s="101" t="s">
        <v>6446</v>
      </c>
      <c r="AQ110" s="101" t="s">
        <v>6447</v>
      </c>
      <c r="AR110" s="101" t="s">
        <v>6448</v>
      </c>
      <c r="AS110" s="101" t="s">
        <v>6449</v>
      </c>
      <c r="AT110" s="101" t="s">
        <v>6450</v>
      </c>
      <c r="AU110" s="101" t="s">
        <v>6451</v>
      </c>
      <c r="AV110" s="102" t="s">
        <v>6452</v>
      </c>
      <c r="AW110" s="100" t="s">
        <v>6453</v>
      </c>
      <c r="AX110" s="101" t="s">
        <v>6454</v>
      </c>
      <c r="AY110" s="101" t="s">
        <v>6455</v>
      </c>
      <c r="AZ110" s="101" t="s">
        <v>6456</v>
      </c>
      <c r="BA110" s="101" t="s">
        <v>6457</v>
      </c>
      <c r="BB110" s="101" t="s">
        <v>6458</v>
      </c>
      <c r="BC110" s="101" t="s">
        <v>6459</v>
      </c>
      <c r="BD110" s="101" t="s">
        <v>6460</v>
      </c>
      <c r="BE110" s="101" t="s">
        <v>6461</v>
      </c>
      <c r="BF110" s="101" t="s">
        <v>6462</v>
      </c>
      <c r="BG110" s="101" t="s">
        <v>6463</v>
      </c>
      <c r="BH110" s="101" t="s">
        <v>6464</v>
      </c>
      <c r="BI110" s="101" t="s">
        <v>6465</v>
      </c>
      <c r="BJ110" s="101" t="s">
        <v>6466</v>
      </c>
      <c r="BK110" s="101" t="s">
        <v>6467</v>
      </c>
      <c r="BL110" s="102" t="s">
        <v>6468</v>
      </c>
      <c r="BM110" s="100" t="s">
        <v>6453</v>
      </c>
      <c r="BN110" s="101" t="s">
        <v>6454</v>
      </c>
      <c r="BO110" s="101" t="s">
        <v>6469</v>
      </c>
      <c r="BP110" s="101" t="s">
        <v>6470</v>
      </c>
      <c r="BQ110" s="101" t="s">
        <v>6457</v>
      </c>
      <c r="BR110" s="101" t="s">
        <v>6458</v>
      </c>
      <c r="BS110" s="101" t="s">
        <v>6471</v>
      </c>
      <c r="BT110" s="101" t="s">
        <v>6472</v>
      </c>
      <c r="BU110" s="101" t="s">
        <v>6473</v>
      </c>
      <c r="BV110" s="101" t="s">
        <v>6462</v>
      </c>
      <c r="BW110" s="101" t="s">
        <v>6474</v>
      </c>
      <c r="BX110" s="101" t="s">
        <v>6475</v>
      </c>
      <c r="BY110" s="101" t="s">
        <v>6476</v>
      </c>
      <c r="BZ110" s="101" t="s">
        <v>6477</v>
      </c>
      <c r="CA110" s="101" t="s">
        <v>6467</v>
      </c>
      <c r="CB110" s="102" t="s">
        <v>6468</v>
      </c>
      <c r="CC110" s="105"/>
      <c r="CD110" s="101" t="s">
        <v>5887</v>
      </c>
      <c r="CE110" s="101" t="s">
        <v>5888</v>
      </c>
      <c r="CF110" s="101" t="s">
        <v>5889</v>
      </c>
      <c r="CG110" s="101" t="s">
        <v>5890</v>
      </c>
      <c r="CH110" s="101" t="s">
        <v>5891</v>
      </c>
      <c r="CI110" s="101" t="s">
        <v>5892</v>
      </c>
      <c r="CJ110" s="101" t="s">
        <v>5893</v>
      </c>
      <c r="CK110" s="101" t="s">
        <v>5894</v>
      </c>
      <c r="CL110" s="101" t="s">
        <v>5895</v>
      </c>
      <c r="CM110" s="101" t="s">
        <v>5896</v>
      </c>
      <c r="CN110" s="101" t="s">
        <v>5897</v>
      </c>
      <c r="CO110" s="101" t="s">
        <v>5898</v>
      </c>
      <c r="CP110" s="101" t="s">
        <v>5899</v>
      </c>
      <c r="CQ110" s="101" t="s">
        <v>5900</v>
      </c>
      <c r="CR110" s="102" t="s">
        <v>5901</v>
      </c>
    </row>
    <row r="111">
      <c r="A111" s="103"/>
      <c r="B111" s="103"/>
      <c r="C111" s="103"/>
      <c r="D111" s="103"/>
      <c r="E111" s="103"/>
      <c r="F111" s="103"/>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0" t="s">
        <v>6478</v>
      </c>
      <c r="AH111" s="101" t="s">
        <v>6479</v>
      </c>
      <c r="AI111" s="101" t="s">
        <v>6480</v>
      </c>
      <c r="AJ111" s="101" t="s">
        <v>6481</v>
      </c>
      <c r="AK111" s="101" t="s">
        <v>6482</v>
      </c>
      <c r="AL111" s="101" t="s">
        <v>6483</v>
      </c>
      <c r="AM111" s="101" t="s">
        <v>6484</v>
      </c>
      <c r="AN111" s="101" t="s">
        <v>6485</v>
      </c>
      <c r="AO111" s="101" t="s">
        <v>6486</v>
      </c>
      <c r="AP111" s="101" t="s">
        <v>6487</v>
      </c>
      <c r="AQ111" s="101" t="s">
        <v>6488</v>
      </c>
      <c r="AR111" s="101" t="s">
        <v>6489</v>
      </c>
      <c r="AS111" s="101" t="s">
        <v>6490</v>
      </c>
      <c r="AT111" s="101" t="s">
        <v>6491</v>
      </c>
      <c r="AU111" s="101" t="s">
        <v>6492</v>
      </c>
      <c r="AV111" s="102" t="s">
        <v>6493</v>
      </c>
      <c r="AW111" s="100" t="s">
        <v>6494</v>
      </c>
      <c r="AX111" s="101" t="s">
        <v>6495</v>
      </c>
      <c r="AY111" s="101" t="s">
        <v>6496</v>
      </c>
      <c r="AZ111" s="101" t="s">
        <v>6497</v>
      </c>
      <c r="BA111" s="101" t="s">
        <v>6498</v>
      </c>
      <c r="BB111" s="101" t="s">
        <v>6499</v>
      </c>
      <c r="BC111" s="101" t="s">
        <v>6500</v>
      </c>
      <c r="BD111" s="101" t="s">
        <v>6501</v>
      </c>
      <c r="BE111" s="101" t="s">
        <v>6502</v>
      </c>
      <c r="BF111" s="101" t="s">
        <v>6503</v>
      </c>
      <c r="BG111" s="101" t="s">
        <v>6504</v>
      </c>
      <c r="BH111" s="101" t="s">
        <v>6505</v>
      </c>
      <c r="BI111" s="101" t="s">
        <v>6506</v>
      </c>
      <c r="BJ111" s="101" t="s">
        <v>6507</v>
      </c>
      <c r="BK111" s="101" t="s">
        <v>6508</v>
      </c>
      <c r="BL111" s="102" t="s">
        <v>6509</v>
      </c>
      <c r="BM111" s="100" t="s">
        <v>6510</v>
      </c>
      <c r="BN111" s="101" t="s">
        <v>6511</v>
      </c>
      <c r="BO111" s="101" t="s">
        <v>6512</v>
      </c>
      <c r="BP111" s="101" t="s">
        <v>6513</v>
      </c>
      <c r="BQ111" s="101" t="s">
        <v>6514</v>
      </c>
      <c r="BR111" s="101" t="s">
        <v>6515</v>
      </c>
      <c r="BS111" s="101" t="s">
        <v>6516</v>
      </c>
      <c r="BT111" s="101" t="s">
        <v>6517</v>
      </c>
      <c r="BU111" s="101" t="s">
        <v>6518</v>
      </c>
      <c r="BV111" s="101" t="s">
        <v>6519</v>
      </c>
      <c r="BW111" s="101" t="s">
        <v>6520</v>
      </c>
      <c r="BX111" s="101" t="s">
        <v>6505</v>
      </c>
      <c r="BY111" s="101" t="s">
        <v>6506</v>
      </c>
      <c r="BZ111" s="101" t="s">
        <v>6507</v>
      </c>
      <c r="CA111" s="101" t="s">
        <v>6508</v>
      </c>
      <c r="CB111" s="102" t="s">
        <v>6509</v>
      </c>
      <c r="CC111" s="100" t="s">
        <v>5922</v>
      </c>
      <c r="CD111" s="101" t="s">
        <v>5923</v>
      </c>
      <c r="CE111" s="101" t="s">
        <v>5924</v>
      </c>
      <c r="CF111" s="101" t="s">
        <v>5925</v>
      </c>
      <c r="CG111" s="101" t="s">
        <v>5926</v>
      </c>
      <c r="CH111" s="101" t="s">
        <v>5927</v>
      </c>
      <c r="CI111" s="101" t="s">
        <v>5928</v>
      </c>
      <c r="CJ111" s="101" t="s">
        <v>5929</v>
      </c>
      <c r="CK111" s="101" t="s">
        <v>5930</v>
      </c>
      <c r="CL111" s="101" t="s">
        <v>5931</v>
      </c>
      <c r="CM111" s="101" t="s">
        <v>5932</v>
      </c>
      <c r="CN111" s="101" t="s">
        <v>5933</v>
      </c>
      <c r="CO111" s="101" t="s">
        <v>5934</v>
      </c>
      <c r="CP111" s="101" t="s">
        <v>5935</v>
      </c>
      <c r="CQ111" s="101" t="s">
        <v>5936</v>
      </c>
      <c r="CR111" s="102" t="s">
        <v>5937</v>
      </c>
    </row>
    <row r="112">
      <c r="A112" s="103"/>
      <c r="B112" s="103"/>
      <c r="C112" s="103"/>
      <c r="D112" s="103"/>
      <c r="E112" s="103"/>
      <c r="F112" s="103"/>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0" t="s">
        <v>6521</v>
      </c>
      <c r="AH112" s="101" t="s">
        <v>6522</v>
      </c>
      <c r="AI112" s="101" t="s">
        <v>6523</v>
      </c>
      <c r="AJ112" s="101" t="s">
        <v>6524</v>
      </c>
      <c r="AK112" s="101" t="s">
        <v>6525</v>
      </c>
      <c r="AL112" s="101" t="s">
        <v>6526</v>
      </c>
      <c r="AM112" s="101" t="s">
        <v>6527</v>
      </c>
      <c r="AN112" s="101" t="s">
        <v>6528</v>
      </c>
      <c r="AO112" s="101" t="s">
        <v>6529</v>
      </c>
      <c r="AP112" s="101" t="s">
        <v>6530</v>
      </c>
      <c r="AQ112" s="101" t="s">
        <v>6531</v>
      </c>
      <c r="AR112" s="101" t="s">
        <v>6532</v>
      </c>
      <c r="AS112" s="101" t="s">
        <v>6533</v>
      </c>
      <c r="AT112" s="101" t="s">
        <v>6534</v>
      </c>
      <c r="AU112" s="101" t="s">
        <v>6535</v>
      </c>
      <c r="AV112" s="102" t="s">
        <v>6536</v>
      </c>
      <c r="AW112" s="100" t="s">
        <v>6537</v>
      </c>
      <c r="AX112" s="101" t="s">
        <v>6538</v>
      </c>
      <c r="AY112" s="101" t="s">
        <v>6539</v>
      </c>
      <c r="AZ112" s="101" t="s">
        <v>6540</v>
      </c>
      <c r="BA112" s="101" t="s">
        <v>6541</v>
      </c>
      <c r="BB112" s="101" t="s">
        <v>6542</v>
      </c>
      <c r="BC112" s="101" t="s">
        <v>6543</v>
      </c>
      <c r="BD112" s="101" t="s">
        <v>6544</v>
      </c>
      <c r="BE112" s="101" t="s">
        <v>6545</v>
      </c>
      <c r="BF112" s="101" t="s">
        <v>6546</v>
      </c>
      <c r="BG112" s="101" t="s">
        <v>6547</v>
      </c>
      <c r="BH112" s="101" t="s">
        <v>6548</v>
      </c>
      <c r="BI112" s="101" t="s">
        <v>6549</v>
      </c>
      <c r="BJ112" s="101" t="s">
        <v>6550</v>
      </c>
      <c r="BK112" s="101" t="s">
        <v>6551</v>
      </c>
      <c r="BL112" s="102" t="s">
        <v>6552</v>
      </c>
      <c r="BM112" s="100" t="s">
        <v>6537</v>
      </c>
      <c r="BN112" s="101" t="s">
        <v>6538</v>
      </c>
      <c r="BO112" s="101" t="s">
        <v>6539</v>
      </c>
      <c r="BP112" s="101" t="s">
        <v>6553</v>
      </c>
      <c r="BQ112" s="101" t="s">
        <v>6541</v>
      </c>
      <c r="BR112" s="101" t="s">
        <v>6542</v>
      </c>
      <c r="BS112" s="101" t="s">
        <v>6543</v>
      </c>
      <c r="BT112" s="101" t="s">
        <v>6544</v>
      </c>
      <c r="BU112" s="101" t="s">
        <v>6545</v>
      </c>
      <c r="BV112" s="101" t="s">
        <v>6546</v>
      </c>
      <c r="BW112" s="101" t="s">
        <v>6547</v>
      </c>
      <c r="BX112" s="101" t="s">
        <v>6548</v>
      </c>
      <c r="BY112" s="101" t="s">
        <v>6549</v>
      </c>
      <c r="BZ112" s="101" t="s">
        <v>6554</v>
      </c>
      <c r="CA112" s="101" t="s">
        <v>6551</v>
      </c>
      <c r="CB112" s="102" t="s">
        <v>6552</v>
      </c>
      <c r="CC112" s="100" t="s">
        <v>5959</v>
      </c>
      <c r="CD112" s="101" t="s">
        <v>5960</v>
      </c>
      <c r="CE112" s="101" t="s">
        <v>5961</v>
      </c>
      <c r="CF112" s="101" t="s">
        <v>5962</v>
      </c>
      <c r="CG112" s="101" t="s">
        <v>5963</v>
      </c>
      <c r="CH112" s="101" t="s">
        <v>5964</v>
      </c>
      <c r="CI112" s="101" t="s">
        <v>5965</v>
      </c>
      <c r="CJ112" s="101" t="s">
        <v>5966</v>
      </c>
      <c r="CK112" s="101" t="s">
        <v>5967</v>
      </c>
      <c r="CL112" s="101" t="s">
        <v>5968</v>
      </c>
      <c r="CM112" s="101" t="s">
        <v>5969</v>
      </c>
      <c r="CN112" s="101" t="s">
        <v>5970</v>
      </c>
      <c r="CO112" s="101" t="s">
        <v>5971</v>
      </c>
      <c r="CP112" s="101" t="s">
        <v>5972</v>
      </c>
      <c r="CQ112" s="101" t="s">
        <v>5973</v>
      </c>
      <c r="CR112" s="102" t="s">
        <v>5974</v>
      </c>
    </row>
    <row r="113">
      <c r="A113" s="103"/>
      <c r="B113" s="103"/>
      <c r="C113" s="103"/>
      <c r="D113" s="103"/>
      <c r="E113" s="103"/>
      <c r="F113" s="103"/>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10" t="s">
        <v>6555</v>
      </c>
      <c r="AH113" s="111" t="s">
        <v>6556</v>
      </c>
      <c r="AI113" s="111" t="s">
        <v>6557</v>
      </c>
      <c r="AJ113" s="111" t="s">
        <v>6558</v>
      </c>
      <c r="AK113" s="111" t="s">
        <v>6559</v>
      </c>
      <c r="AL113" s="111" t="s">
        <v>6560</v>
      </c>
      <c r="AM113" s="111" t="s">
        <v>6561</v>
      </c>
      <c r="AN113" s="111" t="s">
        <v>6562</v>
      </c>
      <c r="AO113" s="111" t="s">
        <v>6563</v>
      </c>
      <c r="AP113" s="111" t="s">
        <v>6564</v>
      </c>
      <c r="AQ113" s="111" t="s">
        <v>6565</v>
      </c>
      <c r="AR113" s="111" t="s">
        <v>6566</v>
      </c>
      <c r="AS113" s="111" t="s">
        <v>6567</v>
      </c>
      <c r="AT113" s="111" t="s">
        <v>6568</v>
      </c>
      <c r="AU113" s="111" t="s">
        <v>6569</v>
      </c>
      <c r="AV113" s="115"/>
      <c r="AW113" s="110" t="s">
        <v>6570</v>
      </c>
      <c r="AX113" s="111" t="s">
        <v>6571</v>
      </c>
      <c r="AY113" s="111" t="s">
        <v>6572</v>
      </c>
      <c r="AZ113" s="111" t="s">
        <v>6573</v>
      </c>
      <c r="BA113" s="111" t="s">
        <v>6574</v>
      </c>
      <c r="BB113" s="111" t="s">
        <v>6575</v>
      </c>
      <c r="BC113" s="111" t="s">
        <v>6576</v>
      </c>
      <c r="BD113" s="111" t="s">
        <v>6577</v>
      </c>
      <c r="BE113" s="111" t="s">
        <v>6578</v>
      </c>
      <c r="BF113" s="111" t="s">
        <v>6579</v>
      </c>
      <c r="BG113" s="111" t="s">
        <v>6580</v>
      </c>
      <c r="BH113" s="111" t="s">
        <v>6581</v>
      </c>
      <c r="BI113" s="111" t="s">
        <v>6582</v>
      </c>
      <c r="BJ113" s="111" t="s">
        <v>6583</v>
      </c>
      <c r="BK113" s="111" t="s">
        <v>6584</v>
      </c>
      <c r="BL113" s="112" t="s">
        <v>6585</v>
      </c>
      <c r="BM113" s="110" t="s">
        <v>6570</v>
      </c>
      <c r="BN113" s="111" t="s">
        <v>6571</v>
      </c>
      <c r="BO113" s="111" t="s">
        <v>6572</v>
      </c>
      <c r="BP113" s="111" t="s">
        <v>6586</v>
      </c>
      <c r="BQ113" s="111" t="s">
        <v>6574</v>
      </c>
      <c r="BR113" s="111" t="s">
        <v>6575</v>
      </c>
      <c r="BS113" s="111" t="s">
        <v>6576</v>
      </c>
      <c r="BT113" s="111" t="s">
        <v>6577</v>
      </c>
      <c r="BU113" s="111" t="s">
        <v>6578</v>
      </c>
      <c r="BV113" s="111" t="s">
        <v>6579</v>
      </c>
      <c r="BW113" s="111" t="s">
        <v>6580</v>
      </c>
      <c r="BX113" s="111" t="s">
        <v>6581</v>
      </c>
      <c r="BY113" s="111" t="s">
        <v>6582</v>
      </c>
      <c r="BZ113" s="111" t="s">
        <v>6583</v>
      </c>
      <c r="CA113" s="111" t="s">
        <v>6584</v>
      </c>
      <c r="CB113" s="112" t="s">
        <v>6585</v>
      </c>
      <c r="CC113" s="110"/>
      <c r="CD113" s="111"/>
      <c r="CE113" s="111"/>
      <c r="CF113" s="111"/>
      <c r="CG113" s="111"/>
      <c r="CH113" s="111"/>
      <c r="CI113" s="111"/>
      <c r="CJ113" s="111"/>
      <c r="CK113" s="111"/>
      <c r="CL113" s="111"/>
      <c r="CM113" s="111"/>
      <c r="CN113" s="111"/>
      <c r="CO113" s="111"/>
      <c r="CP113" s="111"/>
      <c r="CQ113" s="111"/>
      <c r="CR113" s="112"/>
    </row>
    <row r="114">
      <c r="A114" s="103"/>
      <c r="B114" s="103"/>
      <c r="C114" s="103"/>
      <c r="D114" s="103"/>
      <c r="E114" s="103"/>
      <c r="F114" s="103"/>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96"/>
      <c r="AH114" s="97" t="s">
        <v>6587</v>
      </c>
      <c r="AI114" s="97" t="s">
        <v>6588</v>
      </c>
      <c r="AJ114" s="97" t="s">
        <v>6589</v>
      </c>
      <c r="AK114" s="97" t="s">
        <v>6590</v>
      </c>
      <c r="AL114" s="97" t="s">
        <v>6591</v>
      </c>
      <c r="AM114" s="97" t="s">
        <v>6592</v>
      </c>
      <c r="AN114" s="97" t="s">
        <v>6593</v>
      </c>
      <c r="AO114" s="97" t="s">
        <v>6594</v>
      </c>
      <c r="AP114" s="97" t="s">
        <v>6595</v>
      </c>
      <c r="AQ114" s="97" t="s">
        <v>6596</v>
      </c>
      <c r="AR114" s="97" t="s">
        <v>6597</v>
      </c>
      <c r="AS114" s="97" t="s">
        <v>6598</v>
      </c>
      <c r="AT114" s="97" t="s">
        <v>6599</v>
      </c>
      <c r="AU114" s="97" t="s">
        <v>6600</v>
      </c>
      <c r="AV114" s="98" t="s">
        <v>6601</v>
      </c>
      <c r="AW114" s="99" t="s">
        <v>6602</v>
      </c>
      <c r="AX114" s="97" t="s">
        <v>6603</v>
      </c>
      <c r="AY114" s="97" t="s">
        <v>6604</v>
      </c>
      <c r="AZ114" s="97" t="s">
        <v>6605</v>
      </c>
      <c r="BA114" s="97" t="s">
        <v>6606</v>
      </c>
      <c r="BB114" s="97" t="s">
        <v>6607</v>
      </c>
      <c r="BC114" s="97" t="s">
        <v>6608</v>
      </c>
      <c r="BD114" s="97" t="s">
        <v>6609</v>
      </c>
      <c r="BE114" s="97" t="s">
        <v>6610</v>
      </c>
      <c r="BF114" s="97" t="s">
        <v>6611</v>
      </c>
      <c r="BG114" s="97" t="s">
        <v>6612</v>
      </c>
      <c r="BH114" s="97" t="s">
        <v>6613</v>
      </c>
      <c r="BI114" s="97" t="s">
        <v>6614</v>
      </c>
      <c r="BJ114" s="97" t="s">
        <v>6615</v>
      </c>
      <c r="BK114" s="97" t="s">
        <v>6616</v>
      </c>
      <c r="BL114" s="98" t="s">
        <v>6617</v>
      </c>
      <c r="BM114" s="99" t="s">
        <v>6602</v>
      </c>
      <c r="BN114" s="97" t="s">
        <v>6603</v>
      </c>
      <c r="BO114" s="97" t="s">
        <v>6604</v>
      </c>
      <c r="BP114" s="97" t="s">
        <v>6605</v>
      </c>
      <c r="BQ114" s="97" t="s">
        <v>6606</v>
      </c>
      <c r="BR114" s="97" t="s">
        <v>6618</v>
      </c>
      <c r="BS114" s="97" t="s">
        <v>6608</v>
      </c>
      <c r="BT114" s="97" t="s">
        <v>6609</v>
      </c>
      <c r="BU114" s="97" t="s">
        <v>6610</v>
      </c>
      <c r="BV114" s="97" t="s">
        <v>6611</v>
      </c>
      <c r="BW114" s="97" t="s">
        <v>6619</v>
      </c>
      <c r="BX114" s="97" t="s">
        <v>6613</v>
      </c>
      <c r="BY114" s="97" t="s">
        <v>6614</v>
      </c>
      <c r="BZ114" s="97" t="s">
        <v>6615</v>
      </c>
      <c r="CA114" s="97" t="s">
        <v>6620</v>
      </c>
      <c r="CB114" s="98" t="s">
        <v>6617</v>
      </c>
      <c r="CC114" s="99" t="s">
        <v>5995</v>
      </c>
      <c r="CD114" s="97" t="s">
        <v>5996</v>
      </c>
      <c r="CE114" s="97" t="s">
        <v>5997</v>
      </c>
      <c r="CF114" s="97" t="s">
        <v>5998</v>
      </c>
      <c r="CG114" s="97" t="s">
        <v>5999</v>
      </c>
      <c r="CH114" s="97" t="s">
        <v>6000</v>
      </c>
      <c r="CI114" s="97" t="s">
        <v>6001</v>
      </c>
      <c r="CJ114" s="97" t="s">
        <v>6002</v>
      </c>
      <c r="CK114" s="97" t="s">
        <v>6003</v>
      </c>
      <c r="CL114" s="97" t="s">
        <v>6004</v>
      </c>
      <c r="CM114" s="97" t="s">
        <v>6005</v>
      </c>
      <c r="CN114" s="97" t="s">
        <v>6006</v>
      </c>
      <c r="CO114" s="97" t="s">
        <v>6007</v>
      </c>
      <c r="CP114" s="97" t="s">
        <v>6008</v>
      </c>
      <c r="CQ114" s="97" t="s">
        <v>6009</v>
      </c>
      <c r="CR114" s="98" t="s">
        <v>6010</v>
      </c>
    </row>
    <row r="115">
      <c r="A115" s="103"/>
      <c r="B115" s="103"/>
      <c r="C115" s="103"/>
      <c r="D115" s="103"/>
      <c r="E115" s="103"/>
      <c r="F115" s="103"/>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0" t="s">
        <v>6621</v>
      </c>
      <c r="AH115" s="101" t="s">
        <v>6622</v>
      </c>
      <c r="AI115" s="101" t="s">
        <v>6623</v>
      </c>
      <c r="AJ115" s="101" t="s">
        <v>6624</v>
      </c>
      <c r="AK115" s="101" t="s">
        <v>6625</v>
      </c>
      <c r="AL115" s="101" t="s">
        <v>6626</v>
      </c>
      <c r="AM115" s="101" t="s">
        <v>6627</v>
      </c>
      <c r="AN115" s="101" t="s">
        <v>6628</v>
      </c>
      <c r="AO115" s="101" t="s">
        <v>6629</v>
      </c>
      <c r="AP115" s="101" t="s">
        <v>6630</v>
      </c>
      <c r="AQ115" s="101" t="s">
        <v>6631</v>
      </c>
      <c r="AR115" s="101" t="s">
        <v>6632</v>
      </c>
      <c r="AS115" s="101" t="s">
        <v>6633</v>
      </c>
      <c r="AT115" s="101" t="s">
        <v>6634</v>
      </c>
      <c r="AU115" s="101" t="s">
        <v>6635</v>
      </c>
      <c r="AV115" s="102" t="s">
        <v>6636</v>
      </c>
      <c r="AW115" s="100" t="s">
        <v>6637</v>
      </c>
      <c r="AX115" s="101" t="s">
        <v>6638</v>
      </c>
      <c r="AY115" s="101" t="s">
        <v>6639</v>
      </c>
      <c r="AZ115" s="101" t="s">
        <v>6640</v>
      </c>
      <c r="BA115" s="101" t="s">
        <v>6641</v>
      </c>
      <c r="BB115" s="101" t="s">
        <v>6642</v>
      </c>
      <c r="BC115" s="101" t="s">
        <v>6643</v>
      </c>
      <c r="BD115" s="101" t="s">
        <v>6644</v>
      </c>
      <c r="BE115" s="101" t="s">
        <v>6645</v>
      </c>
      <c r="BF115" s="101" t="s">
        <v>6646</v>
      </c>
      <c r="BG115" s="101" t="s">
        <v>6647</v>
      </c>
      <c r="BH115" s="101" t="s">
        <v>6648</v>
      </c>
      <c r="BI115" s="101" t="s">
        <v>6649</v>
      </c>
      <c r="BJ115" s="101" t="s">
        <v>6650</v>
      </c>
      <c r="BK115" s="101" t="s">
        <v>6651</v>
      </c>
      <c r="BL115" s="102" t="s">
        <v>6652</v>
      </c>
      <c r="BM115" s="100" t="s">
        <v>6637</v>
      </c>
      <c r="BN115" s="101" t="s">
        <v>6638</v>
      </c>
      <c r="BO115" s="101" t="s">
        <v>6639</v>
      </c>
      <c r="BP115" s="101" t="s">
        <v>6640</v>
      </c>
      <c r="BQ115" s="101" t="s">
        <v>6641</v>
      </c>
      <c r="BR115" s="101" t="s">
        <v>6642</v>
      </c>
      <c r="BS115" s="101" t="s">
        <v>6653</v>
      </c>
      <c r="BT115" s="101" t="s">
        <v>6644</v>
      </c>
      <c r="BU115" s="101" t="s">
        <v>6645</v>
      </c>
      <c r="BV115" s="101" t="s">
        <v>6646</v>
      </c>
      <c r="BW115" s="101" t="s">
        <v>6647</v>
      </c>
      <c r="BX115" s="101" t="s">
        <v>6654</v>
      </c>
      <c r="BY115" s="101" t="s">
        <v>6649</v>
      </c>
      <c r="BZ115" s="101" t="s">
        <v>6650</v>
      </c>
      <c r="CA115" s="101" t="s">
        <v>6651</v>
      </c>
      <c r="CB115" s="102" t="s">
        <v>6652</v>
      </c>
      <c r="CC115" s="100" t="s">
        <v>6029</v>
      </c>
      <c r="CD115" s="101" t="s">
        <v>6030</v>
      </c>
      <c r="CE115" s="101" t="s">
        <v>6031</v>
      </c>
      <c r="CF115" s="101" t="s">
        <v>6032</v>
      </c>
      <c r="CG115" s="101" t="s">
        <v>6033</v>
      </c>
      <c r="CH115" s="101" t="s">
        <v>6034</v>
      </c>
      <c r="CI115" s="101" t="s">
        <v>6035</v>
      </c>
      <c r="CJ115" s="101" t="s">
        <v>6036</v>
      </c>
      <c r="CK115" s="101" t="s">
        <v>6037</v>
      </c>
      <c r="CL115" s="101" t="s">
        <v>6038</v>
      </c>
      <c r="CM115" s="101" t="s">
        <v>6039</v>
      </c>
      <c r="CN115" s="101" t="s">
        <v>6040</v>
      </c>
      <c r="CO115" s="101" t="s">
        <v>6041</v>
      </c>
      <c r="CP115" s="101" t="s">
        <v>6042</v>
      </c>
      <c r="CQ115" s="101" t="s">
        <v>6043</v>
      </c>
      <c r="CR115" s="102" t="s">
        <v>6044</v>
      </c>
    </row>
    <row r="116">
      <c r="A116" s="103"/>
      <c r="B116" s="103"/>
      <c r="C116" s="103"/>
      <c r="D116" s="103"/>
      <c r="E116" s="103"/>
      <c r="F116" s="103"/>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0" t="s">
        <v>6655</v>
      </c>
      <c r="AH116" s="101" t="s">
        <v>6656</v>
      </c>
      <c r="AI116" s="101" t="s">
        <v>6657</v>
      </c>
      <c r="AJ116" s="101" t="s">
        <v>6658</v>
      </c>
      <c r="AK116" s="101" t="s">
        <v>6659</v>
      </c>
      <c r="AL116" s="101" t="s">
        <v>6660</v>
      </c>
      <c r="AM116" s="101" t="s">
        <v>6661</v>
      </c>
      <c r="AN116" s="101" t="s">
        <v>6662</v>
      </c>
      <c r="AO116" s="101" t="s">
        <v>6663</v>
      </c>
      <c r="AP116" s="101" t="s">
        <v>6664</v>
      </c>
      <c r="AQ116" s="101" t="s">
        <v>6665</v>
      </c>
      <c r="AR116" s="101" t="s">
        <v>6666</v>
      </c>
      <c r="AS116" s="101" t="s">
        <v>6667</v>
      </c>
      <c r="AT116" s="101" t="s">
        <v>6668</v>
      </c>
      <c r="AU116" s="101" t="s">
        <v>6669</v>
      </c>
      <c r="AV116" s="102" t="s">
        <v>6670</v>
      </c>
      <c r="AW116" s="100" t="s">
        <v>6671</v>
      </c>
      <c r="AX116" s="101" t="s">
        <v>6672</v>
      </c>
      <c r="AY116" s="101" t="s">
        <v>6673</v>
      </c>
      <c r="AZ116" s="101" t="s">
        <v>6674</v>
      </c>
      <c r="BA116" s="101" t="s">
        <v>6675</v>
      </c>
      <c r="BB116" s="101" t="s">
        <v>6676</v>
      </c>
      <c r="BC116" s="101" t="s">
        <v>6677</v>
      </c>
      <c r="BD116" s="101" t="s">
        <v>6678</v>
      </c>
      <c r="BE116" s="101" t="s">
        <v>6679</v>
      </c>
      <c r="BF116" s="101" t="s">
        <v>6680</v>
      </c>
      <c r="BG116" s="101" t="s">
        <v>6681</v>
      </c>
      <c r="BH116" s="101" t="s">
        <v>6682</v>
      </c>
      <c r="BI116" s="101" t="s">
        <v>6683</v>
      </c>
      <c r="BJ116" s="101" t="s">
        <v>6684</v>
      </c>
      <c r="BK116" s="101" t="s">
        <v>6685</v>
      </c>
      <c r="BL116" s="102" t="s">
        <v>6686</v>
      </c>
      <c r="BM116" s="100" t="s">
        <v>6671</v>
      </c>
      <c r="BN116" s="101" t="s">
        <v>6672</v>
      </c>
      <c r="BO116" s="101" t="s">
        <v>6673</v>
      </c>
      <c r="BP116" s="101" t="s">
        <v>6674</v>
      </c>
      <c r="BQ116" s="101" t="s">
        <v>6687</v>
      </c>
      <c r="BR116" s="101" t="s">
        <v>6676</v>
      </c>
      <c r="BS116" s="101" t="s">
        <v>6688</v>
      </c>
      <c r="BT116" s="101" t="s">
        <v>6678</v>
      </c>
      <c r="BU116" s="101" t="s">
        <v>6679</v>
      </c>
      <c r="BV116" s="101" t="s">
        <v>6680</v>
      </c>
      <c r="BW116" s="101" t="s">
        <v>6681</v>
      </c>
      <c r="BX116" s="101" t="s">
        <v>6682</v>
      </c>
      <c r="BY116" s="101" t="s">
        <v>6683</v>
      </c>
      <c r="BZ116" s="101" t="s">
        <v>6684</v>
      </c>
      <c r="CA116" s="101" t="s">
        <v>6685</v>
      </c>
      <c r="CB116" s="102" t="s">
        <v>6686</v>
      </c>
      <c r="CC116" s="100" t="s">
        <v>6064</v>
      </c>
      <c r="CD116" s="101" t="s">
        <v>6065</v>
      </c>
      <c r="CE116" s="101" t="s">
        <v>6066</v>
      </c>
      <c r="CF116" s="101" t="s">
        <v>6067</v>
      </c>
      <c r="CG116" s="101" t="s">
        <v>6068</v>
      </c>
      <c r="CH116" s="101" t="s">
        <v>6069</v>
      </c>
      <c r="CI116" s="101" t="s">
        <v>6070</v>
      </c>
      <c r="CJ116" s="101" t="s">
        <v>6071</v>
      </c>
      <c r="CK116" s="101" t="s">
        <v>6072</v>
      </c>
      <c r="CL116" s="101" t="s">
        <v>6073</v>
      </c>
      <c r="CM116" s="101" t="s">
        <v>6074</v>
      </c>
      <c r="CN116" s="101" t="s">
        <v>6075</v>
      </c>
      <c r="CO116" s="101" t="s">
        <v>6076</v>
      </c>
      <c r="CP116" s="101" t="s">
        <v>6077</v>
      </c>
      <c r="CQ116" s="101" t="s">
        <v>6078</v>
      </c>
      <c r="CR116" s="102" t="s">
        <v>6079</v>
      </c>
    </row>
    <row r="117">
      <c r="A117" s="103"/>
      <c r="B117" s="103"/>
      <c r="C117" s="103"/>
      <c r="D117" s="103"/>
      <c r="E117" s="103"/>
      <c r="F117" s="103"/>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0" t="s">
        <v>6689</v>
      </c>
      <c r="AH117" s="101" t="s">
        <v>6690</v>
      </c>
      <c r="AI117" s="101" t="s">
        <v>6691</v>
      </c>
      <c r="AJ117" s="101" t="s">
        <v>6692</v>
      </c>
      <c r="AK117" s="101" t="s">
        <v>6693</v>
      </c>
      <c r="AL117" s="101" t="s">
        <v>6694</v>
      </c>
      <c r="AM117" s="101" t="s">
        <v>6695</v>
      </c>
      <c r="AN117" s="101" t="s">
        <v>6696</v>
      </c>
      <c r="AO117" s="101" t="s">
        <v>6697</v>
      </c>
      <c r="AP117" s="101" t="s">
        <v>6698</v>
      </c>
      <c r="AQ117" s="101" t="s">
        <v>6699</v>
      </c>
      <c r="AR117" s="101" t="s">
        <v>6700</v>
      </c>
      <c r="AS117" s="101" t="s">
        <v>6701</v>
      </c>
      <c r="AT117" s="101" t="s">
        <v>6702</v>
      </c>
      <c r="AU117" s="101" t="s">
        <v>6703</v>
      </c>
      <c r="AV117" s="102" t="s">
        <v>6704</v>
      </c>
      <c r="AW117" s="100" t="s">
        <v>6705</v>
      </c>
      <c r="AX117" s="101" t="s">
        <v>6706</v>
      </c>
      <c r="AY117" s="101" t="s">
        <v>6707</v>
      </c>
      <c r="AZ117" s="101" t="s">
        <v>6708</v>
      </c>
      <c r="BA117" s="101" t="s">
        <v>6709</v>
      </c>
      <c r="BB117" s="101" t="s">
        <v>6710</v>
      </c>
      <c r="BC117" s="101" t="s">
        <v>6711</v>
      </c>
      <c r="BD117" s="101" t="s">
        <v>6712</v>
      </c>
      <c r="BE117" s="101" t="s">
        <v>6713</v>
      </c>
      <c r="BF117" s="101" t="s">
        <v>6714</v>
      </c>
      <c r="BG117" s="101" t="s">
        <v>6715</v>
      </c>
      <c r="BH117" s="101" t="s">
        <v>6716</v>
      </c>
      <c r="BI117" s="101" t="s">
        <v>6717</v>
      </c>
      <c r="BJ117" s="101" t="s">
        <v>6718</v>
      </c>
      <c r="BK117" s="101" t="s">
        <v>6719</v>
      </c>
      <c r="BL117" s="102" t="s">
        <v>6720</v>
      </c>
      <c r="BM117" s="100" t="s">
        <v>6705</v>
      </c>
      <c r="BN117" s="101" t="s">
        <v>6706</v>
      </c>
      <c r="BO117" s="101" t="s">
        <v>6721</v>
      </c>
      <c r="BP117" s="101" t="s">
        <v>6722</v>
      </c>
      <c r="BQ117" s="101" t="s">
        <v>6709</v>
      </c>
      <c r="BR117" s="101" t="s">
        <v>6710</v>
      </c>
      <c r="BS117" s="101" t="s">
        <v>6723</v>
      </c>
      <c r="BT117" s="101" t="s">
        <v>6712</v>
      </c>
      <c r="BU117" s="101" t="s">
        <v>6713</v>
      </c>
      <c r="BV117" s="101" t="s">
        <v>6714</v>
      </c>
      <c r="BW117" s="101" t="s">
        <v>6715</v>
      </c>
      <c r="BX117" s="101" t="s">
        <v>6716</v>
      </c>
      <c r="BY117" s="101" t="s">
        <v>6724</v>
      </c>
      <c r="BZ117" s="101" t="s">
        <v>6718</v>
      </c>
      <c r="CA117" s="101" t="s">
        <v>6719</v>
      </c>
      <c r="CB117" s="102" t="s">
        <v>6720</v>
      </c>
      <c r="CC117" s="100" t="s">
        <v>6099</v>
      </c>
      <c r="CD117" s="101" t="s">
        <v>6100</v>
      </c>
      <c r="CE117" s="101" t="s">
        <v>6101</v>
      </c>
      <c r="CF117" s="101" t="s">
        <v>6102</v>
      </c>
      <c r="CG117" s="101" t="s">
        <v>6103</v>
      </c>
      <c r="CH117" s="101" t="s">
        <v>6104</v>
      </c>
      <c r="CI117" s="101" t="s">
        <v>6105</v>
      </c>
      <c r="CJ117" s="101" t="s">
        <v>6106</v>
      </c>
      <c r="CK117" s="101" t="s">
        <v>6107</v>
      </c>
      <c r="CL117" s="101" t="s">
        <v>6108</v>
      </c>
      <c r="CM117" s="101" t="s">
        <v>6109</v>
      </c>
      <c r="CN117" s="101" t="s">
        <v>6110</v>
      </c>
      <c r="CO117" s="101" t="s">
        <v>6111</v>
      </c>
      <c r="CP117" s="101" t="s">
        <v>6112</v>
      </c>
      <c r="CQ117" s="101" t="s">
        <v>6113</v>
      </c>
      <c r="CR117" s="102" t="s">
        <v>6114</v>
      </c>
    </row>
    <row r="118">
      <c r="A118" s="103"/>
      <c r="B118" s="103"/>
      <c r="C118" s="103"/>
      <c r="D118" s="103"/>
      <c r="E118" s="103"/>
      <c r="F118" s="103"/>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0" t="s">
        <v>6725</v>
      </c>
      <c r="AH118" s="101" t="s">
        <v>6726</v>
      </c>
      <c r="AI118" s="101" t="s">
        <v>6727</v>
      </c>
      <c r="AJ118" s="101" t="s">
        <v>6728</v>
      </c>
      <c r="AK118" s="101" t="s">
        <v>6729</v>
      </c>
      <c r="AL118" s="101" t="s">
        <v>6730</v>
      </c>
      <c r="AM118" s="101" t="s">
        <v>6731</v>
      </c>
      <c r="AN118" s="101" t="s">
        <v>6732</v>
      </c>
      <c r="AO118" s="101" t="s">
        <v>6733</v>
      </c>
      <c r="AP118" s="101" t="s">
        <v>6734</v>
      </c>
      <c r="AQ118" s="101" t="s">
        <v>6735</v>
      </c>
      <c r="AR118" s="101" t="s">
        <v>6736</v>
      </c>
      <c r="AS118" s="101" t="s">
        <v>6737</v>
      </c>
      <c r="AT118" s="101" t="s">
        <v>6738</v>
      </c>
      <c r="AU118" s="101" t="s">
        <v>6739</v>
      </c>
      <c r="AV118" s="102" t="s">
        <v>6740</v>
      </c>
      <c r="AW118" s="100" t="s">
        <v>6741</v>
      </c>
      <c r="AX118" s="101" t="s">
        <v>6742</v>
      </c>
      <c r="AY118" s="101" t="s">
        <v>6743</v>
      </c>
      <c r="AZ118" s="101" t="s">
        <v>6744</v>
      </c>
      <c r="BA118" s="101" t="s">
        <v>6745</v>
      </c>
      <c r="BB118" s="101" t="s">
        <v>6746</v>
      </c>
      <c r="BC118" s="101" t="s">
        <v>6747</v>
      </c>
      <c r="BD118" s="101" t="s">
        <v>6748</v>
      </c>
      <c r="BE118" s="101" t="s">
        <v>6749</v>
      </c>
      <c r="BF118" s="101" t="s">
        <v>6750</v>
      </c>
      <c r="BG118" s="101" t="s">
        <v>6751</v>
      </c>
      <c r="BH118" s="101" t="s">
        <v>6752</v>
      </c>
      <c r="BI118" s="101" t="s">
        <v>6753</v>
      </c>
      <c r="BJ118" s="101" t="s">
        <v>6754</v>
      </c>
      <c r="BK118" s="101" t="s">
        <v>6755</v>
      </c>
      <c r="BL118" s="102" t="s">
        <v>6756</v>
      </c>
      <c r="BM118" s="100" t="s">
        <v>6757</v>
      </c>
      <c r="BN118" s="101" t="s">
        <v>6758</v>
      </c>
      <c r="BO118" s="101" t="s">
        <v>6759</v>
      </c>
      <c r="BP118" s="101" t="s">
        <v>6744</v>
      </c>
      <c r="BQ118" s="101" t="s">
        <v>6745</v>
      </c>
      <c r="BR118" s="101" t="s">
        <v>6746</v>
      </c>
      <c r="BS118" s="101" t="s">
        <v>6747</v>
      </c>
      <c r="BT118" s="101" t="s">
        <v>6760</v>
      </c>
      <c r="BU118" s="101" t="s">
        <v>6749</v>
      </c>
      <c r="BV118" s="101" t="s">
        <v>6750</v>
      </c>
      <c r="BW118" s="101" t="s">
        <v>6751</v>
      </c>
      <c r="BX118" s="101" t="s">
        <v>6752</v>
      </c>
      <c r="BY118" s="101" t="s">
        <v>6761</v>
      </c>
      <c r="BZ118" s="101" t="s">
        <v>6762</v>
      </c>
      <c r="CA118" s="101" t="s">
        <v>6755</v>
      </c>
      <c r="CB118" s="102" t="s">
        <v>6763</v>
      </c>
      <c r="CC118" s="100" t="s">
        <v>6135</v>
      </c>
      <c r="CD118" s="101" t="s">
        <v>6136</v>
      </c>
      <c r="CE118" s="101" t="s">
        <v>6137</v>
      </c>
      <c r="CF118" s="101" t="s">
        <v>6138</v>
      </c>
      <c r="CG118" s="101" t="s">
        <v>6139</v>
      </c>
      <c r="CH118" s="101" t="s">
        <v>6140</v>
      </c>
      <c r="CI118" s="101" t="s">
        <v>6141</v>
      </c>
      <c r="CJ118" s="101" t="s">
        <v>6142</v>
      </c>
      <c r="CK118" s="101" t="s">
        <v>6143</v>
      </c>
      <c r="CL118" s="101" t="s">
        <v>6144</v>
      </c>
      <c r="CM118" s="101" t="s">
        <v>6145</v>
      </c>
      <c r="CN118" s="101" t="s">
        <v>6146</v>
      </c>
      <c r="CO118" s="101" t="s">
        <v>6147</v>
      </c>
      <c r="CP118" s="101" t="s">
        <v>6148</v>
      </c>
      <c r="CQ118" s="101" t="s">
        <v>6149</v>
      </c>
      <c r="CR118" s="102" t="s">
        <v>6150</v>
      </c>
    </row>
    <row r="119">
      <c r="A119" s="103"/>
      <c r="B119" s="103"/>
      <c r="C119" s="103"/>
      <c r="D119" s="103"/>
      <c r="E119" s="103"/>
      <c r="F119" s="103"/>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5"/>
      <c r="AH119" s="106"/>
      <c r="AI119" s="106"/>
      <c r="AJ119" s="106"/>
      <c r="AK119" s="106"/>
      <c r="AL119" s="106"/>
      <c r="AM119" s="106"/>
      <c r="AN119" s="106"/>
      <c r="AO119" s="106"/>
      <c r="AP119" s="106"/>
      <c r="AQ119" s="106"/>
      <c r="AR119" s="106"/>
      <c r="AS119" s="106"/>
      <c r="AT119" s="106"/>
      <c r="AU119" s="106"/>
      <c r="AV119" s="107"/>
      <c r="AW119" s="100" t="s">
        <v>6764</v>
      </c>
      <c r="AX119" s="101" t="s">
        <v>6765</v>
      </c>
      <c r="AY119" s="101" t="s">
        <v>6766</v>
      </c>
      <c r="AZ119" s="101" t="s">
        <v>6767</v>
      </c>
      <c r="BA119" s="101" t="s">
        <v>6768</v>
      </c>
      <c r="BB119" s="101" t="s">
        <v>6769</v>
      </c>
      <c r="BC119" s="101" t="s">
        <v>6770</v>
      </c>
      <c r="BD119" s="101" t="s">
        <v>6771</v>
      </c>
      <c r="BE119" s="101" t="s">
        <v>6772</v>
      </c>
      <c r="BF119" s="101" t="s">
        <v>6773</v>
      </c>
      <c r="BG119" s="101" t="s">
        <v>6774</v>
      </c>
      <c r="BH119" s="101" t="s">
        <v>6775</v>
      </c>
      <c r="BI119" s="101" t="s">
        <v>6776</v>
      </c>
      <c r="BJ119" s="101" t="s">
        <v>6777</v>
      </c>
      <c r="BK119" s="101" t="s">
        <v>6778</v>
      </c>
      <c r="BL119" s="102" t="s">
        <v>6779</v>
      </c>
      <c r="BM119" s="100" t="s">
        <v>6764</v>
      </c>
      <c r="BN119" s="101" t="s">
        <v>6765</v>
      </c>
      <c r="BO119" s="101" t="s">
        <v>6780</v>
      </c>
      <c r="BP119" s="101" t="s">
        <v>6767</v>
      </c>
      <c r="BQ119" s="101" t="s">
        <v>6781</v>
      </c>
      <c r="BR119" s="101" t="s">
        <v>6769</v>
      </c>
      <c r="BS119" s="101" t="s">
        <v>6782</v>
      </c>
      <c r="BT119" s="101" t="s">
        <v>6771</v>
      </c>
      <c r="BU119" s="101" t="s">
        <v>6783</v>
      </c>
      <c r="BV119" s="101" t="s">
        <v>6784</v>
      </c>
      <c r="BW119" s="101" t="s">
        <v>6774</v>
      </c>
      <c r="BX119" s="101" t="s">
        <v>6775</v>
      </c>
      <c r="BY119" s="101" t="s">
        <v>6776</v>
      </c>
      <c r="BZ119" s="101" t="s">
        <v>6777</v>
      </c>
      <c r="CA119" s="101" t="s">
        <v>6778</v>
      </c>
      <c r="CB119" s="102" t="s">
        <v>6779</v>
      </c>
      <c r="CC119" s="100" t="s">
        <v>6194</v>
      </c>
      <c r="CD119" s="101" t="s">
        <v>6195</v>
      </c>
      <c r="CE119" s="101" t="s">
        <v>6196</v>
      </c>
      <c r="CF119" s="101" t="s">
        <v>6197</v>
      </c>
      <c r="CG119" s="101" t="s">
        <v>6198</v>
      </c>
      <c r="CH119" s="101" t="s">
        <v>6199</v>
      </c>
      <c r="CI119" s="101" t="s">
        <v>6200</v>
      </c>
      <c r="CJ119" s="101" t="s">
        <v>6201</v>
      </c>
      <c r="CK119" s="101" t="s">
        <v>6202</v>
      </c>
      <c r="CL119" s="101" t="s">
        <v>6203</v>
      </c>
      <c r="CM119" s="101" t="s">
        <v>6204</v>
      </c>
      <c r="CN119" s="101" t="s">
        <v>6205</v>
      </c>
      <c r="CO119" s="101" t="s">
        <v>6206</v>
      </c>
      <c r="CP119" s="101" t="s">
        <v>6207</v>
      </c>
      <c r="CQ119" s="101" t="s">
        <v>6208</v>
      </c>
      <c r="CR119" s="102" t="s">
        <v>6209</v>
      </c>
    </row>
    <row r="120">
      <c r="A120" s="103"/>
      <c r="B120" s="103"/>
      <c r="C120" s="103"/>
      <c r="D120" s="103"/>
      <c r="E120" s="103"/>
      <c r="F120" s="103"/>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0" t="s">
        <v>6785</v>
      </c>
      <c r="AH120" s="101" t="s">
        <v>6786</v>
      </c>
      <c r="AI120" s="101" t="s">
        <v>6787</v>
      </c>
      <c r="AJ120" s="101" t="s">
        <v>6788</v>
      </c>
      <c r="AK120" s="101" t="s">
        <v>6789</v>
      </c>
      <c r="AL120" s="101" t="s">
        <v>6790</v>
      </c>
      <c r="AM120" s="101" t="s">
        <v>6791</v>
      </c>
      <c r="AN120" s="101" t="s">
        <v>6792</v>
      </c>
      <c r="AO120" s="101" t="s">
        <v>6793</v>
      </c>
      <c r="AP120" s="101" t="s">
        <v>6794</v>
      </c>
      <c r="AQ120" s="101" t="s">
        <v>6795</v>
      </c>
      <c r="AR120" s="101" t="s">
        <v>6796</v>
      </c>
      <c r="AS120" s="101" t="s">
        <v>6797</v>
      </c>
      <c r="AT120" s="101" t="s">
        <v>6798</v>
      </c>
      <c r="AU120" s="101" t="s">
        <v>6799</v>
      </c>
      <c r="AV120" s="107"/>
      <c r="AW120" s="100" t="s">
        <v>6800</v>
      </c>
      <c r="AX120" s="101" t="s">
        <v>6801</v>
      </c>
      <c r="AY120" s="101" t="s">
        <v>6802</v>
      </c>
      <c r="AZ120" s="101" t="s">
        <v>6803</v>
      </c>
      <c r="BA120" s="101" t="s">
        <v>6804</v>
      </c>
      <c r="BB120" s="101" t="s">
        <v>6805</v>
      </c>
      <c r="BC120" s="101" t="s">
        <v>6806</v>
      </c>
      <c r="BD120" s="101" t="s">
        <v>6807</v>
      </c>
      <c r="BE120" s="101" t="s">
        <v>6808</v>
      </c>
      <c r="BF120" s="101" t="s">
        <v>6809</v>
      </c>
      <c r="BG120" s="101" t="s">
        <v>6810</v>
      </c>
      <c r="BH120" s="101" t="s">
        <v>6811</v>
      </c>
      <c r="BI120" s="101" t="s">
        <v>6812</v>
      </c>
      <c r="BJ120" s="101" t="s">
        <v>6813</v>
      </c>
      <c r="BK120" s="101" t="s">
        <v>6814</v>
      </c>
      <c r="BL120" s="102" t="s">
        <v>6815</v>
      </c>
      <c r="BM120" s="100" t="s">
        <v>6816</v>
      </c>
      <c r="BN120" s="101" t="s">
        <v>6817</v>
      </c>
      <c r="BO120" s="101" t="s">
        <v>6802</v>
      </c>
      <c r="BP120" s="101" t="s">
        <v>6818</v>
      </c>
      <c r="BQ120" s="101" t="s">
        <v>6804</v>
      </c>
      <c r="BR120" s="101" t="s">
        <v>6805</v>
      </c>
      <c r="BS120" s="101" t="s">
        <v>6806</v>
      </c>
      <c r="BT120" s="101" t="s">
        <v>6819</v>
      </c>
      <c r="BU120" s="101" t="s">
        <v>6808</v>
      </c>
      <c r="BV120" s="101" t="s">
        <v>6809</v>
      </c>
      <c r="BW120" s="101" t="s">
        <v>6810</v>
      </c>
      <c r="BX120" s="101" t="s">
        <v>6811</v>
      </c>
      <c r="BY120" s="101" t="s">
        <v>6812</v>
      </c>
      <c r="BZ120" s="101" t="s">
        <v>6813</v>
      </c>
      <c r="CA120" s="101" t="s">
        <v>6820</v>
      </c>
      <c r="CB120" s="102" t="s">
        <v>6821</v>
      </c>
      <c r="CC120" s="100" t="s">
        <v>6236</v>
      </c>
      <c r="CD120" s="101" t="s">
        <v>6237</v>
      </c>
      <c r="CE120" s="101" t="s">
        <v>6238</v>
      </c>
      <c r="CF120" s="101" t="s">
        <v>6239</v>
      </c>
      <c r="CG120" s="101" t="s">
        <v>6240</v>
      </c>
      <c r="CH120" s="101" t="s">
        <v>6241</v>
      </c>
      <c r="CI120" s="101" t="s">
        <v>6242</v>
      </c>
      <c r="CJ120" s="101" t="s">
        <v>6243</v>
      </c>
      <c r="CK120" s="101" t="s">
        <v>6244</v>
      </c>
      <c r="CL120" s="101" t="s">
        <v>6245</v>
      </c>
      <c r="CM120" s="101" t="s">
        <v>6246</v>
      </c>
      <c r="CN120" s="101" t="s">
        <v>6247</v>
      </c>
      <c r="CO120" s="101" t="s">
        <v>6248</v>
      </c>
      <c r="CP120" s="101" t="s">
        <v>6249</v>
      </c>
      <c r="CQ120" s="101" t="s">
        <v>6250</v>
      </c>
      <c r="CR120" s="102" t="s">
        <v>6251</v>
      </c>
    </row>
    <row r="121">
      <c r="A121" s="103"/>
      <c r="B121" s="103"/>
      <c r="C121" s="103"/>
      <c r="D121" s="103"/>
      <c r="E121" s="103"/>
      <c r="F121" s="103"/>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5"/>
      <c r="AH121" s="101" t="s">
        <v>6822</v>
      </c>
      <c r="AI121" s="101" t="s">
        <v>6823</v>
      </c>
      <c r="AJ121" s="101" t="s">
        <v>6824</v>
      </c>
      <c r="AK121" s="101" t="s">
        <v>6825</v>
      </c>
      <c r="AL121" s="101" t="s">
        <v>6826</v>
      </c>
      <c r="AM121" s="101" t="s">
        <v>6827</v>
      </c>
      <c r="AN121" s="101" t="s">
        <v>6828</v>
      </c>
      <c r="AO121" s="101" t="s">
        <v>6829</v>
      </c>
      <c r="AP121" s="101" t="s">
        <v>6830</v>
      </c>
      <c r="AQ121" s="101" t="s">
        <v>6831</v>
      </c>
      <c r="AR121" s="101" t="s">
        <v>6832</v>
      </c>
      <c r="AS121" s="101" t="s">
        <v>6833</v>
      </c>
      <c r="AT121" s="101" t="s">
        <v>6834</v>
      </c>
      <c r="AU121" s="101" t="s">
        <v>6835</v>
      </c>
      <c r="AV121" s="102" t="s">
        <v>6836</v>
      </c>
      <c r="AW121" s="100" t="s">
        <v>6837</v>
      </c>
      <c r="AX121" s="101" t="s">
        <v>6838</v>
      </c>
      <c r="AY121" s="101" t="s">
        <v>6839</v>
      </c>
      <c r="AZ121" s="101" t="s">
        <v>6840</v>
      </c>
      <c r="BA121" s="101" t="s">
        <v>6841</v>
      </c>
      <c r="BB121" s="101" t="s">
        <v>6842</v>
      </c>
      <c r="BC121" s="101" t="s">
        <v>6843</v>
      </c>
      <c r="BD121" s="101" t="s">
        <v>6844</v>
      </c>
      <c r="BE121" s="101" t="s">
        <v>6845</v>
      </c>
      <c r="BF121" s="101" t="s">
        <v>6846</v>
      </c>
      <c r="BG121" s="101" t="s">
        <v>6847</v>
      </c>
      <c r="BH121" s="101" t="s">
        <v>6848</v>
      </c>
      <c r="BI121" s="101" t="s">
        <v>6849</v>
      </c>
      <c r="BJ121" s="101" t="s">
        <v>6850</v>
      </c>
      <c r="BK121" s="101" t="s">
        <v>6851</v>
      </c>
      <c r="BL121" s="102" t="s">
        <v>6852</v>
      </c>
      <c r="BM121" s="100" t="s">
        <v>6837</v>
      </c>
      <c r="BN121" s="101" t="s">
        <v>6838</v>
      </c>
      <c r="BO121" s="101" t="s">
        <v>6839</v>
      </c>
      <c r="BP121" s="101" t="s">
        <v>6853</v>
      </c>
      <c r="BQ121" s="101" t="s">
        <v>6841</v>
      </c>
      <c r="BR121" s="101" t="s">
        <v>6842</v>
      </c>
      <c r="BS121" s="101" t="s">
        <v>6854</v>
      </c>
      <c r="BT121" s="101" t="s">
        <v>6844</v>
      </c>
      <c r="BU121" s="101" t="s">
        <v>6845</v>
      </c>
      <c r="BV121" s="101" t="s">
        <v>6855</v>
      </c>
      <c r="BW121" s="101" t="s">
        <v>6856</v>
      </c>
      <c r="BX121" s="101" t="s">
        <v>6848</v>
      </c>
      <c r="BY121" s="101" t="s">
        <v>6849</v>
      </c>
      <c r="BZ121" s="101" t="s">
        <v>6850</v>
      </c>
      <c r="CA121" s="101" t="s">
        <v>6851</v>
      </c>
      <c r="CB121" s="102" t="s">
        <v>6852</v>
      </c>
      <c r="CC121" s="100" t="s">
        <v>6277</v>
      </c>
      <c r="CD121" s="101" t="s">
        <v>6278</v>
      </c>
      <c r="CE121" s="101" t="s">
        <v>6279</v>
      </c>
      <c r="CF121" s="101" t="s">
        <v>6280</v>
      </c>
      <c r="CG121" s="101" t="s">
        <v>6281</v>
      </c>
      <c r="CH121" s="101" t="s">
        <v>6282</v>
      </c>
      <c r="CI121" s="101" t="s">
        <v>6283</v>
      </c>
      <c r="CJ121" s="101" t="s">
        <v>6284</v>
      </c>
      <c r="CK121" s="101" t="s">
        <v>6285</v>
      </c>
      <c r="CL121" s="101" t="s">
        <v>6286</v>
      </c>
      <c r="CM121" s="101" t="s">
        <v>6287</v>
      </c>
      <c r="CN121" s="101" t="s">
        <v>6288</v>
      </c>
      <c r="CO121" s="101" t="s">
        <v>6289</v>
      </c>
      <c r="CP121" s="101" t="s">
        <v>6290</v>
      </c>
      <c r="CQ121" s="101" t="s">
        <v>6291</v>
      </c>
      <c r="CR121" s="102" t="s">
        <v>6292</v>
      </c>
    </row>
    <row r="122">
      <c r="A122" s="103"/>
      <c r="B122" s="103"/>
      <c r="C122" s="103"/>
      <c r="D122" s="103"/>
      <c r="E122" s="103"/>
      <c r="F122" s="103"/>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0" t="s">
        <v>6857</v>
      </c>
      <c r="AH122" s="101" t="s">
        <v>6858</v>
      </c>
      <c r="AI122" s="101" t="s">
        <v>6859</v>
      </c>
      <c r="AJ122" s="101" t="s">
        <v>6860</v>
      </c>
      <c r="AK122" s="101" t="s">
        <v>6861</v>
      </c>
      <c r="AL122" s="101" t="s">
        <v>6862</v>
      </c>
      <c r="AM122" s="101" t="s">
        <v>6863</v>
      </c>
      <c r="AN122" s="101" t="s">
        <v>6864</v>
      </c>
      <c r="AO122" s="101" t="s">
        <v>6865</v>
      </c>
      <c r="AP122" s="101" t="s">
        <v>6866</v>
      </c>
      <c r="AQ122" s="101" t="s">
        <v>704</v>
      </c>
      <c r="AR122" s="101" t="s">
        <v>6867</v>
      </c>
      <c r="AS122" s="101" t="s">
        <v>6868</v>
      </c>
      <c r="AT122" s="101" t="s">
        <v>6869</v>
      </c>
      <c r="AU122" s="101" t="s">
        <v>6870</v>
      </c>
      <c r="AV122" s="102" t="s">
        <v>6871</v>
      </c>
      <c r="AW122" s="100" t="s">
        <v>6872</v>
      </c>
      <c r="AX122" s="101" t="s">
        <v>6873</v>
      </c>
      <c r="AY122" s="101" t="s">
        <v>6874</v>
      </c>
      <c r="AZ122" s="101" t="s">
        <v>6875</v>
      </c>
      <c r="BA122" s="101" t="s">
        <v>6876</v>
      </c>
      <c r="BB122" s="101" t="s">
        <v>6877</v>
      </c>
      <c r="BC122" s="101" t="s">
        <v>6878</v>
      </c>
      <c r="BD122" s="101" t="s">
        <v>6879</v>
      </c>
      <c r="BE122" s="101" t="s">
        <v>6880</v>
      </c>
      <c r="BF122" s="101" t="s">
        <v>6881</v>
      </c>
      <c r="BG122" s="101" t="s">
        <v>6882</v>
      </c>
      <c r="BH122" s="101" t="s">
        <v>6883</v>
      </c>
      <c r="BI122" s="101" t="s">
        <v>6884</v>
      </c>
      <c r="BJ122" s="101" t="s">
        <v>6885</v>
      </c>
      <c r="BK122" s="101" t="s">
        <v>6886</v>
      </c>
      <c r="BL122" s="102" t="s">
        <v>6887</v>
      </c>
      <c r="BM122" s="100" t="s">
        <v>6888</v>
      </c>
      <c r="BN122" s="101" t="s">
        <v>6889</v>
      </c>
      <c r="BO122" s="101" t="s">
        <v>6874</v>
      </c>
      <c r="BP122" s="101" t="s">
        <v>6875</v>
      </c>
      <c r="BQ122" s="101" t="s">
        <v>6890</v>
      </c>
      <c r="BR122" s="101" t="s">
        <v>6891</v>
      </c>
      <c r="BS122" s="101" t="s">
        <v>6878</v>
      </c>
      <c r="BT122" s="101" t="s">
        <v>6879</v>
      </c>
      <c r="BU122" s="101" t="s">
        <v>6892</v>
      </c>
      <c r="BV122" s="101" t="s">
        <v>6881</v>
      </c>
      <c r="BW122" s="101" t="s">
        <v>6882</v>
      </c>
      <c r="BX122" s="101" t="s">
        <v>6893</v>
      </c>
      <c r="BY122" s="101" t="s">
        <v>6884</v>
      </c>
      <c r="BZ122" s="101" t="s">
        <v>6885</v>
      </c>
      <c r="CA122" s="101" t="s">
        <v>6886</v>
      </c>
      <c r="CB122" s="102" t="s">
        <v>6894</v>
      </c>
      <c r="CC122" s="100" t="s">
        <v>6315</v>
      </c>
      <c r="CD122" s="101" t="s">
        <v>6316</v>
      </c>
      <c r="CE122" s="101" t="s">
        <v>6317</v>
      </c>
      <c r="CF122" s="101" t="s">
        <v>6318</v>
      </c>
      <c r="CG122" s="101" t="s">
        <v>6319</v>
      </c>
      <c r="CH122" s="101" t="s">
        <v>6320</v>
      </c>
      <c r="CI122" s="101" t="s">
        <v>6321</v>
      </c>
      <c r="CJ122" s="101" t="s">
        <v>6322</v>
      </c>
      <c r="CK122" s="101" t="s">
        <v>6323</v>
      </c>
      <c r="CL122" s="101" t="s">
        <v>6324</v>
      </c>
      <c r="CM122" s="101" t="s">
        <v>6325</v>
      </c>
      <c r="CN122" s="101" t="s">
        <v>6326</v>
      </c>
      <c r="CO122" s="101" t="s">
        <v>6327</v>
      </c>
      <c r="CP122" s="101" t="s">
        <v>6328</v>
      </c>
      <c r="CQ122" s="101" t="s">
        <v>6329</v>
      </c>
      <c r="CR122" s="107"/>
    </row>
    <row r="123">
      <c r="A123" s="103"/>
      <c r="B123" s="103"/>
      <c r="C123" s="103"/>
      <c r="D123" s="103"/>
      <c r="E123" s="103"/>
      <c r="F123" s="103"/>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0" t="s">
        <v>6895</v>
      </c>
      <c r="AH123" s="101" t="s">
        <v>6896</v>
      </c>
      <c r="AI123" s="101" t="s">
        <v>6897</v>
      </c>
      <c r="AJ123" s="101" t="s">
        <v>6898</v>
      </c>
      <c r="AK123" s="101" t="s">
        <v>6899</v>
      </c>
      <c r="AL123" s="101" t="s">
        <v>6900</v>
      </c>
      <c r="AM123" s="101" t="s">
        <v>6901</v>
      </c>
      <c r="AN123" s="101" t="s">
        <v>6902</v>
      </c>
      <c r="AO123" s="101" t="s">
        <v>6903</v>
      </c>
      <c r="AP123" s="101" t="s">
        <v>6904</v>
      </c>
      <c r="AQ123" s="101" t="s">
        <v>6905</v>
      </c>
      <c r="AR123" s="101" t="s">
        <v>6906</v>
      </c>
      <c r="AS123" s="101" t="s">
        <v>6907</v>
      </c>
      <c r="AT123" s="101" t="s">
        <v>6908</v>
      </c>
      <c r="AU123" s="101" t="s">
        <v>6909</v>
      </c>
      <c r="AV123" s="102" t="s">
        <v>6910</v>
      </c>
      <c r="AW123" s="100" t="s">
        <v>6911</v>
      </c>
      <c r="AX123" s="101" t="s">
        <v>6912</v>
      </c>
      <c r="AY123" s="101" t="s">
        <v>6913</v>
      </c>
      <c r="AZ123" s="101" t="s">
        <v>6914</v>
      </c>
      <c r="BA123" s="101" t="s">
        <v>6915</v>
      </c>
      <c r="BB123" s="101" t="s">
        <v>6916</v>
      </c>
      <c r="BC123" s="101" t="s">
        <v>6917</v>
      </c>
      <c r="BD123" s="101" t="s">
        <v>6918</v>
      </c>
      <c r="BE123" s="101" t="s">
        <v>6919</v>
      </c>
      <c r="BF123" s="101" t="s">
        <v>6920</v>
      </c>
      <c r="BG123" s="101" t="s">
        <v>6921</v>
      </c>
      <c r="BH123" s="101" t="s">
        <v>6922</v>
      </c>
      <c r="BI123" s="101" t="s">
        <v>6923</v>
      </c>
      <c r="BJ123" s="101" t="s">
        <v>6924</v>
      </c>
      <c r="BK123" s="101" t="s">
        <v>6925</v>
      </c>
      <c r="BL123" s="102" t="s">
        <v>6926</v>
      </c>
      <c r="BM123" s="100" t="s">
        <v>6911</v>
      </c>
      <c r="BN123" s="101" t="s">
        <v>6912</v>
      </c>
      <c r="BO123" s="101" t="s">
        <v>6927</v>
      </c>
      <c r="BP123" s="101" t="s">
        <v>6928</v>
      </c>
      <c r="BQ123" s="101" t="s">
        <v>6915</v>
      </c>
      <c r="BR123" s="101" t="s">
        <v>6929</v>
      </c>
      <c r="BS123" s="101" t="s">
        <v>6930</v>
      </c>
      <c r="BT123" s="101" t="s">
        <v>6931</v>
      </c>
      <c r="BU123" s="101" t="s">
        <v>6932</v>
      </c>
      <c r="BV123" s="101" t="s">
        <v>6920</v>
      </c>
      <c r="BW123" s="101" t="s">
        <v>6921</v>
      </c>
      <c r="BX123" s="101" t="s">
        <v>6933</v>
      </c>
      <c r="BY123" s="101" t="s">
        <v>6934</v>
      </c>
      <c r="BZ123" s="101" t="s">
        <v>6924</v>
      </c>
      <c r="CA123" s="101" t="s">
        <v>6925</v>
      </c>
      <c r="CB123" s="102" t="s">
        <v>6935</v>
      </c>
      <c r="CC123" s="100" t="s">
        <v>6356</v>
      </c>
      <c r="CD123" s="101" t="s">
        <v>6357</v>
      </c>
      <c r="CE123" s="101" t="s">
        <v>6358</v>
      </c>
      <c r="CF123" s="101" t="s">
        <v>6359</v>
      </c>
      <c r="CG123" s="101" t="s">
        <v>6360</v>
      </c>
      <c r="CH123" s="101" t="s">
        <v>6361</v>
      </c>
      <c r="CI123" s="101" t="s">
        <v>6362</v>
      </c>
      <c r="CJ123" s="101" t="s">
        <v>6363</v>
      </c>
      <c r="CK123" s="101" t="s">
        <v>6364</v>
      </c>
      <c r="CL123" s="101" t="s">
        <v>6365</v>
      </c>
      <c r="CM123" s="101" t="s">
        <v>6366</v>
      </c>
      <c r="CN123" s="101" t="s">
        <v>6367</v>
      </c>
      <c r="CO123" s="101" t="s">
        <v>6368</v>
      </c>
      <c r="CP123" s="101" t="s">
        <v>6369</v>
      </c>
      <c r="CQ123" s="101" t="s">
        <v>6370</v>
      </c>
      <c r="CR123" s="102" t="s">
        <v>6371</v>
      </c>
    </row>
    <row r="124">
      <c r="A124" s="103"/>
      <c r="B124" s="103"/>
      <c r="C124" s="103"/>
      <c r="D124" s="103"/>
      <c r="E124" s="103"/>
      <c r="F124" s="103"/>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0" t="s">
        <v>6936</v>
      </c>
      <c r="AH124" s="101" t="s">
        <v>6937</v>
      </c>
      <c r="AI124" s="101" t="s">
        <v>6938</v>
      </c>
      <c r="AJ124" s="101" t="s">
        <v>6939</v>
      </c>
      <c r="AK124" s="101" t="s">
        <v>6940</v>
      </c>
      <c r="AL124" s="101" t="s">
        <v>6941</v>
      </c>
      <c r="AM124" s="101" t="s">
        <v>6942</v>
      </c>
      <c r="AN124" s="101" t="s">
        <v>6943</v>
      </c>
      <c r="AO124" s="101" t="s">
        <v>6944</v>
      </c>
      <c r="AP124" s="101" t="s">
        <v>6945</v>
      </c>
      <c r="AQ124" s="101" t="s">
        <v>6946</v>
      </c>
      <c r="AR124" s="101" t="s">
        <v>6947</v>
      </c>
      <c r="AS124" s="101" t="s">
        <v>6948</v>
      </c>
      <c r="AT124" s="101" t="s">
        <v>6949</v>
      </c>
      <c r="AU124" s="101" t="s">
        <v>6950</v>
      </c>
      <c r="AV124" s="102" t="s">
        <v>6951</v>
      </c>
      <c r="AW124" s="100" t="s">
        <v>6952</v>
      </c>
      <c r="AX124" s="101" t="s">
        <v>6953</v>
      </c>
      <c r="AY124" s="101" t="s">
        <v>6954</v>
      </c>
      <c r="AZ124" s="101" t="s">
        <v>6955</v>
      </c>
      <c r="BA124" s="101" t="s">
        <v>6956</v>
      </c>
      <c r="BB124" s="101" t="s">
        <v>6957</v>
      </c>
      <c r="BC124" s="101" t="s">
        <v>6958</v>
      </c>
      <c r="BD124" s="101" t="s">
        <v>6959</v>
      </c>
      <c r="BE124" s="101" t="s">
        <v>6960</v>
      </c>
      <c r="BF124" s="101" t="s">
        <v>6961</v>
      </c>
      <c r="BG124" s="101" t="s">
        <v>6962</v>
      </c>
      <c r="BH124" s="101" t="s">
        <v>6963</v>
      </c>
      <c r="BI124" s="101" t="s">
        <v>6964</v>
      </c>
      <c r="BJ124" s="101" t="s">
        <v>6965</v>
      </c>
      <c r="BK124" s="101" t="s">
        <v>6966</v>
      </c>
      <c r="BL124" s="102" t="s">
        <v>6967</v>
      </c>
      <c r="BM124" s="100" t="s">
        <v>6968</v>
      </c>
      <c r="BN124" s="101" t="s">
        <v>6953</v>
      </c>
      <c r="BO124" s="101" t="s">
        <v>6969</v>
      </c>
      <c r="BP124" s="101" t="s">
        <v>6955</v>
      </c>
      <c r="BQ124" s="101" t="s">
        <v>6970</v>
      </c>
      <c r="BR124" s="101" t="s">
        <v>6957</v>
      </c>
      <c r="BS124" s="101" t="s">
        <v>6958</v>
      </c>
      <c r="BT124" s="101" t="s">
        <v>6971</v>
      </c>
      <c r="BU124" s="101" t="s">
        <v>6972</v>
      </c>
      <c r="BV124" s="101" t="s">
        <v>6973</v>
      </c>
      <c r="BW124" s="101" t="s">
        <v>6974</v>
      </c>
      <c r="BX124" s="101" t="s">
        <v>6963</v>
      </c>
      <c r="BY124" s="101" t="s">
        <v>6975</v>
      </c>
      <c r="BZ124" s="101" t="s">
        <v>6965</v>
      </c>
      <c r="CA124" s="101" t="s">
        <v>6976</v>
      </c>
      <c r="CB124" s="102" t="s">
        <v>6967</v>
      </c>
      <c r="CC124" s="100" t="s">
        <v>6397</v>
      </c>
      <c r="CD124" s="101" t="s">
        <v>6398</v>
      </c>
      <c r="CE124" s="101" t="s">
        <v>6399</v>
      </c>
      <c r="CF124" s="101" t="s">
        <v>6400</v>
      </c>
      <c r="CG124" s="101" t="s">
        <v>6401</v>
      </c>
      <c r="CH124" s="101" t="s">
        <v>6402</v>
      </c>
      <c r="CI124" s="101" t="s">
        <v>6403</v>
      </c>
      <c r="CJ124" s="101" t="s">
        <v>6404</v>
      </c>
      <c r="CK124" s="101" t="s">
        <v>6405</v>
      </c>
      <c r="CL124" s="101" t="s">
        <v>6406</v>
      </c>
      <c r="CM124" s="101" t="s">
        <v>6407</v>
      </c>
      <c r="CN124" s="101" t="s">
        <v>6408</v>
      </c>
      <c r="CO124" s="101" t="s">
        <v>6409</v>
      </c>
      <c r="CP124" s="101" t="s">
        <v>6410</v>
      </c>
      <c r="CQ124" s="101" t="s">
        <v>6411</v>
      </c>
      <c r="CR124" s="102" t="s">
        <v>6412</v>
      </c>
    </row>
    <row r="125">
      <c r="A125" s="103"/>
      <c r="B125" s="103"/>
      <c r="C125" s="103"/>
      <c r="D125" s="103"/>
      <c r="E125" s="103"/>
      <c r="F125" s="103"/>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0" t="s">
        <v>6977</v>
      </c>
      <c r="AH125" s="101" t="s">
        <v>6978</v>
      </c>
      <c r="AI125" s="101" t="s">
        <v>6979</v>
      </c>
      <c r="AJ125" s="101" t="s">
        <v>6980</v>
      </c>
      <c r="AK125" s="101" t="s">
        <v>6981</v>
      </c>
      <c r="AL125" s="101" t="s">
        <v>6982</v>
      </c>
      <c r="AM125" s="101" t="s">
        <v>6983</v>
      </c>
      <c r="AN125" s="101" t="s">
        <v>6984</v>
      </c>
      <c r="AO125" s="101" t="s">
        <v>6985</v>
      </c>
      <c r="AP125" s="101" t="s">
        <v>6986</v>
      </c>
      <c r="AQ125" s="101" t="s">
        <v>6987</v>
      </c>
      <c r="AR125" s="101" t="s">
        <v>6988</v>
      </c>
      <c r="AS125" s="101" t="s">
        <v>6989</v>
      </c>
      <c r="AT125" s="101" t="s">
        <v>6990</v>
      </c>
      <c r="AU125" s="101" t="s">
        <v>6991</v>
      </c>
      <c r="AV125" s="102" t="s">
        <v>6992</v>
      </c>
      <c r="AW125" s="100" t="s">
        <v>6993</v>
      </c>
      <c r="AX125" s="101" t="s">
        <v>6994</v>
      </c>
      <c r="AY125" s="101" t="s">
        <v>6995</v>
      </c>
      <c r="AZ125" s="101" t="s">
        <v>6996</v>
      </c>
      <c r="BA125" s="101" t="s">
        <v>6997</v>
      </c>
      <c r="BB125" s="101" t="s">
        <v>6998</v>
      </c>
      <c r="BC125" s="101" t="s">
        <v>6999</v>
      </c>
      <c r="BD125" s="101" t="s">
        <v>7000</v>
      </c>
      <c r="BE125" s="101" t="s">
        <v>7001</v>
      </c>
      <c r="BF125" s="101" t="s">
        <v>7002</v>
      </c>
      <c r="BG125" s="101" t="s">
        <v>7003</v>
      </c>
      <c r="BH125" s="101" t="s">
        <v>7004</v>
      </c>
      <c r="BI125" s="101" t="s">
        <v>7005</v>
      </c>
      <c r="BJ125" s="101" t="s">
        <v>7006</v>
      </c>
      <c r="BK125" s="101" t="s">
        <v>7007</v>
      </c>
      <c r="BL125" s="102" t="s">
        <v>7008</v>
      </c>
      <c r="BM125" s="100" t="s">
        <v>7009</v>
      </c>
      <c r="BN125" s="101" t="s">
        <v>6994</v>
      </c>
      <c r="BO125" s="101" t="s">
        <v>6995</v>
      </c>
      <c r="BP125" s="101" t="s">
        <v>6996</v>
      </c>
      <c r="BQ125" s="101" t="s">
        <v>7010</v>
      </c>
      <c r="BR125" s="101" t="s">
        <v>6998</v>
      </c>
      <c r="BS125" s="101" t="s">
        <v>7011</v>
      </c>
      <c r="BT125" s="101" t="s">
        <v>7000</v>
      </c>
      <c r="BU125" s="101" t="s">
        <v>7001</v>
      </c>
      <c r="BV125" s="101" t="s">
        <v>7002</v>
      </c>
      <c r="BW125" s="101" t="s">
        <v>7012</v>
      </c>
      <c r="BX125" s="101" t="s">
        <v>7004</v>
      </c>
      <c r="BY125" s="101" t="s">
        <v>7005</v>
      </c>
      <c r="BZ125" s="101" t="s">
        <v>7006</v>
      </c>
      <c r="CA125" s="101" t="s">
        <v>7013</v>
      </c>
      <c r="CB125" s="102" t="s">
        <v>7014</v>
      </c>
      <c r="CC125" s="100" t="s">
        <v>6437</v>
      </c>
      <c r="CD125" s="101" t="s">
        <v>6438</v>
      </c>
      <c r="CE125" s="101" t="s">
        <v>6439</v>
      </c>
      <c r="CF125" s="101" t="s">
        <v>6440</v>
      </c>
      <c r="CG125" s="101" t="s">
        <v>6441</v>
      </c>
      <c r="CH125" s="101" t="s">
        <v>6442</v>
      </c>
      <c r="CI125" s="101" t="s">
        <v>6443</v>
      </c>
      <c r="CJ125" s="101" t="s">
        <v>6444</v>
      </c>
      <c r="CK125" s="101" t="s">
        <v>6445</v>
      </c>
      <c r="CL125" s="101" t="s">
        <v>6446</v>
      </c>
      <c r="CM125" s="101" t="s">
        <v>6447</v>
      </c>
      <c r="CN125" s="101" t="s">
        <v>6448</v>
      </c>
      <c r="CO125" s="101" t="s">
        <v>6449</v>
      </c>
      <c r="CP125" s="101" t="s">
        <v>6450</v>
      </c>
      <c r="CQ125" s="101" t="s">
        <v>6451</v>
      </c>
      <c r="CR125" s="102" t="s">
        <v>6452</v>
      </c>
    </row>
    <row r="126">
      <c r="A126" s="103"/>
      <c r="B126" s="103"/>
      <c r="C126" s="103"/>
      <c r="D126" s="103"/>
      <c r="E126" s="103"/>
      <c r="F126" s="103"/>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0" t="s">
        <v>7015</v>
      </c>
      <c r="AH126" s="101" t="s">
        <v>7016</v>
      </c>
      <c r="AI126" s="101" t="s">
        <v>7017</v>
      </c>
      <c r="AJ126" s="101" t="s">
        <v>7018</v>
      </c>
      <c r="AK126" s="101" t="s">
        <v>7019</v>
      </c>
      <c r="AL126" s="101" t="s">
        <v>7020</v>
      </c>
      <c r="AM126" s="101" t="s">
        <v>7021</v>
      </c>
      <c r="AN126" s="101" t="s">
        <v>7022</v>
      </c>
      <c r="AO126" s="101" t="s">
        <v>7023</v>
      </c>
      <c r="AP126" s="101" t="s">
        <v>7024</v>
      </c>
      <c r="AQ126" s="101" t="s">
        <v>7025</v>
      </c>
      <c r="AR126" s="101" t="s">
        <v>7026</v>
      </c>
      <c r="AS126" s="101" t="s">
        <v>7027</v>
      </c>
      <c r="AT126" s="101" t="s">
        <v>7028</v>
      </c>
      <c r="AU126" s="101" t="s">
        <v>7029</v>
      </c>
      <c r="AV126" s="107"/>
      <c r="AW126" s="100" t="s">
        <v>7030</v>
      </c>
      <c r="AX126" s="101" t="s">
        <v>7031</v>
      </c>
      <c r="AY126" s="101" t="s">
        <v>7032</v>
      </c>
      <c r="AZ126" s="101" t="s">
        <v>7033</v>
      </c>
      <c r="BA126" s="101" t="s">
        <v>7034</v>
      </c>
      <c r="BB126" s="101" t="s">
        <v>7035</v>
      </c>
      <c r="BC126" s="101" t="s">
        <v>7036</v>
      </c>
      <c r="BD126" s="101" t="s">
        <v>7037</v>
      </c>
      <c r="BE126" s="101" t="s">
        <v>7038</v>
      </c>
      <c r="BF126" s="101" t="s">
        <v>7039</v>
      </c>
      <c r="BG126" s="101" t="s">
        <v>7040</v>
      </c>
      <c r="BH126" s="101" t="s">
        <v>7041</v>
      </c>
      <c r="BI126" s="101" t="s">
        <v>7042</v>
      </c>
      <c r="BJ126" s="101" t="s">
        <v>7043</v>
      </c>
      <c r="BK126" s="101" t="s">
        <v>7044</v>
      </c>
      <c r="BL126" s="102" t="s">
        <v>7045</v>
      </c>
      <c r="BM126" s="100" t="s">
        <v>7046</v>
      </c>
      <c r="BN126" s="101" t="s">
        <v>7031</v>
      </c>
      <c r="BO126" s="101" t="s">
        <v>7032</v>
      </c>
      <c r="BP126" s="101" t="s">
        <v>7047</v>
      </c>
      <c r="BQ126" s="101" t="s">
        <v>7034</v>
      </c>
      <c r="BR126" s="101" t="s">
        <v>7048</v>
      </c>
      <c r="BS126" s="101" t="s">
        <v>7049</v>
      </c>
      <c r="BT126" s="101" t="s">
        <v>7037</v>
      </c>
      <c r="BU126" s="101" t="s">
        <v>7038</v>
      </c>
      <c r="BV126" s="101" t="s">
        <v>7039</v>
      </c>
      <c r="BW126" s="101" t="s">
        <v>7040</v>
      </c>
      <c r="BX126" s="101" t="s">
        <v>7041</v>
      </c>
      <c r="BY126" s="101" t="s">
        <v>7042</v>
      </c>
      <c r="BZ126" s="101" t="s">
        <v>7043</v>
      </c>
      <c r="CA126" s="101" t="s">
        <v>7044</v>
      </c>
      <c r="CB126" s="102" t="s">
        <v>7050</v>
      </c>
      <c r="CC126" s="100" t="s">
        <v>6478</v>
      </c>
      <c r="CD126" s="101" t="s">
        <v>6479</v>
      </c>
      <c r="CE126" s="101" t="s">
        <v>6480</v>
      </c>
      <c r="CF126" s="101" t="s">
        <v>6481</v>
      </c>
      <c r="CG126" s="101" t="s">
        <v>6482</v>
      </c>
      <c r="CH126" s="101" t="s">
        <v>6483</v>
      </c>
      <c r="CI126" s="101" t="s">
        <v>6484</v>
      </c>
      <c r="CJ126" s="101" t="s">
        <v>6485</v>
      </c>
      <c r="CK126" s="101" t="s">
        <v>6486</v>
      </c>
      <c r="CL126" s="101" t="s">
        <v>6487</v>
      </c>
      <c r="CM126" s="101" t="s">
        <v>6488</v>
      </c>
      <c r="CN126" s="101" t="s">
        <v>6489</v>
      </c>
      <c r="CO126" s="101" t="s">
        <v>6490</v>
      </c>
      <c r="CP126" s="101" t="s">
        <v>6491</v>
      </c>
      <c r="CQ126" s="101" t="s">
        <v>6492</v>
      </c>
      <c r="CR126" s="102" t="s">
        <v>6493</v>
      </c>
    </row>
    <row r="127">
      <c r="A127" s="103"/>
      <c r="B127" s="103"/>
      <c r="C127" s="103"/>
      <c r="D127" s="103"/>
      <c r="E127" s="103"/>
      <c r="F127" s="103"/>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5"/>
      <c r="AH127" s="101" t="s">
        <v>7051</v>
      </c>
      <c r="AI127" s="101" t="s">
        <v>7052</v>
      </c>
      <c r="AJ127" s="101" t="s">
        <v>7053</v>
      </c>
      <c r="AK127" s="101" t="s">
        <v>7054</v>
      </c>
      <c r="AL127" s="101" t="s">
        <v>7055</v>
      </c>
      <c r="AM127" s="101" t="s">
        <v>7056</v>
      </c>
      <c r="AN127" s="101" t="s">
        <v>7057</v>
      </c>
      <c r="AO127" s="101" t="s">
        <v>7058</v>
      </c>
      <c r="AP127" s="101" t="s">
        <v>7059</v>
      </c>
      <c r="AQ127" s="101" t="s">
        <v>7060</v>
      </c>
      <c r="AR127" s="101" t="s">
        <v>7061</v>
      </c>
      <c r="AS127" s="101" t="s">
        <v>7062</v>
      </c>
      <c r="AT127" s="101" t="s">
        <v>7063</v>
      </c>
      <c r="AU127" s="101" t="s">
        <v>7064</v>
      </c>
      <c r="AV127" s="102" t="s">
        <v>7065</v>
      </c>
      <c r="AW127" s="100" t="s">
        <v>7066</v>
      </c>
      <c r="AX127" s="101" t="s">
        <v>7067</v>
      </c>
      <c r="AY127" s="101" t="s">
        <v>7068</v>
      </c>
      <c r="AZ127" s="101" t="s">
        <v>7069</v>
      </c>
      <c r="BA127" s="101" t="s">
        <v>7070</v>
      </c>
      <c r="BB127" s="101" t="s">
        <v>7071</v>
      </c>
      <c r="BC127" s="101" t="s">
        <v>7072</v>
      </c>
      <c r="BD127" s="101" t="s">
        <v>7073</v>
      </c>
      <c r="BE127" s="101" t="s">
        <v>7074</v>
      </c>
      <c r="BF127" s="101" t="s">
        <v>7075</v>
      </c>
      <c r="BG127" s="101" t="s">
        <v>7076</v>
      </c>
      <c r="BH127" s="101" t="s">
        <v>7077</v>
      </c>
      <c r="BI127" s="101" t="s">
        <v>7078</v>
      </c>
      <c r="BJ127" s="101" t="s">
        <v>7079</v>
      </c>
      <c r="BK127" s="101" t="s">
        <v>7080</v>
      </c>
      <c r="BL127" s="102" t="s">
        <v>7081</v>
      </c>
      <c r="BM127" s="100" t="s">
        <v>7082</v>
      </c>
      <c r="BN127" s="101" t="s">
        <v>7067</v>
      </c>
      <c r="BO127" s="101" t="s">
        <v>7068</v>
      </c>
      <c r="BP127" s="101" t="s">
        <v>7083</v>
      </c>
      <c r="BQ127" s="101" t="s">
        <v>7070</v>
      </c>
      <c r="BR127" s="101" t="s">
        <v>7084</v>
      </c>
      <c r="BS127" s="101" t="s">
        <v>7072</v>
      </c>
      <c r="BT127" s="101" t="s">
        <v>7073</v>
      </c>
      <c r="BU127" s="101" t="s">
        <v>7074</v>
      </c>
      <c r="BV127" s="101" t="s">
        <v>7075</v>
      </c>
      <c r="BW127" s="101" t="s">
        <v>7085</v>
      </c>
      <c r="BX127" s="101" t="s">
        <v>7086</v>
      </c>
      <c r="BY127" s="101" t="s">
        <v>7078</v>
      </c>
      <c r="BZ127" s="101" t="s">
        <v>7087</v>
      </c>
      <c r="CA127" s="101" t="s">
        <v>7080</v>
      </c>
      <c r="CB127" s="102" t="s">
        <v>7081</v>
      </c>
      <c r="CC127" s="100" t="s">
        <v>6521</v>
      </c>
      <c r="CD127" s="101" t="s">
        <v>6522</v>
      </c>
      <c r="CE127" s="101" t="s">
        <v>6523</v>
      </c>
      <c r="CF127" s="101" t="s">
        <v>6524</v>
      </c>
      <c r="CG127" s="101" t="s">
        <v>6525</v>
      </c>
      <c r="CH127" s="101" t="s">
        <v>6526</v>
      </c>
      <c r="CI127" s="101" t="s">
        <v>6527</v>
      </c>
      <c r="CJ127" s="101" t="s">
        <v>6528</v>
      </c>
      <c r="CK127" s="101" t="s">
        <v>6529</v>
      </c>
      <c r="CL127" s="101" t="s">
        <v>6530</v>
      </c>
      <c r="CM127" s="101" t="s">
        <v>6531</v>
      </c>
      <c r="CN127" s="101" t="s">
        <v>6532</v>
      </c>
      <c r="CO127" s="101" t="s">
        <v>6533</v>
      </c>
      <c r="CP127" s="101" t="s">
        <v>6534</v>
      </c>
      <c r="CQ127" s="101" t="s">
        <v>6535</v>
      </c>
      <c r="CR127" s="102" t="s">
        <v>6536</v>
      </c>
    </row>
    <row r="128">
      <c r="A128" s="103"/>
      <c r="B128" s="103"/>
      <c r="C128" s="103"/>
      <c r="D128" s="103"/>
      <c r="E128" s="103"/>
      <c r="F128" s="103"/>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0" t="s">
        <v>7088</v>
      </c>
      <c r="AH128" s="101" t="s">
        <v>7089</v>
      </c>
      <c r="AI128" s="101" t="s">
        <v>7090</v>
      </c>
      <c r="AJ128" s="101" t="s">
        <v>7091</v>
      </c>
      <c r="AK128" s="101" t="s">
        <v>7092</v>
      </c>
      <c r="AL128" s="101" t="s">
        <v>7093</v>
      </c>
      <c r="AM128" s="101" t="s">
        <v>7094</v>
      </c>
      <c r="AN128" s="101" t="s">
        <v>7095</v>
      </c>
      <c r="AO128" s="101" t="s">
        <v>7096</v>
      </c>
      <c r="AP128" s="101" t="s">
        <v>7097</v>
      </c>
      <c r="AQ128" s="101" t="s">
        <v>7098</v>
      </c>
      <c r="AR128" s="101" t="s">
        <v>7099</v>
      </c>
      <c r="AS128" s="101" t="s">
        <v>7100</v>
      </c>
      <c r="AT128" s="101" t="s">
        <v>7101</v>
      </c>
      <c r="AU128" s="101" t="s">
        <v>7102</v>
      </c>
      <c r="AV128" s="102" t="s">
        <v>7103</v>
      </c>
      <c r="AW128" s="100" t="s">
        <v>7104</v>
      </c>
      <c r="AX128" s="101" t="s">
        <v>7105</v>
      </c>
      <c r="AY128" s="101" t="s">
        <v>7106</v>
      </c>
      <c r="AZ128" s="101" t="s">
        <v>7107</v>
      </c>
      <c r="BA128" s="101" t="s">
        <v>7108</v>
      </c>
      <c r="BB128" s="101" t="s">
        <v>7109</v>
      </c>
      <c r="BC128" s="101" t="s">
        <v>7110</v>
      </c>
      <c r="BD128" s="101" t="s">
        <v>7111</v>
      </c>
      <c r="BE128" s="101" t="s">
        <v>7112</v>
      </c>
      <c r="BF128" s="101" t="s">
        <v>7113</v>
      </c>
      <c r="BG128" s="101" t="s">
        <v>7114</v>
      </c>
      <c r="BH128" s="101" t="s">
        <v>7115</v>
      </c>
      <c r="BI128" s="101" t="s">
        <v>7116</v>
      </c>
      <c r="BJ128" s="101" t="s">
        <v>7117</v>
      </c>
      <c r="BK128" s="101" t="s">
        <v>7118</v>
      </c>
      <c r="BL128" s="102" t="s">
        <v>7119</v>
      </c>
      <c r="BM128" s="100" t="s">
        <v>7104</v>
      </c>
      <c r="BN128" s="101" t="s">
        <v>7120</v>
      </c>
      <c r="BO128" s="101" t="s">
        <v>7121</v>
      </c>
      <c r="BP128" s="101" t="s">
        <v>7107</v>
      </c>
      <c r="BQ128" s="101" t="s">
        <v>7122</v>
      </c>
      <c r="BR128" s="101" t="s">
        <v>7123</v>
      </c>
      <c r="BS128" s="101" t="s">
        <v>7124</v>
      </c>
      <c r="BT128" s="101" t="s">
        <v>7111</v>
      </c>
      <c r="BU128" s="101" t="s">
        <v>7125</v>
      </c>
      <c r="BV128" s="101" t="s">
        <v>7113</v>
      </c>
      <c r="BW128" s="101" t="s">
        <v>7114</v>
      </c>
      <c r="BX128" s="101" t="s">
        <v>7126</v>
      </c>
      <c r="BY128" s="101" t="s">
        <v>7127</v>
      </c>
      <c r="BZ128" s="101" t="s">
        <v>7128</v>
      </c>
      <c r="CA128" s="101" t="s">
        <v>7129</v>
      </c>
      <c r="CB128" s="102" t="s">
        <v>7130</v>
      </c>
      <c r="CC128" s="100" t="s">
        <v>6555</v>
      </c>
      <c r="CD128" s="101" t="s">
        <v>6556</v>
      </c>
      <c r="CE128" s="101" t="s">
        <v>6557</v>
      </c>
      <c r="CF128" s="101" t="s">
        <v>6558</v>
      </c>
      <c r="CG128" s="101" t="s">
        <v>6559</v>
      </c>
      <c r="CH128" s="101" t="s">
        <v>6560</v>
      </c>
      <c r="CI128" s="101" t="s">
        <v>6561</v>
      </c>
      <c r="CJ128" s="101" t="s">
        <v>6562</v>
      </c>
      <c r="CK128" s="101" t="s">
        <v>6563</v>
      </c>
      <c r="CL128" s="101" t="s">
        <v>6564</v>
      </c>
      <c r="CM128" s="101" t="s">
        <v>6565</v>
      </c>
      <c r="CN128" s="101" t="s">
        <v>6566</v>
      </c>
      <c r="CO128" s="101" t="s">
        <v>6567</v>
      </c>
      <c r="CP128" s="101" t="s">
        <v>6568</v>
      </c>
      <c r="CQ128" s="101" t="s">
        <v>6569</v>
      </c>
      <c r="CR128" s="107"/>
    </row>
    <row r="129">
      <c r="A129" s="103"/>
      <c r="B129" s="103"/>
      <c r="C129" s="103"/>
      <c r="D129" s="103"/>
      <c r="E129" s="103"/>
      <c r="F129" s="103"/>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10" t="s">
        <v>7131</v>
      </c>
      <c r="AH129" s="111" t="s">
        <v>7132</v>
      </c>
      <c r="AI129" s="111" t="s">
        <v>7133</v>
      </c>
      <c r="AJ129" s="111" t="s">
        <v>7134</v>
      </c>
      <c r="AK129" s="111" t="s">
        <v>7135</v>
      </c>
      <c r="AL129" s="111" t="s">
        <v>7136</v>
      </c>
      <c r="AM129" s="111" t="s">
        <v>7137</v>
      </c>
      <c r="AN129" s="111" t="s">
        <v>7138</v>
      </c>
      <c r="AO129" s="111" t="s">
        <v>7139</v>
      </c>
      <c r="AP129" s="111" t="s">
        <v>7140</v>
      </c>
      <c r="AQ129" s="111" t="s">
        <v>7141</v>
      </c>
      <c r="AR129" s="111" t="s">
        <v>7142</v>
      </c>
      <c r="AS129" s="111" t="s">
        <v>7143</v>
      </c>
      <c r="AT129" s="111" t="s">
        <v>7144</v>
      </c>
      <c r="AU129" s="111" t="s">
        <v>7145</v>
      </c>
      <c r="AV129" s="112" t="s">
        <v>7146</v>
      </c>
      <c r="AW129" s="110" t="s">
        <v>7147</v>
      </c>
      <c r="AX129" s="111" t="s">
        <v>7148</v>
      </c>
      <c r="AY129" s="111" t="s">
        <v>7149</v>
      </c>
      <c r="AZ129" s="111" t="s">
        <v>7150</v>
      </c>
      <c r="BA129" s="111" t="s">
        <v>7151</v>
      </c>
      <c r="BB129" s="111" t="s">
        <v>7152</v>
      </c>
      <c r="BC129" s="111" t="s">
        <v>7153</v>
      </c>
      <c r="BD129" s="111" t="s">
        <v>7154</v>
      </c>
      <c r="BE129" s="111" t="s">
        <v>7155</v>
      </c>
      <c r="BF129" s="111" t="s">
        <v>7156</v>
      </c>
      <c r="BG129" s="111" t="s">
        <v>7157</v>
      </c>
      <c r="BH129" s="111" t="s">
        <v>7158</v>
      </c>
      <c r="BI129" s="111" t="s">
        <v>7159</v>
      </c>
      <c r="BJ129" s="111" t="s">
        <v>7160</v>
      </c>
      <c r="BK129" s="111" t="s">
        <v>7161</v>
      </c>
      <c r="BL129" s="112" t="s">
        <v>7162</v>
      </c>
      <c r="BM129" s="110" t="s">
        <v>7163</v>
      </c>
      <c r="BN129" s="111" t="s">
        <v>7148</v>
      </c>
      <c r="BO129" s="111" t="s">
        <v>7164</v>
      </c>
      <c r="BP129" s="111" t="s">
        <v>7165</v>
      </c>
      <c r="BQ129" s="111" t="s">
        <v>7166</v>
      </c>
      <c r="BR129" s="111" t="s">
        <v>7167</v>
      </c>
      <c r="BS129" s="111" t="s">
        <v>7168</v>
      </c>
      <c r="BT129" s="111" t="s">
        <v>7154</v>
      </c>
      <c r="BU129" s="111" t="s">
        <v>7169</v>
      </c>
      <c r="BV129" s="111" t="s">
        <v>7156</v>
      </c>
      <c r="BW129" s="111" t="s">
        <v>7170</v>
      </c>
      <c r="BX129" s="111" t="s">
        <v>7158</v>
      </c>
      <c r="BY129" s="111" t="s">
        <v>7171</v>
      </c>
      <c r="BZ129" s="111" t="s">
        <v>7172</v>
      </c>
      <c r="CA129" s="111" t="s">
        <v>7173</v>
      </c>
      <c r="CB129" s="112" t="s">
        <v>7174</v>
      </c>
      <c r="CC129" s="110"/>
      <c r="CD129" s="111"/>
      <c r="CE129" s="111"/>
      <c r="CF129" s="111"/>
      <c r="CG129" s="111"/>
      <c r="CH129" s="111"/>
      <c r="CI129" s="111"/>
      <c r="CJ129" s="111"/>
      <c r="CK129" s="111"/>
      <c r="CL129" s="111"/>
      <c r="CM129" s="111"/>
      <c r="CN129" s="111"/>
      <c r="CO129" s="111"/>
      <c r="CP129" s="111"/>
      <c r="CQ129" s="111"/>
      <c r="CR129" s="115"/>
    </row>
    <row r="130">
      <c r="A130" s="103"/>
      <c r="B130" s="103"/>
      <c r="C130" s="103"/>
      <c r="D130" s="103"/>
      <c r="E130" s="103"/>
      <c r="F130" s="103"/>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99" t="s">
        <v>7175</v>
      </c>
      <c r="AH130" s="97" t="s">
        <v>7176</v>
      </c>
      <c r="AI130" s="97" t="s">
        <v>7177</v>
      </c>
      <c r="AJ130" s="97" t="s">
        <v>7178</v>
      </c>
      <c r="AK130" s="97" t="s">
        <v>7179</v>
      </c>
      <c r="AL130" s="97" t="s">
        <v>7180</v>
      </c>
      <c r="AM130" s="97" t="s">
        <v>7181</v>
      </c>
      <c r="AN130" s="97" t="s">
        <v>7182</v>
      </c>
      <c r="AO130" s="97" t="s">
        <v>7183</v>
      </c>
      <c r="AP130" s="97" t="s">
        <v>7184</v>
      </c>
      <c r="AQ130" s="97" t="s">
        <v>7185</v>
      </c>
      <c r="AR130" s="97" t="s">
        <v>7186</v>
      </c>
      <c r="AS130" s="97" t="s">
        <v>7187</v>
      </c>
      <c r="AT130" s="97" t="s">
        <v>7188</v>
      </c>
      <c r="AU130" s="97" t="s">
        <v>7189</v>
      </c>
      <c r="AV130" s="98" t="s">
        <v>7190</v>
      </c>
      <c r="AW130" s="99" t="s">
        <v>7191</v>
      </c>
      <c r="AX130" s="97" t="s">
        <v>7192</v>
      </c>
      <c r="AY130" s="97" t="s">
        <v>7193</v>
      </c>
      <c r="AZ130" s="97" t="s">
        <v>7194</v>
      </c>
      <c r="BA130" s="97" t="s">
        <v>7195</v>
      </c>
      <c r="BB130" s="97" t="s">
        <v>7196</v>
      </c>
      <c r="BC130" s="97" t="s">
        <v>7197</v>
      </c>
      <c r="BD130" s="97" t="s">
        <v>7198</v>
      </c>
      <c r="BE130" s="97" t="s">
        <v>7199</v>
      </c>
      <c r="BF130" s="97" t="s">
        <v>7200</v>
      </c>
      <c r="BG130" s="97" t="s">
        <v>7201</v>
      </c>
      <c r="BH130" s="97" t="s">
        <v>7202</v>
      </c>
      <c r="BI130" s="97" t="s">
        <v>7203</v>
      </c>
      <c r="BJ130" s="97" t="s">
        <v>7204</v>
      </c>
      <c r="BK130" s="97" t="s">
        <v>7205</v>
      </c>
      <c r="BL130" s="98" t="s">
        <v>7206</v>
      </c>
      <c r="BM130" s="99" t="s">
        <v>7191</v>
      </c>
      <c r="BN130" s="97" t="s">
        <v>7207</v>
      </c>
      <c r="BO130" s="97" t="s">
        <v>7208</v>
      </c>
      <c r="BP130" s="97" t="s">
        <v>7209</v>
      </c>
      <c r="BQ130" s="97" t="s">
        <v>7210</v>
      </c>
      <c r="BR130" s="97" t="s">
        <v>7211</v>
      </c>
      <c r="BS130" s="97" t="s">
        <v>7212</v>
      </c>
      <c r="BT130" s="97" t="s">
        <v>7198</v>
      </c>
      <c r="BU130" s="97" t="s">
        <v>7199</v>
      </c>
      <c r="BV130" s="97" t="s">
        <v>7200</v>
      </c>
      <c r="BW130" s="97" t="s">
        <v>7201</v>
      </c>
      <c r="BX130" s="97" t="s">
        <v>7202</v>
      </c>
      <c r="BY130" s="97" t="s">
        <v>7203</v>
      </c>
      <c r="BZ130" s="97" t="s">
        <v>7204</v>
      </c>
      <c r="CA130" s="97" t="s">
        <v>7205</v>
      </c>
      <c r="CB130" s="98" t="s">
        <v>7213</v>
      </c>
      <c r="CC130" s="96"/>
      <c r="CD130" s="97" t="s">
        <v>6587</v>
      </c>
      <c r="CE130" s="97" t="s">
        <v>6588</v>
      </c>
      <c r="CF130" s="97" t="s">
        <v>6589</v>
      </c>
      <c r="CG130" s="97" t="s">
        <v>6590</v>
      </c>
      <c r="CH130" s="97" t="s">
        <v>6591</v>
      </c>
      <c r="CI130" s="97" t="s">
        <v>6592</v>
      </c>
      <c r="CJ130" s="97" t="s">
        <v>6593</v>
      </c>
      <c r="CK130" s="97" t="s">
        <v>6594</v>
      </c>
      <c r="CL130" s="97" t="s">
        <v>6595</v>
      </c>
      <c r="CM130" s="97" t="s">
        <v>6596</v>
      </c>
      <c r="CN130" s="97" t="s">
        <v>6597</v>
      </c>
      <c r="CO130" s="97" t="s">
        <v>6598</v>
      </c>
      <c r="CP130" s="97" t="s">
        <v>6599</v>
      </c>
      <c r="CQ130" s="97" t="s">
        <v>6600</v>
      </c>
      <c r="CR130" s="98" t="s">
        <v>6601</v>
      </c>
    </row>
    <row r="131">
      <c r="A131" s="103"/>
      <c r="B131" s="103"/>
      <c r="C131" s="103"/>
      <c r="D131" s="103"/>
      <c r="E131" s="103"/>
      <c r="F131" s="103"/>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0" t="s">
        <v>7214</v>
      </c>
      <c r="AH131" s="101" t="s">
        <v>7215</v>
      </c>
      <c r="AI131" s="101" t="s">
        <v>7216</v>
      </c>
      <c r="AJ131" s="101" t="s">
        <v>7217</v>
      </c>
      <c r="AK131" s="101" t="s">
        <v>7218</v>
      </c>
      <c r="AL131" s="101" t="s">
        <v>7219</v>
      </c>
      <c r="AM131" s="101" t="s">
        <v>7220</v>
      </c>
      <c r="AN131" s="101" t="s">
        <v>7221</v>
      </c>
      <c r="AO131" s="101" t="s">
        <v>7222</v>
      </c>
      <c r="AP131" s="101" t="s">
        <v>7223</v>
      </c>
      <c r="AQ131" s="101" t="s">
        <v>7224</v>
      </c>
      <c r="AR131" s="101" t="s">
        <v>7225</v>
      </c>
      <c r="AS131" s="101" t="s">
        <v>7226</v>
      </c>
      <c r="AT131" s="101" t="s">
        <v>7227</v>
      </c>
      <c r="AU131" s="101" t="s">
        <v>7228</v>
      </c>
      <c r="AV131" s="102" t="s">
        <v>7229</v>
      </c>
      <c r="AW131" s="100" t="s">
        <v>7230</v>
      </c>
      <c r="AX131" s="101" t="s">
        <v>7231</v>
      </c>
      <c r="AY131" s="101" t="s">
        <v>7232</v>
      </c>
      <c r="AZ131" s="101" t="s">
        <v>7233</v>
      </c>
      <c r="BA131" s="101" t="s">
        <v>7234</v>
      </c>
      <c r="BB131" s="101" t="s">
        <v>7235</v>
      </c>
      <c r="BC131" s="101" t="s">
        <v>7236</v>
      </c>
      <c r="BD131" s="101" t="s">
        <v>7237</v>
      </c>
      <c r="BE131" s="101" t="s">
        <v>7238</v>
      </c>
      <c r="BF131" s="101" t="s">
        <v>7239</v>
      </c>
      <c r="BG131" s="101" t="s">
        <v>7240</v>
      </c>
      <c r="BH131" s="101" t="s">
        <v>7241</v>
      </c>
      <c r="BI131" s="101" t="s">
        <v>7242</v>
      </c>
      <c r="BJ131" s="101" t="s">
        <v>7243</v>
      </c>
      <c r="BK131" s="101" t="s">
        <v>7244</v>
      </c>
      <c r="BL131" s="102" t="s">
        <v>7245</v>
      </c>
      <c r="BM131" s="100" t="s">
        <v>7246</v>
      </c>
      <c r="BN131" s="101" t="s">
        <v>7231</v>
      </c>
      <c r="BO131" s="101" t="s">
        <v>7247</v>
      </c>
      <c r="BP131" s="101" t="s">
        <v>7233</v>
      </c>
      <c r="BQ131" s="101" t="s">
        <v>7234</v>
      </c>
      <c r="BR131" s="101" t="s">
        <v>7235</v>
      </c>
      <c r="BS131" s="101" t="s">
        <v>7236</v>
      </c>
      <c r="BT131" s="101" t="s">
        <v>7237</v>
      </c>
      <c r="BU131" s="101" t="s">
        <v>7238</v>
      </c>
      <c r="BV131" s="101" t="s">
        <v>7239</v>
      </c>
      <c r="BW131" s="101" t="s">
        <v>7240</v>
      </c>
      <c r="BX131" s="101" t="s">
        <v>7248</v>
      </c>
      <c r="BY131" s="101" t="s">
        <v>7242</v>
      </c>
      <c r="BZ131" s="101" t="s">
        <v>7243</v>
      </c>
      <c r="CA131" s="101" t="s">
        <v>7244</v>
      </c>
      <c r="CB131" s="102" t="s">
        <v>7245</v>
      </c>
      <c r="CC131" s="100" t="s">
        <v>6621</v>
      </c>
      <c r="CD131" s="101" t="s">
        <v>6622</v>
      </c>
      <c r="CE131" s="101" t="s">
        <v>6623</v>
      </c>
      <c r="CF131" s="101" t="s">
        <v>6624</v>
      </c>
      <c r="CG131" s="101" t="s">
        <v>6625</v>
      </c>
      <c r="CH131" s="101" t="s">
        <v>6626</v>
      </c>
      <c r="CI131" s="101" t="s">
        <v>6627</v>
      </c>
      <c r="CJ131" s="101" t="s">
        <v>6628</v>
      </c>
      <c r="CK131" s="101" t="s">
        <v>6629</v>
      </c>
      <c r="CL131" s="101" t="s">
        <v>6630</v>
      </c>
      <c r="CM131" s="101" t="s">
        <v>6631</v>
      </c>
      <c r="CN131" s="101" t="s">
        <v>6632</v>
      </c>
      <c r="CO131" s="101" t="s">
        <v>6633</v>
      </c>
      <c r="CP131" s="101" t="s">
        <v>6634</v>
      </c>
      <c r="CQ131" s="101" t="s">
        <v>6635</v>
      </c>
      <c r="CR131" s="102" t="s">
        <v>6636</v>
      </c>
    </row>
    <row r="132">
      <c r="A132" s="103"/>
      <c r="B132" s="103"/>
      <c r="C132" s="103"/>
      <c r="D132" s="103"/>
      <c r="E132" s="103"/>
      <c r="F132" s="103"/>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0" t="s">
        <v>7249</v>
      </c>
      <c r="AH132" s="101" t="s">
        <v>7250</v>
      </c>
      <c r="AI132" s="101" t="s">
        <v>7251</v>
      </c>
      <c r="AJ132" s="101" t="s">
        <v>7252</v>
      </c>
      <c r="AK132" s="101" t="s">
        <v>7253</v>
      </c>
      <c r="AL132" s="101" t="s">
        <v>7254</v>
      </c>
      <c r="AM132" s="101" t="s">
        <v>7255</v>
      </c>
      <c r="AN132" s="101" t="s">
        <v>7256</v>
      </c>
      <c r="AO132" s="101" t="s">
        <v>7257</v>
      </c>
      <c r="AP132" s="101" t="s">
        <v>7258</v>
      </c>
      <c r="AQ132" s="101" t="s">
        <v>7259</v>
      </c>
      <c r="AR132" s="101" t="s">
        <v>7260</v>
      </c>
      <c r="AS132" s="101" t="s">
        <v>7261</v>
      </c>
      <c r="AT132" s="101" t="s">
        <v>7262</v>
      </c>
      <c r="AU132" s="101" t="s">
        <v>7263</v>
      </c>
      <c r="AV132" s="107"/>
      <c r="AW132" s="100" t="s">
        <v>7264</v>
      </c>
      <c r="AX132" s="101" t="s">
        <v>7265</v>
      </c>
      <c r="AY132" s="101" t="s">
        <v>7266</v>
      </c>
      <c r="AZ132" s="101" t="s">
        <v>7267</v>
      </c>
      <c r="BA132" s="101" t="s">
        <v>7268</v>
      </c>
      <c r="BB132" s="101" t="s">
        <v>7269</v>
      </c>
      <c r="BC132" s="101" t="s">
        <v>7270</v>
      </c>
      <c r="BD132" s="101" t="s">
        <v>7271</v>
      </c>
      <c r="BE132" s="101" t="s">
        <v>7272</v>
      </c>
      <c r="BF132" s="101" t="s">
        <v>7273</v>
      </c>
      <c r="BG132" s="101" t="s">
        <v>7274</v>
      </c>
      <c r="BH132" s="101" t="s">
        <v>7275</v>
      </c>
      <c r="BI132" s="101" t="s">
        <v>7276</v>
      </c>
      <c r="BJ132" s="101" t="s">
        <v>7277</v>
      </c>
      <c r="BK132" s="101" t="s">
        <v>7278</v>
      </c>
      <c r="BL132" s="102" t="s">
        <v>7279</v>
      </c>
      <c r="BM132" s="100" t="s">
        <v>7264</v>
      </c>
      <c r="BN132" s="101" t="s">
        <v>7265</v>
      </c>
      <c r="BO132" s="101" t="s">
        <v>7266</v>
      </c>
      <c r="BP132" s="101" t="s">
        <v>7267</v>
      </c>
      <c r="BQ132" s="101" t="s">
        <v>7268</v>
      </c>
      <c r="BR132" s="101" t="s">
        <v>7269</v>
      </c>
      <c r="BS132" s="101" t="s">
        <v>7270</v>
      </c>
      <c r="BT132" s="101" t="s">
        <v>7271</v>
      </c>
      <c r="BU132" s="101" t="s">
        <v>7272</v>
      </c>
      <c r="BV132" s="101" t="s">
        <v>7273</v>
      </c>
      <c r="BW132" s="101" t="s">
        <v>7274</v>
      </c>
      <c r="BX132" s="101" t="s">
        <v>7275</v>
      </c>
      <c r="BY132" s="101" t="s">
        <v>7280</v>
      </c>
      <c r="BZ132" s="101" t="s">
        <v>7277</v>
      </c>
      <c r="CA132" s="101" t="s">
        <v>7281</v>
      </c>
      <c r="CB132" s="102" t="s">
        <v>7279</v>
      </c>
      <c r="CC132" s="100" t="s">
        <v>6655</v>
      </c>
      <c r="CD132" s="101" t="s">
        <v>6656</v>
      </c>
      <c r="CE132" s="101" t="s">
        <v>6657</v>
      </c>
      <c r="CF132" s="101" t="s">
        <v>6658</v>
      </c>
      <c r="CG132" s="101" t="s">
        <v>6659</v>
      </c>
      <c r="CH132" s="101" t="s">
        <v>6660</v>
      </c>
      <c r="CI132" s="101" t="s">
        <v>6661</v>
      </c>
      <c r="CJ132" s="101" t="s">
        <v>6662</v>
      </c>
      <c r="CK132" s="101" t="s">
        <v>6663</v>
      </c>
      <c r="CL132" s="101" t="s">
        <v>6664</v>
      </c>
      <c r="CM132" s="101" t="s">
        <v>6665</v>
      </c>
      <c r="CN132" s="101" t="s">
        <v>6666</v>
      </c>
      <c r="CO132" s="101" t="s">
        <v>6667</v>
      </c>
      <c r="CP132" s="101" t="s">
        <v>6668</v>
      </c>
      <c r="CQ132" s="101" t="s">
        <v>6669</v>
      </c>
      <c r="CR132" s="102" t="s">
        <v>6670</v>
      </c>
    </row>
    <row r="133">
      <c r="A133" s="103"/>
      <c r="B133" s="103"/>
      <c r="C133" s="103"/>
      <c r="D133" s="103"/>
      <c r="E133" s="103"/>
      <c r="F133" s="103"/>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0" t="s">
        <v>7282</v>
      </c>
      <c r="AH133" s="101" t="s">
        <v>7283</v>
      </c>
      <c r="AI133" s="101" t="s">
        <v>7284</v>
      </c>
      <c r="AJ133" s="101" t="s">
        <v>7285</v>
      </c>
      <c r="AK133" s="101" t="s">
        <v>7286</v>
      </c>
      <c r="AL133" s="101" t="s">
        <v>7287</v>
      </c>
      <c r="AM133" s="101" t="s">
        <v>7288</v>
      </c>
      <c r="AN133" s="101" t="s">
        <v>7289</v>
      </c>
      <c r="AO133" s="101" t="s">
        <v>7290</v>
      </c>
      <c r="AP133" s="101" t="s">
        <v>7291</v>
      </c>
      <c r="AQ133" s="101" t="s">
        <v>7292</v>
      </c>
      <c r="AR133" s="101" t="s">
        <v>7293</v>
      </c>
      <c r="AS133" s="101" t="s">
        <v>7294</v>
      </c>
      <c r="AT133" s="101" t="s">
        <v>7295</v>
      </c>
      <c r="AU133" s="101" t="s">
        <v>7296</v>
      </c>
      <c r="AV133" s="102" t="s">
        <v>7297</v>
      </c>
      <c r="AW133" s="100" t="s">
        <v>7298</v>
      </c>
      <c r="AX133" s="101" t="s">
        <v>7299</v>
      </c>
      <c r="AY133" s="101" t="s">
        <v>7300</v>
      </c>
      <c r="AZ133" s="101" t="s">
        <v>7301</v>
      </c>
      <c r="BA133" s="101" t="s">
        <v>7302</v>
      </c>
      <c r="BB133" s="101" t="s">
        <v>7303</v>
      </c>
      <c r="BC133" s="101" t="s">
        <v>7304</v>
      </c>
      <c r="BD133" s="101" t="s">
        <v>7305</v>
      </c>
      <c r="BE133" s="101" t="s">
        <v>7306</v>
      </c>
      <c r="BF133" s="101" t="s">
        <v>7307</v>
      </c>
      <c r="BG133" s="101" t="s">
        <v>7308</v>
      </c>
      <c r="BH133" s="101" t="s">
        <v>7309</v>
      </c>
      <c r="BI133" s="101" t="s">
        <v>7310</v>
      </c>
      <c r="BJ133" s="101" t="s">
        <v>7311</v>
      </c>
      <c r="BK133" s="101" t="s">
        <v>7312</v>
      </c>
      <c r="BL133" s="102" t="s">
        <v>7313</v>
      </c>
      <c r="BM133" s="100" t="s">
        <v>7298</v>
      </c>
      <c r="BN133" s="101" t="s">
        <v>7299</v>
      </c>
      <c r="BO133" s="101" t="s">
        <v>7300</v>
      </c>
      <c r="BP133" s="101" t="s">
        <v>7301</v>
      </c>
      <c r="BQ133" s="101" t="s">
        <v>7314</v>
      </c>
      <c r="BR133" s="101" t="s">
        <v>7303</v>
      </c>
      <c r="BS133" s="101" t="s">
        <v>7304</v>
      </c>
      <c r="BT133" s="101" t="s">
        <v>7305</v>
      </c>
      <c r="BU133" s="101" t="s">
        <v>7306</v>
      </c>
      <c r="BV133" s="101" t="s">
        <v>7307</v>
      </c>
      <c r="BW133" s="101" t="s">
        <v>7308</v>
      </c>
      <c r="BX133" s="101" t="s">
        <v>7309</v>
      </c>
      <c r="BY133" s="101" t="s">
        <v>7310</v>
      </c>
      <c r="BZ133" s="101" t="s">
        <v>7311</v>
      </c>
      <c r="CA133" s="101" t="s">
        <v>7312</v>
      </c>
      <c r="CB133" s="102" t="s">
        <v>7313</v>
      </c>
      <c r="CC133" s="100" t="s">
        <v>6689</v>
      </c>
      <c r="CD133" s="101" t="s">
        <v>6690</v>
      </c>
      <c r="CE133" s="101" t="s">
        <v>6691</v>
      </c>
      <c r="CF133" s="101" t="s">
        <v>6692</v>
      </c>
      <c r="CG133" s="101" t="s">
        <v>6693</v>
      </c>
      <c r="CH133" s="101" t="s">
        <v>6694</v>
      </c>
      <c r="CI133" s="101" t="s">
        <v>6695</v>
      </c>
      <c r="CJ133" s="101" t="s">
        <v>6696</v>
      </c>
      <c r="CK133" s="101" t="s">
        <v>6697</v>
      </c>
      <c r="CL133" s="101" t="s">
        <v>6698</v>
      </c>
      <c r="CM133" s="101" t="s">
        <v>6699</v>
      </c>
      <c r="CN133" s="101" t="s">
        <v>6700</v>
      </c>
      <c r="CO133" s="101" t="s">
        <v>6701</v>
      </c>
      <c r="CP133" s="101" t="s">
        <v>6702</v>
      </c>
      <c r="CQ133" s="101" t="s">
        <v>6703</v>
      </c>
      <c r="CR133" s="102" t="s">
        <v>6704</v>
      </c>
    </row>
    <row r="134">
      <c r="A134" s="103"/>
      <c r="B134" s="103"/>
      <c r="C134" s="103"/>
      <c r="D134" s="103"/>
      <c r="E134" s="103"/>
      <c r="F134" s="103"/>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0" t="s">
        <v>7315</v>
      </c>
      <c r="AH134" s="101" t="s">
        <v>7316</v>
      </c>
      <c r="AI134" s="101" t="s">
        <v>7317</v>
      </c>
      <c r="AJ134" s="101" t="s">
        <v>7318</v>
      </c>
      <c r="AK134" s="101" t="s">
        <v>7319</v>
      </c>
      <c r="AL134" s="101" t="s">
        <v>7320</v>
      </c>
      <c r="AM134" s="101" t="s">
        <v>7321</v>
      </c>
      <c r="AN134" s="101" t="s">
        <v>7322</v>
      </c>
      <c r="AO134" s="101" t="s">
        <v>7323</v>
      </c>
      <c r="AP134" s="101" t="s">
        <v>7324</v>
      </c>
      <c r="AQ134" s="101" t="s">
        <v>7325</v>
      </c>
      <c r="AR134" s="101" t="s">
        <v>7326</v>
      </c>
      <c r="AS134" s="101" t="s">
        <v>7327</v>
      </c>
      <c r="AT134" s="101" t="s">
        <v>7328</v>
      </c>
      <c r="AU134" s="101" t="s">
        <v>7329</v>
      </c>
      <c r="AV134" s="102" t="s">
        <v>7330</v>
      </c>
      <c r="AW134" s="100" t="s">
        <v>7331</v>
      </c>
      <c r="AX134" s="101" t="s">
        <v>7332</v>
      </c>
      <c r="AY134" s="101" t="s">
        <v>7333</v>
      </c>
      <c r="AZ134" s="101" t="s">
        <v>7334</v>
      </c>
      <c r="BA134" s="101" t="s">
        <v>7335</v>
      </c>
      <c r="BB134" s="101" t="s">
        <v>7336</v>
      </c>
      <c r="BC134" s="101" t="s">
        <v>7337</v>
      </c>
      <c r="BD134" s="101" t="s">
        <v>7338</v>
      </c>
      <c r="BE134" s="101" t="s">
        <v>7339</v>
      </c>
      <c r="BF134" s="101" t="s">
        <v>7340</v>
      </c>
      <c r="BG134" s="101" t="s">
        <v>7341</v>
      </c>
      <c r="BH134" s="101" t="s">
        <v>7342</v>
      </c>
      <c r="BI134" s="101" t="s">
        <v>7343</v>
      </c>
      <c r="BJ134" s="101" t="s">
        <v>7344</v>
      </c>
      <c r="BK134" s="101" t="s">
        <v>7345</v>
      </c>
      <c r="BL134" s="102" t="s">
        <v>7346</v>
      </c>
      <c r="BM134" s="100" t="s">
        <v>7331</v>
      </c>
      <c r="BN134" s="101" t="s">
        <v>7347</v>
      </c>
      <c r="BO134" s="101" t="s">
        <v>7333</v>
      </c>
      <c r="BP134" s="101" t="s">
        <v>7348</v>
      </c>
      <c r="BQ134" s="101" t="s">
        <v>7335</v>
      </c>
      <c r="BR134" s="101" t="s">
        <v>7336</v>
      </c>
      <c r="BS134" s="101" t="s">
        <v>7337</v>
      </c>
      <c r="BT134" s="101" t="s">
        <v>7338</v>
      </c>
      <c r="BU134" s="101" t="s">
        <v>7339</v>
      </c>
      <c r="BV134" s="101" t="s">
        <v>7340</v>
      </c>
      <c r="BW134" s="101" t="s">
        <v>7341</v>
      </c>
      <c r="BX134" s="101" t="s">
        <v>7342</v>
      </c>
      <c r="BY134" s="101" t="s">
        <v>7343</v>
      </c>
      <c r="BZ134" s="101" t="s">
        <v>7344</v>
      </c>
      <c r="CA134" s="101" t="s">
        <v>7345</v>
      </c>
      <c r="CB134" s="102" t="s">
        <v>7346</v>
      </c>
      <c r="CC134" s="100" t="s">
        <v>6725</v>
      </c>
      <c r="CD134" s="101" t="s">
        <v>6726</v>
      </c>
      <c r="CE134" s="101" t="s">
        <v>6727</v>
      </c>
      <c r="CF134" s="101" t="s">
        <v>6728</v>
      </c>
      <c r="CG134" s="101" t="s">
        <v>6729</v>
      </c>
      <c r="CH134" s="101" t="s">
        <v>6730</v>
      </c>
      <c r="CI134" s="101" t="s">
        <v>6731</v>
      </c>
      <c r="CJ134" s="101" t="s">
        <v>6732</v>
      </c>
      <c r="CK134" s="101" t="s">
        <v>6733</v>
      </c>
      <c r="CL134" s="101" t="s">
        <v>6734</v>
      </c>
      <c r="CM134" s="101" t="s">
        <v>6735</v>
      </c>
      <c r="CN134" s="101" t="s">
        <v>6736</v>
      </c>
      <c r="CO134" s="101" t="s">
        <v>6737</v>
      </c>
      <c r="CP134" s="101" t="s">
        <v>6738</v>
      </c>
      <c r="CQ134" s="101" t="s">
        <v>6739</v>
      </c>
      <c r="CR134" s="102" t="s">
        <v>6740</v>
      </c>
    </row>
    <row r="135">
      <c r="A135" s="103"/>
      <c r="B135" s="103"/>
      <c r="C135" s="103"/>
      <c r="D135" s="103"/>
      <c r="E135" s="103"/>
      <c r="F135" s="103"/>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5"/>
      <c r="AH135" s="106"/>
      <c r="AI135" s="106"/>
      <c r="AJ135" s="106"/>
      <c r="AK135" s="106"/>
      <c r="AL135" s="106"/>
      <c r="AM135" s="106"/>
      <c r="AN135" s="106"/>
      <c r="AO135" s="106"/>
      <c r="AP135" s="106"/>
      <c r="AQ135" s="106"/>
      <c r="AR135" s="106"/>
      <c r="AS135" s="106"/>
      <c r="AT135" s="106"/>
      <c r="AU135" s="106"/>
      <c r="AV135" s="107"/>
      <c r="AW135" s="100" t="s">
        <v>7349</v>
      </c>
      <c r="AX135" s="101" t="s">
        <v>7350</v>
      </c>
      <c r="AY135" s="101" t="s">
        <v>7351</v>
      </c>
      <c r="AZ135" s="101" t="s">
        <v>7352</v>
      </c>
      <c r="BA135" s="101" t="s">
        <v>7353</v>
      </c>
      <c r="BB135" s="101" t="s">
        <v>7354</v>
      </c>
      <c r="BC135" s="101" t="s">
        <v>7355</v>
      </c>
      <c r="BD135" s="101" t="s">
        <v>7356</v>
      </c>
      <c r="BE135" s="101" t="s">
        <v>7357</v>
      </c>
      <c r="BF135" s="101" t="s">
        <v>7358</v>
      </c>
      <c r="BG135" s="101" t="s">
        <v>7359</v>
      </c>
      <c r="BH135" s="101" t="s">
        <v>7360</v>
      </c>
      <c r="BI135" s="101" t="s">
        <v>7361</v>
      </c>
      <c r="BJ135" s="101" t="s">
        <v>7362</v>
      </c>
      <c r="BK135" s="101" t="s">
        <v>7363</v>
      </c>
      <c r="BL135" s="102" t="s">
        <v>7364</v>
      </c>
      <c r="BM135" s="100" t="s">
        <v>7365</v>
      </c>
      <c r="BN135" s="101" t="s">
        <v>7350</v>
      </c>
      <c r="BO135" s="101" t="s">
        <v>7351</v>
      </c>
      <c r="BP135" s="101" t="s">
        <v>7352</v>
      </c>
      <c r="BQ135" s="101" t="s">
        <v>7353</v>
      </c>
      <c r="BR135" s="101" t="s">
        <v>7366</v>
      </c>
      <c r="BS135" s="101" t="s">
        <v>7355</v>
      </c>
      <c r="BT135" s="101" t="s">
        <v>7356</v>
      </c>
      <c r="BU135" s="101" t="s">
        <v>7367</v>
      </c>
      <c r="BV135" s="101" t="s">
        <v>7358</v>
      </c>
      <c r="BW135" s="101" t="s">
        <v>7359</v>
      </c>
      <c r="BX135" s="101" t="s">
        <v>7360</v>
      </c>
      <c r="BY135" s="101" t="s">
        <v>7368</v>
      </c>
      <c r="BZ135" s="101" t="s">
        <v>7362</v>
      </c>
      <c r="CA135" s="101" t="s">
        <v>7369</v>
      </c>
      <c r="CB135" s="102" t="s">
        <v>7364</v>
      </c>
      <c r="CC135" s="100" t="s">
        <v>6785</v>
      </c>
      <c r="CD135" s="101" t="s">
        <v>6786</v>
      </c>
      <c r="CE135" s="101" t="s">
        <v>6787</v>
      </c>
      <c r="CF135" s="101" t="s">
        <v>6788</v>
      </c>
      <c r="CG135" s="101" t="s">
        <v>6789</v>
      </c>
      <c r="CH135" s="101" t="s">
        <v>6790</v>
      </c>
      <c r="CI135" s="101" t="s">
        <v>6791</v>
      </c>
      <c r="CJ135" s="101" t="s">
        <v>6792</v>
      </c>
      <c r="CK135" s="101" t="s">
        <v>6793</v>
      </c>
      <c r="CL135" s="101" t="s">
        <v>6794</v>
      </c>
      <c r="CM135" s="101" t="s">
        <v>6795</v>
      </c>
      <c r="CN135" s="101" t="s">
        <v>6796</v>
      </c>
      <c r="CO135" s="101" t="s">
        <v>6797</v>
      </c>
      <c r="CP135" s="101" t="s">
        <v>6798</v>
      </c>
      <c r="CQ135" s="101" t="s">
        <v>6799</v>
      </c>
      <c r="CR135" s="107"/>
    </row>
    <row r="136">
      <c r="A136" s="103"/>
      <c r="B136" s="103"/>
      <c r="C136" s="103"/>
      <c r="D136" s="103"/>
      <c r="E136" s="103"/>
      <c r="F136" s="103"/>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0" t="s">
        <v>7370</v>
      </c>
      <c r="AH136" s="101" t="s">
        <v>7371</v>
      </c>
      <c r="AI136" s="101" t="s">
        <v>7372</v>
      </c>
      <c r="AJ136" s="101" t="s">
        <v>7373</v>
      </c>
      <c r="AK136" s="101" t="s">
        <v>7374</v>
      </c>
      <c r="AL136" s="101" t="s">
        <v>7375</v>
      </c>
      <c r="AM136" s="101" t="s">
        <v>7376</v>
      </c>
      <c r="AN136" s="101" t="s">
        <v>7377</v>
      </c>
      <c r="AO136" s="101" t="s">
        <v>7378</v>
      </c>
      <c r="AP136" s="101" t="s">
        <v>7379</v>
      </c>
      <c r="AQ136" s="101" t="s">
        <v>7380</v>
      </c>
      <c r="AR136" s="101" t="s">
        <v>7381</v>
      </c>
      <c r="AS136" s="101" t="s">
        <v>7382</v>
      </c>
      <c r="AT136" s="101" t="s">
        <v>7383</v>
      </c>
      <c r="AU136" s="101" t="s">
        <v>7384</v>
      </c>
      <c r="AV136" s="102" t="s">
        <v>7385</v>
      </c>
      <c r="AW136" s="100" t="s">
        <v>7386</v>
      </c>
      <c r="AX136" s="101" t="s">
        <v>7387</v>
      </c>
      <c r="AY136" s="101" t="s">
        <v>7388</v>
      </c>
      <c r="AZ136" s="101" t="s">
        <v>7389</v>
      </c>
      <c r="BA136" s="101" t="s">
        <v>7390</v>
      </c>
      <c r="BB136" s="101" t="s">
        <v>7391</v>
      </c>
      <c r="BC136" s="101" t="s">
        <v>7392</v>
      </c>
      <c r="BD136" s="101" t="s">
        <v>7393</v>
      </c>
      <c r="BE136" s="101" t="s">
        <v>7394</v>
      </c>
      <c r="BF136" s="101" t="s">
        <v>7395</v>
      </c>
      <c r="BG136" s="101" t="s">
        <v>7396</v>
      </c>
      <c r="BH136" s="101" t="s">
        <v>7397</v>
      </c>
      <c r="BI136" s="101" t="s">
        <v>7398</v>
      </c>
      <c r="BJ136" s="101" t="s">
        <v>7399</v>
      </c>
      <c r="BK136" s="101" t="s">
        <v>7400</v>
      </c>
      <c r="BL136" s="102" t="s">
        <v>7401</v>
      </c>
      <c r="BM136" s="100" t="s">
        <v>7402</v>
      </c>
      <c r="BN136" s="101" t="s">
        <v>7387</v>
      </c>
      <c r="BO136" s="101" t="s">
        <v>7388</v>
      </c>
      <c r="BP136" s="101" t="s">
        <v>7389</v>
      </c>
      <c r="BQ136" s="101" t="s">
        <v>7390</v>
      </c>
      <c r="BR136" s="101" t="s">
        <v>7391</v>
      </c>
      <c r="BS136" s="101" t="s">
        <v>7392</v>
      </c>
      <c r="BT136" s="101" t="s">
        <v>7393</v>
      </c>
      <c r="BU136" s="101" t="s">
        <v>7394</v>
      </c>
      <c r="BV136" s="101" t="s">
        <v>7403</v>
      </c>
      <c r="BW136" s="101" t="s">
        <v>7396</v>
      </c>
      <c r="BX136" s="101" t="s">
        <v>7397</v>
      </c>
      <c r="BY136" s="101" t="s">
        <v>7398</v>
      </c>
      <c r="BZ136" s="101" t="s">
        <v>7404</v>
      </c>
      <c r="CA136" s="101" t="s">
        <v>7400</v>
      </c>
      <c r="CB136" s="102" t="s">
        <v>7401</v>
      </c>
      <c r="CC136" s="105"/>
      <c r="CD136" s="101" t="s">
        <v>6822</v>
      </c>
      <c r="CE136" s="101" t="s">
        <v>6823</v>
      </c>
      <c r="CF136" s="101" t="s">
        <v>6824</v>
      </c>
      <c r="CG136" s="101" t="s">
        <v>6825</v>
      </c>
      <c r="CH136" s="101" t="s">
        <v>6826</v>
      </c>
      <c r="CI136" s="101" t="s">
        <v>6827</v>
      </c>
      <c r="CJ136" s="101" t="s">
        <v>6828</v>
      </c>
      <c r="CK136" s="101" t="s">
        <v>6829</v>
      </c>
      <c r="CL136" s="101" t="s">
        <v>6830</v>
      </c>
      <c r="CM136" s="101" t="s">
        <v>6831</v>
      </c>
      <c r="CN136" s="101" t="s">
        <v>6832</v>
      </c>
      <c r="CO136" s="101" t="s">
        <v>6833</v>
      </c>
      <c r="CP136" s="101" t="s">
        <v>6834</v>
      </c>
      <c r="CQ136" s="101" t="s">
        <v>6835</v>
      </c>
      <c r="CR136" s="102" t="s">
        <v>6836</v>
      </c>
    </row>
    <row r="137">
      <c r="A137" s="103"/>
      <c r="B137" s="103"/>
      <c r="C137" s="103"/>
      <c r="D137" s="103"/>
      <c r="E137" s="103"/>
      <c r="F137" s="103"/>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0" t="s">
        <v>7405</v>
      </c>
      <c r="AH137" s="101" t="s">
        <v>7406</v>
      </c>
      <c r="AI137" s="101" t="s">
        <v>7407</v>
      </c>
      <c r="AJ137" s="101" t="s">
        <v>7408</v>
      </c>
      <c r="AK137" s="101" t="s">
        <v>7409</v>
      </c>
      <c r="AL137" s="101" t="s">
        <v>7410</v>
      </c>
      <c r="AM137" s="101" t="s">
        <v>7411</v>
      </c>
      <c r="AN137" s="101" t="s">
        <v>7412</v>
      </c>
      <c r="AO137" s="101" t="s">
        <v>7413</v>
      </c>
      <c r="AP137" s="101" t="s">
        <v>7414</v>
      </c>
      <c r="AQ137" s="101" t="s">
        <v>7415</v>
      </c>
      <c r="AR137" s="101" t="s">
        <v>7416</v>
      </c>
      <c r="AS137" s="101" t="s">
        <v>7417</v>
      </c>
      <c r="AT137" s="101" t="s">
        <v>7418</v>
      </c>
      <c r="AU137" s="101" t="s">
        <v>7419</v>
      </c>
      <c r="AV137" s="102" t="s">
        <v>7420</v>
      </c>
      <c r="AW137" s="100" t="s">
        <v>7421</v>
      </c>
      <c r="AX137" s="101" t="s">
        <v>7422</v>
      </c>
      <c r="AY137" s="101" t="s">
        <v>7423</v>
      </c>
      <c r="AZ137" s="101" t="s">
        <v>7424</v>
      </c>
      <c r="BA137" s="101" t="s">
        <v>7425</v>
      </c>
      <c r="BB137" s="101" t="s">
        <v>7426</v>
      </c>
      <c r="BC137" s="101" t="s">
        <v>7427</v>
      </c>
      <c r="BD137" s="101" t="s">
        <v>7428</v>
      </c>
      <c r="BE137" s="101" t="s">
        <v>7429</v>
      </c>
      <c r="BF137" s="101" t="s">
        <v>7430</v>
      </c>
      <c r="BG137" s="101" t="s">
        <v>7431</v>
      </c>
      <c r="BH137" s="101" t="s">
        <v>7432</v>
      </c>
      <c r="BI137" s="101" t="s">
        <v>7433</v>
      </c>
      <c r="BJ137" s="101" t="s">
        <v>7434</v>
      </c>
      <c r="BK137" s="101" t="s">
        <v>7435</v>
      </c>
      <c r="BL137" s="102" t="s">
        <v>7436</v>
      </c>
      <c r="BM137" s="100" t="s">
        <v>7421</v>
      </c>
      <c r="BN137" s="101" t="s">
        <v>7422</v>
      </c>
      <c r="BO137" s="101" t="s">
        <v>7423</v>
      </c>
      <c r="BP137" s="101" t="s">
        <v>7424</v>
      </c>
      <c r="BQ137" s="101" t="s">
        <v>7425</v>
      </c>
      <c r="BR137" s="101" t="s">
        <v>7426</v>
      </c>
      <c r="BS137" s="101" t="s">
        <v>7427</v>
      </c>
      <c r="BT137" s="101" t="s">
        <v>7428</v>
      </c>
      <c r="BU137" s="101" t="s">
        <v>7429</v>
      </c>
      <c r="BV137" s="101" t="s">
        <v>7430</v>
      </c>
      <c r="BW137" s="101" t="s">
        <v>7431</v>
      </c>
      <c r="BX137" s="101" t="s">
        <v>7432</v>
      </c>
      <c r="BY137" s="101" t="s">
        <v>7433</v>
      </c>
      <c r="BZ137" s="101" t="s">
        <v>7434</v>
      </c>
      <c r="CA137" s="101" t="s">
        <v>7435</v>
      </c>
      <c r="CB137" s="102" t="s">
        <v>7436</v>
      </c>
      <c r="CC137" s="100" t="s">
        <v>6857</v>
      </c>
      <c r="CD137" s="101" t="s">
        <v>6858</v>
      </c>
      <c r="CE137" s="101" t="s">
        <v>6859</v>
      </c>
      <c r="CF137" s="101" t="s">
        <v>6860</v>
      </c>
      <c r="CG137" s="101" t="s">
        <v>6861</v>
      </c>
      <c r="CH137" s="101" t="s">
        <v>6862</v>
      </c>
      <c r="CI137" s="101" t="s">
        <v>6863</v>
      </c>
      <c r="CJ137" s="101" t="s">
        <v>6864</v>
      </c>
      <c r="CK137" s="101" t="s">
        <v>6865</v>
      </c>
      <c r="CL137" s="101" t="s">
        <v>6866</v>
      </c>
      <c r="CM137" s="101" t="s">
        <v>704</v>
      </c>
      <c r="CN137" s="101" t="s">
        <v>6867</v>
      </c>
      <c r="CO137" s="101" t="s">
        <v>6868</v>
      </c>
      <c r="CP137" s="101" t="s">
        <v>6869</v>
      </c>
      <c r="CQ137" s="101" t="s">
        <v>6870</v>
      </c>
      <c r="CR137" s="102" t="s">
        <v>6871</v>
      </c>
    </row>
    <row r="138">
      <c r="A138" s="103"/>
      <c r="B138" s="103"/>
      <c r="C138" s="103"/>
      <c r="D138" s="103"/>
      <c r="E138" s="103"/>
      <c r="F138" s="103"/>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0" t="s">
        <v>7437</v>
      </c>
      <c r="AH138" s="101" t="s">
        <v>7438</v>
      </c>
      <c r="AI138" s="101" t="s">
        <v>7439</v>
      </c>
      <c r="AJ138" s="101" t="s">
        <v>7440</v>
      </c>
      <c r="AK138" s="101" t="s">
        <v>7441</v>
      </c>
      <c r="AL138" s="101" t="s">
        <v>7442</v>
      </c>
      <c r="AM138" s="101" t="s">
        <v>7443</v>
      </c>
      <c r="AN138" s="101" t="s">
        <v>7444</v>
      </c>
      <c r="AO138" s="101" t="s">
        <v>7445</v>
      </c>
      <c r="AP138" s="101" t="s">
        <v>7446</v>
      </c>
      <c r="AQ138" s="101" t="s">
        <v>7447</v>
      </c>
      <c r="AR138" s="101" t="s">
        <v>7448</v>
      </c>
      <c r="AS138" s="101" t="s">
        <v>7449</v>
      </c>
      <c r="AT138" s="101" t="s">
        <v>7450</v>
      </c>
      <c r="AU138" s="101" t="s">
        <v>7451</v>
      </c>
      <c r="AV138" s="102" t="s">
        <v>7452</v>
      </c>
      <c r="AW138" s="100" t="s">
        <v>7453</v>
      </c>
      <c r="AX138" s="101" t="s">
        <v>7454</v>
      </c>
      <c r="AY138" s="101" t="s">
        <v>7455</v>
      </c>
      <c r="AZ138" s="101" t="s">
        <v>7456</v>
      </c>
      <c r="BA138" s="101" t="s">
        <v>7457</v>
      </c>
      <c r="BB138" s="101" t="s">
        <v>7458</v>
      </c>
      <c r="BC138" s="101" t="s">
        <v>7459</v>
      </c>
      <c r="BD138" s="101" t="s">
        <v>7460</v>
      </c>
      <c r="BE138" s="101" t="s">
        <v>7461</v>
      </c>
      <c r="BF138" s="101" t="s">
        <v>7462</v>
      </c>
      <c r="BG138" s="101" t="s">
        <v>7463</v>
      </c>
      <c r="BH138" s="101" t="s">
        <v>7464</v>
      </c>
      <c r="BI138" s="101" t="s">
        <v>7465</v>
      </c>
      <c r="BJ138" s="101" t="s">
        <v>7466</v>
      </c>
      <c r="BK138" s="101" t="s">
        <v>7467</v>
      </c>
      <c r="BL138" s="102" t="s">
        <v>7468</v>
      </c>
      <c r="BM138" s="100" t="s">
        <v>7453</v>
      </c>
      <c r="BN138" s="101" t="s">
        <v>7454</v>
      </c>
      <c r="BO138" s="101" t="s">
        <v>7455</v>
      </c>
      <c r="BP138" s="101" t="s">
        <v>7469</v>
      </c>
      <c r="BQ138" s="101" t="s">
        <v>7457</v>
      </c>
      <c r="BR138" s="101" t="s">
        <v>7470</v>
      </c>
      <c r="BS138" s="101" t="s">
        <v>7459</v>
      </c>
      <c r="BT138" s="101" t="s">
        <v>7460</v>
      </c>
      <c r="BU138" s="101" t="s">
        <v>7461</v>
      </c>
      <c r="BV138" s="101" t="s">
        <v>7462</v>
      </c>
      <c r="BW138" s="101" t="s">
        <v>7463</v>
      </c>
      <c r="BX138" s="101" t="s">
        <v>7471</v>
      </c>
      <c r="BY138" s="101" t="s">
        <v>7465</v>
      </c>
      <c r="BZ138" s="101" t="s">
        <v>7466</v>
      </c>
      <c r="CA138" s="101" t="s">
        <v>7467</v>
      </c>
      <c r="CB138" s="102" t="s">
        <v>7472</v>
      </c>
      <c r="CC138" s="100" t="s">
        <v>6895</v>
      </c>
      <c r="CD138" s="101" t="s">
        <v>6896</v>
      </c>
      <c r="CE138" s="101" t="s">
        <v>6897</v>
      </c>
      <c r="CF138" s="101" t="s">
        <v>6898</v>
      </c>
      <c r="CG138" s="101" t="s">
        <v>6899</v>
      </c>
      <c r="CH138" s="101" t="s">
        <v>6900</v>
      </c>
      <c r="CI138" s="101" t="s">
        <v>6901</v>
      </c>
      <c r="CJ138" s="101" t="s">
        <v>6902</v>
      </c>
      <c r="CK138" s="101" t="s">
        <v>6903</v>
      </c>
      <c r="CL138" s="101" t="s">
        <v>6904</v>
      </c>
      <c r="CM138" s="101" t="s">
        <v>6905</v>
      </c>
      <c r="CN138" s="101" t="s">
        <v>6906</v>
      </c>
      <c r="CO138" s="101" t="s">
        <v>6907</v>
      </c>
      <c r="CP138" s="101" t="s">
        <v>6908</v>
      </c>
      <c r="CQ138" s="101" t="s">
        <v>6909</v>
      </c>
      <c r="CR138" s="102" t="s">
        <v>6910</v>
      </c>
    </row>
    <row r="139">
      <c r="A139" s="103"/>
      <c r="B139" s="103"/>
      <c r="C139" s="103"/>
      <c r="D139" s="103"/>
      <c r="E139" s="103"/>
      <c r="F139" s="103"/>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0" t="s">
        <v>7473</v>
      </c>
      <c r="AH139" s="101" t="s">
        <v>7474</v>
      </c>
      <c r="AI139" s="101" t="s">
        <v>7475</v>
      </c>
      <c r="AJ139" s="101" t="s">
        <v>7476</v>
      </c>
      <c r="AK139" s="101" t="s">
        <v>7477</v>
      </c>
      <c r="AL139" s="101" t="s">
        <v>7478</v>
      </c>
      <c r="AM139" s="101" t="s">
        <v>7479</v>
      </c>
      <c r="AN139" s="101" t="s">
        <v>7480</v>
      </c>
      <c r="AO139" s="101" t="s">
        <v>7481</v>
      </c>
      <c r="AP139" s="101" t="s">
        <v>7482</v>
      </c>
      <c r="AQ139" s="101" t="s">
        <v>7483</v>
      </c>
      <c r="AR139" s="101" t="s">
        <v>7484</v>
      </c>
      <c r="AS139" s="101" t="s">
        <v>7485</v>
      </c>
      <c r="AT139" s="101" t="s">
        <v>7486</v>
      </c>
      <c r="AU139" s="101" t="s">
        <v>7487</v>
      </c>
      <c r="AV139" s="107"/>
      <c r="AW139" s="100" t="s">
        <v>7488</v>
      </c>
      <c r="AX139" s="101" t="s">
        <v>7489</v>
      </c>
      <c r="AY139" s="101" t="s">
        <v>7490</v>
      </c>
      <c r="AZ139" s="101" t="s">
        <v>7491</v>
      </c>
      <c r="BA139" s="101" t="s">
        <v>7492</v>
      </c>
      <c r="BB139" s="101" t="s">
        <v>7493</v>
      </c>
      <c r="BC139" s="101" t="s">
        <v>7494</v>
      </c>
      <c r="BD139" s="101" t="s">
        <v>7495</v>
      </c>
      <c r="BE139" s="101" t="s">
        <v>7496</v>
      </c>
      <c r="BF139" s="101" t="s">
        <v>7497</v>
      </c>
      <c r="BG139" s="101" t="s">
        <v>7498</v>
      </c>
      <c r="BH139" s="101" t="s">
        <v>7499</v>
      </c>
      <c r="BI139" s="101" t="s">
        <v>7500</v>
      </c>
      <c r="BJ139" s="101" t="s">
        <v>7501</v>
      </c>
      <c r="BK139" s="101" t="s">
        <v>7502</v>
      </c>
      <c r="BL139" s="102" t="s">
        <v>7503</v>
      </c>
      <c r="BM139" s="100" t="s">
        <v>7504</v>
      </c>
      <c r="BN139" s="101" t="s">
        <v>7489</v>
      </c>
      <c r="BO139" s="101" t="s">
        <v>7490</v>
      </c>
      <c r="BP139" s="101" t="s">
        <v>7491</v>
      </c>
      <c r="BQ139" s="101" t="s">
        <v>7492</v>
      </c>
      <c r="BR139" s="101" t="s">
        <v>7493</v>
      </c>
      <c r="BS139" s="101" t="s">
        <v>7494</v>
      </c>
      <c r="BT139" s="101" t="s">
        <v>7495</v>
      </c>
      <c r="BU139" s="101" t="s">
        <v>7496</v>
      </c>
      <c r="BV139" s="101" t="s">
        <v>7497</v>
      </c>
      <c r="BW139" s="101" t="s">
        <v>7498</v>
      </c>
      <c r="BX139" s="101" t="s">
        <v>7499</v>
      </c>
      <c r="BY139" s="101" t="s">
        <v>7500</v>
      </c>
      <c r="BZ139" s="101" t="s">
        <v>7501</v>
      </c>
      <c r="CA139" s="101" t="s">
        <v>7502</v>
      </c>
      <c r="CB139" s="102" t="s">
        <v>7503</v>
      </c>
      <c r="CC139" s="100" t="s">
        <v>6936</v>
      </c>
      <c r="CD139" s="101" t="s">
        <v>6937</v>
      </c>
      <c r="CE139" s="101" t="s">
        <v>6938</v>
      </c>
      <c r="CF139" s="101" t="s">
        <v>6939</v>
      </c>
      <c r="CG139" s="101" t="s">
        <v>6940</v>
      </c>
      <c r="CH139" s="101" t="s">
        <v>6941</v>
      </c>
      <c r="CI139" s="101" t="s">
        <v>6942</v>
      </c>
      <c r="CJ139" s="101" t="s">
        <v>6943</v>
      </c>
      <c r="CK139" s="101" t="s">
        <v>6944</v>
      </c>
      <c r="CL139" s="101" t="s">
        <v>6945</v>
      </c>
      <c r="CM139" s="101" t="s">
        <v>6946</v>
      </c>
      <c r="CN139" s="101" t="s">
        <v>6947</v>
      </c>
      <c r="CO139" s="101" t="s">
        <v>6948</v>
      </c>
      <c r="CP139" s="101" t="s">
        <v>6949</v>
      </c>
      <c r="CQ139" s="101" t="s">
        <v>6950</v>
      </c>
      <c r="CR139" s="102" t="s">
        <v>6951</v>
      </c>
    </row>
    <row r="140">
      <c r="A140" s="103"/>
      <c r="B140" s="103"/>
      <c r="C140" s="103"/>
      <c r="D140" s="103"/>
      <c r="E140" s="103"/>
      <c r="F140" s="103"/>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5"/>
      <c r="AH140" s="101" t="s">
        <v>7505</v>
      </c>
      <c r="AI140" s="101" t="s">
        <v>7506</v>
      </c>
      <c r="AJ140" s="101" t="s">
        <v>7507</v>
      </c>
      <c r="AK140" s="101" t="s">
        <v>7508</v>
      </c>
      <c r="AL140" s="101" t="s">
        <v>7509</v>
      </c>
      <c r="AM140" s="101" t="s">
        <v>7510</v>
      </c>
      <c r="AN140" s="101" t="s">
        <v>7511</v>
      </c>
      <c r="AO140" s="101" t="s">
        <v>7512</v>
      </c>
      <c r="AP140" s="101" t="s">
        <v>7513</v>
      </c>
      <c r="AQ140" s="101" t="s">
        <v>7514</v>
      </c>
      <c r="AR140" s="101" t="s">
        <v>7515</v>
      </c>
      <c r="AS140" s="101" t="s">
        <v>7516</v>
      </c>
      <c r="AT140" s="101" t="s">
        <v>7517</v>
      </c>
      <c r="AU140" s="101" t="s">
        <v>7518</v>
      </c>
      <c r="AV140" s="102" t="s">
        <v>7519</v>
      </c>
      <c r="AW140" s="100" t="s">
        <v>7520</v>
      </c>
      <c r="AX140" s="101" t="s">
        <v>7521</v>
      </c>
      <c r="AY140" s="101" t="s">
        <v>7522</v>
      </c>
      <c r="AZ140" s="101" t="s">
        <v>7523</v>
      </c>
      <c r="BA140" s="101" t="s">
        <v>7524</v>
      </c>
      <c r="BB140" s="101" t="s">
        <v>7525</v>
      </c>
      <c r="BC140" s="101" t="s">
        <v>7526</v>
      </c>
      <c r="BD140" s="101" t="s">
        <v>7527</v>
      </c>
      <c r="BE140" s="101" t="s">
        <v>7528</v>
      </c>
      <c r="BF140" s="101" t="s">
        <v>7529</v>
      </c>
      <c r="BG140" s="101" t="s">
        <v>7530</v>
      </c>
      <c r="BH140" s="101" t="s">
        <v>7531</v>
      </c>
      <c r="BI140" s="101" t="s">
        <v>7532</v>
      </c>
      <c r="BJ140" s="101" t="s">
        <v>7533</v>
      </c>
      <c r="BK140" s="101" t="s">
        <v>7534</v>
      </c>
      <c r="BL140" s="102" t="s">
        <v>7535</v>
      </c>
      <c r="BM140" s="100" t="s">
        <v>7520</v>
      </c>
      <c r="BN140" s="101" t="s">
        <v>7521</v>
      </c>
      <c r="BO140" s="101" t="s">
        <v>7522</v>
      </c>
      <c r="BP140" s="101" t="s">
        <v>7523</v>
      </c>
      <c r="BQ140" s="101" t="s">
        <v>7524</v>
      </c>
      <c r="BR140" s="101" t="s">
        <v>7525</v>
      </c>
      <c r="BS140" s="101" t="s">
        <v>7526</v>
      </c>
      <c r="BT140" s="101" t="s">
        <v>7536</v>
      </c>
      <c r="BU140" s="101" t="s">
        <v>7537</v>
      </c>
      <c r="BV140" s="101" t="s">
        <v>7529</v>
      </c>
      <c r="BW140" s="101" t="s">
        <v>7530</v>
      </c>
      <c r="BX140" s="101" t="s">
        <v>7531</v>
      </c>
      <c r="BY140" s="101" t="s">
        <v>7532</v>
      </c>
      <c r="BZ140" s="101" t="s">
        <v>7533</v>
      </c>
      <c r="CA140" s="101" t="s">
        <v>7534</v>
      </c>
      <c r="CB140" s="102" t="s">
        <v>7538</v>
      </c>
      <c r="CC140" s="100" t="s">
        <v>6977</v>
      </c>
      <c r="CD140" s="101" t="s">
        <v>6978</v>
      </c>
      <c r="CE140" s="101" t="s">
        <v>6979</v>
      </c>
      <c r="CF140" s="101" t="s">
        <v>6980</v>
      </c>
      <c r="CG140" s="101" t="s">
        <v>6981</v>
      </c>
      <c r="CH140" s="101" t="s">
        <v>6982</v>
      </c>
      <c r="CI140" s="101" t="s">
        <v>6983</v>
      </c>
      <c r="CJ140" s="101" t="s">
        <v>6984</v>
      </c>
      <c r="CK140" s="101" t="s">
        <v>6985</v>
      </c>
      <c r="CL140" s="101" t="s">
        <v>6986</v>
      </c>
      <c r="CM140" s="101" t="s">
        <v>6987</v>
      </c>
      <c r="CN140" s="101" t="s">
        <v>6988</v>
      </c>
      <c r="CO140" s="101" t="s">
        <v>6989</v>
      </c>
      <c r="CP140" s="101" t="s">
        <v>6990</v>
      </c>
      <c r="CQ140" s="101" t="s">
        <v>6991</v>
      </c>
      <c r="CR140" s="102" t="s">
        <v>6992</v>
      </c>
    </row>
    <row r="141">
      <c r="A141" s="103"/>
      <c r="B141" s="103"/>
      <c r="C141" s="103"/>
      <c r="D141" s="103"/>
      <c r="E141" s="103"/>
      <c r="F141" s="103"/>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0" t="s">
        <v>7539</v>
      </c>
      <c r="AH141" s="101" t="s">
        <v>7540</v>
      </c>
      <c r="AI141" s="101" t="s">
        <v>7541</v>
      </c>
      <c r="AJ141" s="101" t="s">
        <v>7542</v>
      </c>
      <c r="AK141" s="101" t="s">
        <v>7543</v>
      </c>
      <c r="AL141" s="101" t="s">
        <v>7544</v>
      </c>
      <c r="AM141" s="101" t="s">
        <v>7545</v>
      </c>
      <c r="AN141" s="101" t="s">
        <v>7546</v>
      </c>
      <c r="AO141" s="101" t="s">
        <v>7547</v>
      </c>
      <c r="AP141" s="101" t="s">
        <v>7548</v>
      </c>
      <c r="AQ141" s="101" t="s">
        <v>7549</v>
      </c>
      <c r="AR141" s="101" t="s">
        <v>7550</v>
      </c>
      <c r="AS141" s="101" t="s">
        <v>7551</v>
      </c>
      <c r="AT141" s="101" t="s">
        <v>7552</v>
      </c>
      <c r="AU141" s="101" t="s">
        <v>7553</v>
      </c>
      <c r="AV141" s="102" t="s">
        <v>7554</v>
      </c>
      <c r="AW141" s="100" t="s">
        <v>7555</v>
      </c>
      <c r="AX141" s="101" t="s">
        <v>7556</v>
      </c>
      <c r="AY141" s="101" t="s">
        <v>7557</v>
      </c>
      <c r="AZ141" s="101" t="s">
        <v>7558</v>
      </c>
      <c r="BA141" s="101" t="s">
        <v>7559</v>
      </c>
      <c r="BB141" s="101" t="s">
        <v>7560</v>
      </c>
      <c r="BC141" s="101" t="s">
        <v>7561</v>
      </c>
      <c r="BD141" s="101" t="s">
        <v>7562</v>
      </c>
      <c r="BE141" s="101" t="s">
        <v>7563</v>
      </c>
      <c r="BF141" s="101" t="s">
        <v>7564</v>
      </c>
      <c r="BG141" s="101" t="s">
        <v>7565</v>
      </c>
      <c r="BH141" s="101" t="s">
        <v>7566</v>
      </c>
      <c r="BI141" s="101" t="s">
        <v>7567</v>
      </c>
      <c r="BJ141" s="101" t="s">
        <v>7568</v>
      </c>
      <c r="BK141" s="101" t="s">
        <v>7569</v>
      </c>
      <c r="BL141" s="102" t="s">
        <v>7570</v>
      </c>
      <c r="BM141" s="100" t="s">
        <v>7555</v>
      </c>
      <c r="BN141" s="101" t="s">
        <v>7556</v>
      </c>
      <c r="BO141" s="101" t="s">
        <v>7557</v>
      </c>
      <c r="BP141" s="101" t="s">
        <v>7558</v>
      </c>
      <c r="BQ141" s="101" t="s">
        <v>7559</v>
      </c>
      <c r="BR141" s="101" t="s">
        <v>7560</v>
      </c>
      <c r="BS141" s="101" t="s">
        <v>7571</v>
      </c>
      <c r="BT141" s="101" t="s">
        <v>7562</v>
      </c>
      <c r="BU141" s="101" t="s">
        <v>7563</v>
      </c>
      <c r="BV141" s="101" t="s">
        <v>7564</v>
      </c>
      <c r="BW141" s="101" t="s">
        <v>7565</v>
      </c>
      <c r="BX141" s="101" t="s">
        <v>7566</v>
      </c>
      <c r="BY141" s="101" t="s">
        <v>7567</v>
      </c>
      <c r="BZ141" s="101" t="s">
        <v>7568</v>
      </c>
      <c r="CA141" s="101" t="s">
        <v>7569</v>
      </c>
      <c r="CB141" s="102" t="s">
        <v>7570</v>
      </c>
      <c r="CC141" s="100" t="s">
        <v>7015</v>
      </c>
      <c r="CD141" s="101" t="s">
        <v>7016</v>
      </c>
      <c r="CE141" s="101" t="s">
        <v>7017</v>
      </c>
      <c r="CF141" s="101" t="s">
        <v>7018</v>
      </c>
      <c r="CG141" s="101" t="s">
        <v>7019</v>
      </c>
      <c r="CH141" s="101" t="s">
        <v>7020</v>
      </c>
      <c r="CI141" s="101" t="s">
        <v>7021</v>
      </c>
      <c r="CJ141" s="101" t="s">
        <v>7022</v>
      </c>
      <c r="CK141" s="101" t="s">
        <v>7023</v>
      </c>
      <c r="CL141" s="101" t="s">
        <v>7024</v>
      </c>
      <c r="CM141" s="101" t="s">
        <v>7025</v>
      </c>
      <c r="CN141" s="101" t="s">
        <v>7026</v>
      </c>
      <c r="CO141" s="101" t="s">
        <v>7027</v>
      </c>
      <c r="CP141" s="101" t="s">
        <v>7028</v>
      </c>
      <c r="CQ141" s="101" t="s">
        <v>7029</v>
      </c>
      <c r="CR141" s="107"/>
    </row>
    <row r="142">
      <c r="A142" s="103"/>
      <c r="B142" s="103"/>
      <c r="C142" s="103"/>
      <c r="D142" s="103"/>
      <c r="E142" s="103"/>
      <c r="F142" s="103"/>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0" t="s">
        <v>7572</v>
      </c>
      <c r="AH142" s="101" t="s">
        <v>7573</v>
      </c>
      <c r="AI142" s="101" t="s">
        <v>7574</v>
      </c>
      <c r="AJ142" s="101" t="s">
        <v>7575</v>
      </c>
      <c r="AK142" s="101" t="s">
        <v>7576</v>
      </c>
      <c r="AL142" s="101" t="s">
        <v>7577</v>
      </c>
      <c r="AM142" s="101" t="s">
        <v>7578</v>
      </c>
      <c r="AN142" s="101" t="s">
        <v>7579</v>
      </c>
      <c r="AO142" s="101" t="s">
        <v>7580</v>
      </c>
      <c r="AP142" s="101" t="s">
        <v>7581</v>
      </c>
      <c r="AQ142" s="101" t="s">
        <v>7582</v>
      </c>
      <c r="AR142" s="101" t="s">
        <v>7583</v>
      </c>
      <c r="AS142" s="101" t="s">
        <v>7584</v>
      </c>
      <c r="AT142" s="101" t="s">
        <v>7585</v>
      </c>
      <c r="AU142" s="101" t="s">
        <v>7586</v>
      </c>
      <c r="AV142" s="102" t="s">
        <v>7587</v>
      </c>
      <c r="AW142" s="100" t="s">
        <v>7588</v>
      </c>
      <c r="AX142" s="101" t="s">
        <v>7589</v>
      </c>
      <c r="AY142" s="101" t="s">
        <v>7590</v>
      </c>
      <c r="AZ142" s="101" t="s">
        <v>7591</v>
      </c>
      <c r="BA142" s="101" t="s">
        <v>7592</v>
      </c>
      <c r="BB142" s="101" t="s">
        <v>7593</v>
      </c>
      <c r="BC142" s="101" t="s">
        <v>7594</v>
      </c>
      <c r="BD142" s="101" t="s">
        <v>7595</v>
      </c>
      <c r="BE142" s="101" t="s">
        <v>7596</v>
      </c>
      <c r="BF142" s="101" t="s">
        <v>7597</v>
      </c>
      <c r="BG142" s="101" t="s">
        <v>7598</v>
      </c>
      <c r="BH142" s="101" t="s">
        <v>7599</v>
      </c>
      <c r="BI142" s="101" t="s">
        <v>7600</v>
      </c>
      <c r="BJ142" s="101" t="s">
        <v>7601</v>
      </c>
      <c r="BK142" s="101" t="s">
        <v>7602</v>
      </c>
      <c r="BL142" s="102" t="s">
        <v>7603</v>
      </c>
      <c r="BM142" s="100" t="s">
        <v>7588</v>
      </c>
      <c r="BN142" s="101" t="s">
        <v>7589</v>
      </c>
      <c r="BO142" s="101" t="s">
        <v>7590</v>
      </c>
      <c r="BP142" s="101" t="s">
        <v>7591</v>
      </c>
      <c r="BQ142" s="101" t="s">
        <v>7592</v>
      </c>
      <c r="BR142" s="101" t="s">
        <v>7604</v>
      </c>
      <c r="BS142" s="101" t="s">
        <v>7605</v>
      </c>
      <c r="BT142" s="101" t="s">
        <v>7595</v>
      </c>
      <c r="BU142" s="101" t="s">
        <v>7596</v>
      </c>
      <c r="BV142" s="101" t="s">
        <v>7606</v>
      </c>
      <c r="BW142" s="101" t="s">
        <v>7598</v>
      </c>
      <c r="BX142" s="101" t="s">
        <v>7599</v>
      </c>
      <c r="BY142" s="101" t="s">
        <v>7600</v>
      </c>
      <c r="BZ142" s="101" t="s">
        <v>7601</v>
      </c>
      <c r="CA142" s="101" t="s">
        <v>7602</v>
      </c>
      <c r="CB142" s="102" t="s">
        <v>7603</v>
      </c>
      <c r="CC142" s="105"/>
      <c r="CD142" s="101" t="s">
        <v>7051</v>
      </c>
      <c r="CE142" s="101" t="s">
        <v>7052</v>
      </c>
      <c r="CF142" s="101" t="s">
        <v>7053</v>
      </c>
      <c r="CG142" s="101" t="s">
        <v>7054</v>
      </c>
      <c r="CH142" s="101" t="s">
        <v>7055</v>
      </c>
      <c r="CI142" s="101" t="s">
        <v>7056</v>
      </c>
      <c r="CJ142" s="101" t="s">
        <v>7057</v>
      </c>
      <c r="CK142" s="101" t="s">
        <v>7058</v>
      </c>
      <c r="CL142" s="101" t="s">
        <v>7059</v>
      </c>
      <c r="CM142" s="101" t="s">
        <v>7060</v>
      </c>
      <c r="CN142" s="101" t="s">
        <v>7061</v>
      </c>
      <c r="CO142" s="101" t="s">
        <v>7062</v>
      </c>
      <c r="CP142" s="101" t="s">
        <v>7063</v>
      </c>
      <c r="CQ142" s="101" t="s">
        <v>7064</v>
      </c>
      <c r="CR142" s="102" t="s">
        <v>7065</v>
      </c>
    </row>
    <row r="143">
      <c r="A143" s="103"/>
      <c r="B143" s="103"/>
      <c r="C143" s="103"/>
      <c r="D143" s="103"/>
      <c r="E143" s="103"/>
      <c r="F143" s="103"/>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0" t="s">
        <v>7607</v>
      </c>
      <c r="AH143" s="101" t="s">
        <v>7608</v>
      </c>
      <c r="AI143" s="101" t="s">
        <v>7609</v>
      </c>
      <c r="AJ143" s="101" t="s">
        <v>7610</v>
      </c>
      <c r="AK143" s="101" t="s">
        <v>7611</v>
      </c>
      <c r="AL143" s="101" t="s">
        <v>7612</v>
      </c>
      <c r="AM143" s="101" t="s">
        <v>7613</v>
      </c>
      <c r="AN143" s="101" t="s">
        <v>7614</v>
      </c>
      <c r="AO143" s="101" t="s">
        <v>7615</v>
      </c>
      <c r="AP143" s="101" t="s">
        <v>7616</v>
      </c>
      <c r="AQ143" s="101" t="s">
        <v>7617</v>
      </c>
      <c r="AR143" s="101" t="s">
        <v>7618</v>
      </c>
      <c r="AS143" s="101" t="s">
        <v>7619</v>
      </c>
      <c r="AT143" s="101" t="s">
        <v>7620</v>
      </c>
      <c r="AU143" s="101" t="s">
        <v>7621</v>
      </c>
      <c r="AV143" s="102" t="s">
        <v>7622</v>
      </c>
      <c r="AW143" s="100" t="s">
        <v>7623</v>
      </c>
      <c r="AX143" s="101" t="s">
        <v>7624</v>
      </c>
      <c r="AY143" s="101" t="s">
        <v>7625</v>
      </c>
      <c r="AZ143" s="101" t="s">
        <v>7626</v>
      </c>
      <c r="BA143" s="101" t="s">
        <v>7627</v>
      </c>
      <c r="BB143" s="101" t="s">
        <v>7628</v>
      </c>
      <c r="BC143" s="101" t="s">
        <v>7629</v>
      </c>
      <c r="BD143" s="101" t="s">
        <v>7630</v>
      </c>
      <c r="BE143" s="101" t="s">
        <v>7631</v>
      </c>
      <c r="BF143" s="101" t="s">
        <v>7632</v>
      </c>
      <c r="BG143" s="101" t="s">
        <v>7633</v>
      </c>
      <c r="BH143" s="101" t="s">
        <v>7634</v>
      </c>
      <c r="BI143" s="101" t="s">
        <v>7635</v>
      </c>
      <c r="BJ143" s="101" t="s">
        <v>7636</v>
      </c>
      <c r="BK143" s="101" t="s">
        <v>7637</v>
      </c>
      <c r="BL143" s="102" t="s">
        <v>7638</v>
      </c>
      <c r="BM143" s="100" t="s">
        <v>7623</v>
      </c>
      <c r="BN143" s="101" t="s">
        <v>7639</v>
      </c>
      <c r="BO143" s="101" t="s">
        <v>7625</v>
      </c>
      <c r="BP143" s="101" t="s">
        <v>7626</v>
      </c>
      <c r="BQ143" s="101" t="s">
        <v>7627</v>
      </c>
      <c r="BR143" s="101" t="s">
        <v>7628</v>
      </c>
      <c r="BS143" s="101" t="s">
        <v>7629</v>
      </c>
      <c r="BT143" s="101" t="s">
        <v>7630</v>
      </c>
      <c r="BU143" s="101" t="s">
        <v>7631</v>
      </c>
      <c r="BV143" s="101" t="s">
        <v>7632</v>
      </c>
      <c r="BW143" s="101" t="s">
        <v>7633</v>
      </c>
      <c r="BX143" s="101" t="s">
        <v>7634</v>
      </c>
      <c r="BY143" s="101" t="s">
        <v>7635</v>
      </c>
      <c r="BZ143" s="101" t="s">
        <v>7636</v>
      </c>
      <c r="CA143" s="101" t="s">
        <v>7637</v>
      </c>
      <c r="CB143" s="102" t="s">
        <v>7640</v>
      </c>
      <c r="CC143" s="100" t="s">
        <v>7088</v>
      </c>
      <c r="CD143" s="101" t="s">
        <v>7089</v>
      </c>
      <c r="CE143" s="101" t="s">
        <v>7090</v>
      </c>
      <c r="CF143" s="101" t="s">
        <v>7091</v>
      </c>
      <c r="CG143" s="101" t="s">
        <v>7092</v>
      </c>
      <c r="CH143" s="101" t="s">
        <v>7093</v>
      </c>
      <c r="CI143" s="101" t="s">
        <v>7094</v>
      </c>
      <c r="CJ143" s="101" t="s">
        <v>7095</v>
      </c>
      <c r="CK143" s="101" t="s">
        <v>7096</v>
      </c>
      <c r="CL143" s="101" t="s">
        <v>7097</v>
      </c>
      <c r="CM143" s="101" t="s">
        <v>7098</v>
      </c>
      <c r="CN143" s="101" t="s">
        <v>7099</v>
      </c>
      <c r="CO143" s="101" t="s">
        <v>7100</v>
      </c>
      <c r="CP143" s="101" t="s">
        <v>7101</v>
      </c>
      <c r="CQ143" s="101" t="s">
        <v>7102</v>
      </c>
      <c r="CR143" s="102" t="s">
        <v>7103</v>
      </c>
    </row>
    <row r="144">
      <c r="A144" s="103"/>
      <c r="B144" s="103"/>
      <c r="C144" s="103"/>
      <c r="D144" s="103"/>
      <c r="E144" s="103"/>
      <c r="F144" s="103"/>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0" t="s">
        <v>7641</v>
      </c>
      <c r="AH144" s="101" t="s">
        <v>7642</v>
      </c>
      <c r="AI144" s="101" t="s">
        <v>7643</v>
      </c>
      <c r="AJ144" s="101" t="s">
        <v>7644</v>
      </c>
      <c r="AK144" s="101" t="s">
        <v>7645</v>
      </c>
      <c r="AL144" s="101" t="s">
        <v>7646</v>
      </c>
      <c r="AM144" s="101" t="s">
        <v>7647</v>
      </c>
      <c r="AN144" s="101" t="s">
        <v>7648</v>
      </c>
      <c r="AO144" s="101" t="s">
        <v>7649</v>
      </c>
      <c r="AP144" s="101" t="s">
        <v>7650</v>
      </c>
      <c r="AQ144" s="101" t="s">
        <v>7651</v>
      </c>
      <c r="AR144" s="101" t="s">
        <v>7652</v>
      </c>
      <c r="AS144" s="101" t="s">
        <v>7653</v>
      </c>
      <c r="AT144" s="101" t="s">
        <v>7654</v>
      </c>
      <c r="AU144" s="101" t="s">
        <v>7655</v>
      </c>
      <c r="AV144" s="102" t="s">
        <v>7656</v>
      </c>
      <c r="AW144" s="100" t="s">
        <v>7657</v>
      </c>
      <c r="AX144" s="101" t="s">
        <v>7658</v>
      </c>
      <c r="AY144" s="101" t="s">
        <v>7659</v>
      </c>
      <c r="AZ144" s="101" t="s">
        <v>7660</v>
      </c>
      <c r="BA144" s="101" t="s">
        <v>7661</v>
      </c>
      <c r="BB144" s="101" t="s">
        <v>7662</v>
      </c>
      <c r="BC144" s="101" t="s">
        <v>7663</v>
      </c>
      <c r="BD144" s="101" t="s">
        <v>7664</v>
      </c>
      <c r="BE144" s="101" t="s">
        <v>7665</v>
      </c>
      <c r="BF144" s="101" t="s">
        <v>7666</v>
      </c>
      <c r="BG144" s="101" t="s">
        <v>7667</v>
      </c>
      <c r="BH144" s="101" t="s">
        <v>7668</v>
      </c>
      <c r="BI144" s="101" t="s">
        <v>7669</v>
      </c>
      <c r="BJ144" s="101" t="s">
        <v>7670</v>
      </c>
      <c r="BK144" s="101" t="s">
        <v>7671</v>
      </c>
      <c r="BL144" s="102" t="s">
        <v>7672</v>
      </c>
      <c r="BM144" s="100" t="s">
        <v>7657</v>
      </c>
      <c r="BN144" s="101" t="s">
        <v>7658</v>
      </c>
      <c r="BO144" s="101" t="s">
        <v>7673</v>
      </c>
      <c r="BP144" s="101" t="s">
        <v>7674</v>
      </c>
      <c r="BQ144" s="101" t="s">
        <v>7661</v>
      </c>
      <c r="BR144" s="101" t="s">
        <v>7675</v>
      </c>
      <c r="BS144" s="101" t="s">
        <v>7663</v>
      </c>
      <c r="BT144" s="101" t="s">
        <v>7664</v>
      </c>
      <c r="BU144" s="101" t="s">
        <v>7665</v>
      </c>
      <c r="BV144" s="101" t="s">
        <v>7666</v>
      </c>
      <c r="BW144" s="101" t="s">
        <v>7667</v>
      </c>
      <c r="BX144" s="101" t="s">
        <v>7668</v>
      </c>
      <c r="BY144" s="101" t="s">
        <v>7669</v>
      </c>
      <c r="BZ144" s="101" t="s">
        <v>7676</v>
      </c>
      <c r="CA144" s="101" t="s">
        <v>7671</v>
      </c>
      <c r="CB144" s="102" t="s">
        <v>7672</v>
      </c>
      <c r="CC144" s="100" t="s">
        <v>7131</v>
      </c>
      <c r="CD144" s="101" t="s">
        <v>7132</v>
      </c>
      <c r="CE144" s="101" t="s">
        <v>7133</v>
      </c>
      <c r="CF144" s="101" t="s">
        <v>7134</v>
      </c>
      <c r="CG144" s="101" t="s">
        <v>7135</v>
      </c>
      <c r="CH144" s="101" t="s">
        <v>7136</v>
      </c>
      <c r="CI144" s="101" t="s">
        <v>7137</v>
      </c>
      <c r="CJ144" s="101" t="s">
        <v>7138</v>
      </c>
      <c r="CK144" s="101" t="s">
        <v>7139</v>
      </c>
      <c r="CL144" s="101" t="s">
        <v>7140</v>
      </c>
      <c r="CM144" s="101" t="s">
        <v>7141</v>
      </c>
      <c r="CN144" s="101" t="s">
        <v>7142</v>
      </c>
      <c r="CO144" s="101" t="s">
        <v>7143</v>
      </c>
      <c r="CP144" s="101" t="s">
        <v>7144</v>
      </c>
      <c r="CQ144" s="101" t="s">
        <v>7145</v>
      </c>
      <c r="CR144" s="102" t="s">
        <v>7146</v>
      </c>
    </row>
    <row r="145">
      <c r="A145" s="103"/>
      <c r="B145" s="103"/>
      <c r="C145" s="103"/>
      <c r="D145" s="103"/>
      <c r="E145" s="103"/>
      <c r="F145" s="103"/>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10" t="s">
        <v>7677</v>
      </c>
      <c r="AH145" s="111" t="s">
        <v>7678</v>
      </c>
      <c r="AI145" s="111" t="s">
        <v>7679</v>
      </c>
      <c r="AJ145" s="111" t="s">
        <v>7680</v>
      </c>
      <c r="AK145" s="111" t="s">
        <v>7681</v>
      </c>
      <c r="AL145" s="111" t="s">
        <v>7682</v>
      </c>
      <c r="AM145" s="111" t="s">
        <v>7683</v>
      </c>
      <c r="AN145" s="111" t="s">
        <v>7684</v>
      </c>
      <c r="AO145" s="111" t="s">
        <v>7685</v>
      </c>
      <c r="AP145" s="111" t="s">
        <v>7686</v>
      </c>
      <c r="AQ145" s="111" t="s">
        <v>7687</v>
      </c>
      <c r="AR145" s="111" t="s">
        <v>7688</v>
      </c>
      <c r="AS145" s="111" t="s">
        <v>7689</v>
      </c>
      <c r="AT145" s="111" t="s">
        <v>7690</v>
      </c>
      <c r="AU145" s="111" t="s">
        <v>7691</v>
      </c>
      <c r="AV145" s="115"/>
      <c r="AW145" s="110" t="s">
        <v>7692</v>
      </c>
      <c r="AX145" s="111" t="s">
        <v>7693</v>
      </c>
      <c r="AY145" s="111" t="s">
        <v>7694</v>
      </c>
      <c r="AZ145" s="111" t="s">
        <v>7695</v>
      </c>
      <c r="BA145" s="111" t="s">
        <v>7696</v>
      </c>
      <c r="BB145" s="111" t="s">
        <v>7697</v>
      </c>
      <c r="BC145" s="111" t="s">
        <v>7698</v>
      </c>
      <c r="BD145" s="111" t="s">
        <v>7699</v>
      </c>
      <c r="BE145" s="111" t="s">
        <v>7700</v>
      </c>
      <c r="BF145" s="111" t="s">
        <v>7701</v>
      </c>
      <c r="BG145" s="111" t="s">
        <v>7702</v>
      </c>
      <c r="BH145" s="111" t="s">
        <v>7703</v>
      </c>
      <c r="BI145" s="111" t="s">
        <v>7704</v>
      </c>
      <c r="BJ145" s="111" t="s">
        <v>7705</v>
      </c>
      <c r="BK145" s="111" t="s">
        <v>7706</v>
      </c>
      <c r="BL145" s="112" t="s">
        <v>7707</v>
      </c>
      <c r="BM145" s="110" t="s">
        <v>7692</v>
      </c>
      <c r="BN145" s="111" t="s">
        <v>7693</v>
      </c>
      <c r="BO145" s="111" t="s">
        <v>7694</v>
      </c>
      <c r="BP145" s="111" t="s">
        <v>7695</v>
      </c>
      <c r="BQ145" s="111" t="s">
        <v>7696</v>
      </c>
      <c r="BR145" s="111" t="s">
        <v>7697</v>
      </c>
      <c r="BS145" s="111" t="s">
        <v>7698</v>
      </c>
      <c r="BT145" s="111" t="s">
        <v>7699</v>
      </c>
      <c r="BU145" s="111" t="s">
        <v>7700</v>
      </c>
      <c r="BV145" s="111" t="s">
        <v>7701</v>
      </c>
      <c r="BW145" s="111" t="s">
        <v>7708</v>
      </c>
      <c r="BX145" s="111" t="s">
        <v>7703</v>
      </c>
      <c r="BY145" s="111" t="s">
        <v>7704</v>
      </c>
      <c r="BZ145" s="111" t="s">
        <v>7709</v>
      </c>
      <c r="CA145" s="111" t="s">
        <v>7706</v>
      </c>
      <c r="CB145" s="112" t="s">
        <v>7707</v>
      </c>
      <c r="CC145" s="110"/>
      <c r="CD145" s="111"/>
      <c r="CE145" s="111"/>
      <c r="CF145" s="111"/>
      <c r="CG145" s="111"/>
      <c r="CH145" s="111"/>
      <c r="CI145" s="111"/>
      <c r="CJ145" s="111"/>
      <c r="CK145" s="111"/>
      <c r="CL145" s="111"/>
      <c r="CM145" s="111"/>
      <c r="CN145" s="111"/>
      <c r="CO145" s="111"/>
      <c r="CP145" s="111"/>
      <c r="CQ145" s="111"/>
      <c r="CR145" s="112"/>
    </row>
    <row r="146">
      <c r="A146" s="103"/>
      <c r="B146" s="103"/>
      <c r="C146" s="103"/>
      <c r="D146" s="103"/>
      <c r="E146" s="103"/>
      <c r="F146" s="103"/>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96"/>
      <c r="AH146" s="97" t="s">
        <v>7710</v>
      </c>
      <c r="AI146" s="97" t="s">
        <v>7711</v>
      </c>
      <c r="AJ146" s="97" t="s">
        <v>7712</v>
      </c>
      <c r="AK146" s="97" t="s">
        <v>7713</v>
      </c>
      <c r="AL146" s="97" t="s">
        <v>7714</v>
      </c>
      <c r="AM146" s="97" t="s">
        <v>7715</v>
      </c>
      <c r="AN146" s="97" t="s">
        <v>7716</v>
      </c>
      <c r="AO146" s="97" t="s">
        <v>7717</v>
      </c>
      <c r="AP146" s="97" t="s">
        <v>7718</v>
      </c>
      <c r="AQ146" s="97" t="s">
        <v>7719</v>
      </c>
      <c r="AR146" s="97" t="s">
        <v>7720</v>
      </c>
      <c r="AS146" s="97" t="s">
        <v>7721</v>
      </c>
      <c r="AT146" s="97" t="s">
        <v>7722</v>
      </c>
      <c r="AU146" s="97" t="s">
        <v>7723</v>
      </c>
      <c r="AV146" s="98" t="s">
        <v>7724</v>
      </c>
      <c r="AW146" s="99" t="s">
        <v>7725</v>
      </c>
      <c r="AX146" s="97" t="s">
        <v>7726</v>
      </c>
      <c r="AY146" s="97" t="s">
        <v>7727</v>
      </c>
      <c r="AZ146" s="97" t="s">
        <v>7728</v>
      </c>
      <c r="BA146" s="97" t="s">
        <v>7729</v>
      </c>
      <c r="BB146" s="97" t="s">
        <v>7730</v>
      </c>
      <c r="BC146" s="97" t="s">
        <v>7731</v>
      </c>
      <c r="BD146" s="97" t="s">
        <v>7732</v>
      </c>
      <c r="BE146" s="97" t="s">
        <v>7733</v>
      </c>
      <c r="BF146" s="97" t="s">
        <v>7734</v>
      </c>
      <c r="BG146" s="97" t="s">
        <v>7735</v>
      </c>
      <c r="BH146" s="97" t="s">
        <v>7736</v>
      </c>
      <c r="BI146" s="97" t="s">
        <v>7737</v>
      </c>
      <c r="BJ146" s="97" t="s">
        <v>7738</v>
      </c>
      <c r="BK146" s="97" t="s">
        <v>7739</v>
      </c>
      <c r="BL146" s="98" t="s">
        <v>7740</v>
      </c>
      <c r="BM146" s="99" t="s">
        <v>7725</v>
      </c>
      <c r="BN146" s="97" t="s">
        <v>7726</v>
      </c>
      <c r="BO146" s="97" t="s">
        <v>7727</v>
      </c>
      <c r="BP146" s="97" t="s">
        <v>7728</v>
      </c>
      <c r="BQ146" s="97" t="s">
        <v>7729</v>
      </c>
      <c r="BR146" s="97" t="s">
        <v>7730</v>
      </c>
      <c r="BS146" s="97" t="s">
        <v>7731</v>
      </c>
      <c r="BT146" s="97" t="s">
        <v>7732</v>
      </c>
      <c r="BU146" s="97" t="s">
        <v>7733</v>
      </c>
      <c r="BV146" s="97" t="s">
        <v>7734</v>
      </c>
      <c r="BW146" s="97" t="s">
        <v>7735</v>
      </c>
      <c r="BX146" s="97" t="s">
        <v>7736</v>
      </c>
      <c r="BY146" s="97" t="s">
        <v>7737</v>
      </c>
      <c r="BZ146" s="97" t="s">
        <v>7738</v>
      </c>
      <c r="CA146" s="97" t="s">
        <v>7739</v>
      </c>
      <c r="CB146" s="98" t="s">
        <v>7740</v>
      </c>
      <c r="CC146" s="99" t="s">
        <v>7175</v>
      </c>
      <c r="CD146" s="97" t="s">
        <v>7176</v>
      </c>
      <c r="CE146" s="97" t="s">
        <v>7177</v>
      </c>
      <c r="CF146" s="97" t="s">
        <v>7178</v>
      </c>
      <c r="CG146" s="97" t="s">
        <v>7179</v>
      </c>
      <c r="CH146" s="97" t="s">
        <v>7180</v>
      </c>
      <c r="CI146" s="97" t="s">
        <v>7181</v>
      </c>
      <c r="CJ146" s="97" t="s">
        <v>7182</v>
      </c>
      <c r="CK146" s="97" t="s">
        <v>7183</v>
      </c>
      <c r="CL146" s="97" t="s">
        <v>7184</v>
      </c>
      <c r="CM146" s="97" t="s">
        <v>7185</v>
      </c>
      <c r="CN146" s="97" t="s">
        <v>7186</v>
      </c>
      <c r="CO146" s="97" t="s">
        <v>7187</v>
      </c>
      <c r="CP146" s="97" t="s">
        <v>7188</v>
      </c>
      <c r="CQ146" s="97" t="s">
        <v>7189</v>
      </c>
      <c r="CR146" s="98" t="s">
        <v>7190</v>
      </c>
    </row>
    <row r="147">
      <c r="A147" s="103"/>
      <c r="B147" s="103"/>
      <c r="C147" s="103"/>
      <c r="D147" s="103"/>
      <c r="E147" s="103"/>
      <c r="F147" s="103"/>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0" t="s">
        <v>7741</v>
      </c>
      <c r="AH147" s="101" t="s">
        <v>7742</v>
      </c>
      <c r="AI147" s="101" t="s">
        <v>7743</v>
      </c>
      <c r="AJ147" s="101" t="s">
        <v>7744</v>
      </c>
      <c r="AK147" s="101" t="s">
        <v>7745</v>
      </c>
      <c r="AL147" s="101" t="s">
        <v>7746</v>
      </c>
      <c r="AM147" s="101" t="s">
        <v>7747</v>
      </c>
      <c r="AN147" s="101" t="s">
        <v>7748</v>
      </c>
      <c r="AO147" s="101" t="s">
        <v>7749</v>
      </c>
      <c r="AP147" s="101" t="s">
        <v>7750</v>
      </c>
      <c r="AQ147" s="101" t="s">
        <v>7751</v>
      </c>
      <c r="AR147" s="101" t="s">
        <v>7752</v>
      </c>
      <c r="AS147" s="101" t="s">
        <v>7753</v>
      </c>
      <c r="AT147" s="101" t="s">
        <v>7754</v>
      </c>
      <c r="AU147" s="101" t="s">
        <v>7755</v>
      </c>
      <c r="AV147" s="102" t="s">
        <v>7756</v>
      </c>
      <c r="AW147" s="100" t="s">
        <v>7757</v>
      </c>
      <c r="AX147" s="101" t="s">
        <v>7758</v>
      </c>
      <c r="AY147" s="101" t="s">
        <v>7759</v>
      </c>
      <c r="AZ147" s="101" t="s">
        <v>7760</v>
      </c>
      <c r="BA147" s="101" t="s">
        <v>7761</v>
      </c>
      <c r="BB147" s="101" t="s">
        <v>7762</v>
      </c>
      <c r="BC147" s="101" t="s">
        <v>7763</v>
      </c>
      <c r="BD147" s="101" t="s">
        <v>7764</v>
      </c>
      <c r="BE147" s="101" t="s">
        <v>7765</v>
      </c>
      <c r="BF147" s="101" t="s">
        <v>7766</v>
      </c>
      <c r="BG147" s="101" t="s">
        <v>7767</v>
      </c>
      <c r="BH147" s="101" t="s">
        <v>7768</v>
      </c>
      <c r="BI147" s="101" t="s">
        <v>7769</v>
      </c>
      <c r="BJ147" s="101" t="s">
        <v>7770</v>
      </c>
      <c r="BK147" s="101" t="s">
        <v>7771</v>
      </c>
      <c r="BL147" s="102" t="s">
        <v>7772</v>
      </c>
      <c r="BM147" s="100" t="s">
        <v>7757</v>
      </c>
      <c r="BN147" s="101" t="s">
        <v>7758</v>
      </c>
      <c r="BO147" s="101" t="s">
        <v>7773</v>
      </c>
      <c r="BP147" s="101" t="s">
        <v>7760</v>
      </c>
      <c r="BQ147" s="101" t="s">
        <v>7761</v>
      </c>
      <c r="BR147" s="101" t="s">
        <v>7762</v>
      </c>
      <c r="BS147" s="101" t="s">
        <v>7763</v>
      </c>
      <c r="BT147" s="101" t="s">
        <v>7764</v>
      </c>
      <c r="BU147" s="101" t="s">
        <v>7765</v>
      </c>
      <c r="BV147" s="101" t="s">
        <v>7774</v>
      </c>
      <c r="BW147" s="101" t="s">
        <v>7767</v>
      </c>
      <c r="BX147" s="101" t="s">
        <v>7768</v>
      </c>
      <c r="BY147" s="101" t="s">
        <v>7769</v>
      </c>
      <c r="BZ147" s="101" t="s">
        <v>7770</v>
      </c>
      <c r="CA147" s="101" t="s">
        <v>7771</v>
      </c>
      <c r="CB147" s="102" t="s">
        <v>7772</v>
      </c>
      <c r="CC147" s="100" t="s">
        <v>7214</v>
      </c>
      <c r="CD147" s="101" t="s">
        <v>7215</v>
      </c>
      <c r="CE147" s="101" t="s">
        <v>7216</v>
      </c>
      <c r="CF147" s="101" t="s">
        <v>7217</v>
      </c>
      <c r="CG147" s="101" t="s">
        <v>7218</v>
      </c>
      <c r="CH147" s="101" t="s">
        <v>7219</v>
      </c>
      <c r="CI147" s="101" t="s">
        <v>7220</v>
      </c>
      <c r="CJ147" s="101" t="s">
        <v>7221</v>
      </c>
      <c r="CK147" s="101" t="s">
        <v>7222</v>
      </c>
      <c r="CL147" s="101" t="s">
        <v>7223</v>
      </c>
      <c r="CM147" s="101" t="s">
        <v>7224</v>
      </c>
      <c r="CN147" s="101" t="s">
        <v>7225</v>
      </c>
      <c r="CO147" s="101" t="s">
        <v>7226</v>
      </c>
      <c r="CP147" s="101" t="s">
        <v>7227</v>
      </c>
      <c r="CQ147" s="101" t="s">
        <v>7228</v>
      </c>
      <c r="CR147" s="102" t="s">
        <v>7229</v>
      </c>
    </row>
    <row r="148">
      <c r="A148" s="103"/>
      <c r="B148" s="103"/>
      <c r="C148" s="103"/>
      <c r="D148" s="103"/>
      <c r="E148" s="103"/>
      <c r="F148" s="103"/>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0" t="s">
        <v>7775</v>
      </c>
      <c r="AH148" s="101" t="s">
        <v>7776</v>
      </c>
      <c r="AI148" s="101" t="s">
        <v>7777</v>
      </c>
      <c r="AJ148" s="101" t="s">
        <v>7778</v>
      </c>
      <c r="AK148" s="101" t="s">
        <v>7779</v>
      </c>
      <c r="AL148" s="101" t="s">
        <v>7780</v>
      </c>
      <c r="AM148" s="101" t="s">
        <v>7781</v>
      </c>
      <c r="AN148" s="101" t="s">
        <v>7782</v>
      </c>
      <c r="AO148" s="101" t="s">
        <v>7783</v>
      </c>
      <c r="AP148" s="101" t="s">
        <v>7784</v>
      </c>
      <c r="AQ148" s="101" t="s">
        <v>7785</v>
      </c>
      <c r="AR148" s="101" t="s">
        <v>7786</v>
      </c>
      <c r="AS148" s="101" t="s">
        <v>7787</v>
      </c>
      <c r="AT148" s="101" t="s">
        <v>7788</v>
      </c>
      <c r="AU148" s="101" t="s">
        <v>7789</v>
      </c>
      <c r="AV148" s="102" t="s">
        <v>7790</v>
      </c>
      <c r="AW148" s="100" t="s">
        <v>7791</v>
      </c>
      <c r="AX148" s="101" t="s">
        <v>7792</v>
      </c>
      <c r="AY148" s="101" t="s">
        <v>7793</v>
      </c>
      <c r="AZ148" s="101" t="s">
        <v>7794</v>
      </c>
      <c r="BA148" s="101" t="s">
        <v>7795</v>
      </c>
      <c r="BB148" s="101" t="s">
        <v>7796</v>
      </c>
      <c r="BC148" s="101" t="s">
        <v>7797</v>
      </c>
      <c r="BD148" s="101" t="s">
        <v>7798</v>
      </c>
      <c r="BE148" s="101" t="s">
        <v>7799</v>
      </c>
      <c r="BF148" s="101" t="s">
        <v>7800</v>
      </c>
      <c r="BG148" s="101" t="s">
        <v>7801</v>
      </c>
      <c r="BH148" s="101" t="s">
        <v>7802</v>
      </c>
      <c r="BI148" s="101" t="s">
        <v>7803</v>
      </c>
      <c r="BJ148" s="101" t="s">
        <v>7804</v>
      </c>
      <c r="BK148" s="101" t="s">
        <v>7805</v>
      </c>
      <c r="BL148" s="102" t="s">
        <v>7806</v>
      </c>
      <c r="BM148" s="100" t="s">
        <v>7791</v>
      </c>
      <c r="BN148" s="101" t="s">
        <v>7792</v>
      </c>
      <c r="BO148" s="101" t="s">
        <v>7793</v>
      </c>
      <c r="BP148" s="101" t="s">
        <v>7794</v>
      </c>
      <c r="BQ148" s="101" t="s">
        <v>7795</v>
      </c>
      <c r="BR148" s="101" t="s">
        <v>7796</v>
      </c>
      <c r="BS148" s="101" t="s">
        <v>7797</v>
      </c>
      <c r="BT148" s="101" t="s">
        <v>7798</v>
      </c>
      <c r="BU148" s="101" t="s">
        <v>7799</v>
      </c>
      <c r="BV148" s="101" t="s">
        <v>7807</v>
      </c>
      <c r="BW148" s="101" t="s">
        <v>7801</v>
      </c>
      <c r="BX148" s="101" t="s">
        <v>7802</v>
      </c>
      <c r="BY148" s="101" t="s">
        <v>7803</v>
      </c>
      <c r="BZ148" s="101" t="s">
        <v>7808</v>
      </c>
      <c r="CA148" s="101" t="s">
        <v>7805</v>
      </c>
      <c r="CB148" s="102" t="s">
        <v>7806</v>
      </c>
      <c r="CC148" s="100" t="s">
        <v>7249</v>
      </c>
      <c r="CD148" s="101" t="s">
        <v>7250</v>
      </c>
      <c r="CE148" s="101" t="s">
        <v>7251</v>
      </c>
      <c r="CF148" s="101" t="s">
        <v>7252</v>
      </c>
      <c r="CG148" s="101" t="s">
        <v>7253</v>
      </c>
      <c r="CH148" s="101" t="s">
        <v>7254</v>
      </c>
      <c r="CI148" s="101" t="s">
        <v>7255</v>
      </c>
      <c r="CJ148" s="101" t="s">
        <v>7256</v>
      </c>
      <c r="CK148" s="101" t="s">
        <v>7257</v>
      </c>
      <c r="CL148" s="101" t="s">
        <v>7258</v>
      </c>
      <c r="CM148" s="101" t="s">
        <v>7259</v>
      </c>
      <c r="CN148" s="101" t="s">
        <v>7260</v>
      </c>
      <c r="CO148" s="101" t="s">
        <v>7261</v>
      </c>
      <c r="CP148" s="101" t="s">
        <v>7262</v>
      </c>
      <c r="CQ148" s="101" t="s">
        <v>7263</v>
      </c>
      <c r="CR148" s="107"/>
    </row>
    <row r="149">
      <c r="A149" s="103"/>
      <c r="B149" s="103"/>
      <c r="C149" s="103"/>
      <c r="D149" s="103"/>
      <c r="E149" s="103"/>
      <c r="F149" s="103"/>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0" t="s">
        <v>7809</v>
      </c>
      <c r="AH149" s="101" t="s">
        <v>7810</v>
      </c>
      <c r="AI149" s="101" t="s">
        <v>7811</v>
      </c>
      <c r="AJ149" s="101" t="s">
        <v>7812</v>
      </c>
      <c r="AK149" s="101" t="s">
        <v>7813</v>
      </c>
      <c r="AL149" s="101" t="s">
        <v>7814</v>
      </c>
      <c r="AM149" s="101" t="s">
        <v>7815</v>
      </c>
      <c r="AN149" s="101" t="s">
        <v>7816</v>
      </c>
      <c r="AO149" s="101" t="s">
        <v>7817</v>
      </c>
      <c r="AP149" s="101" t="s">
        <v>7818</v>
      </c>
      <c r="AQ149" s="101" t="s">
        <v>7819</v>
      </c>
      <c r="AR149" s="101" t="s">
        <v>7820</v>
      </c>
      <c r="AS149" s="101" t="s">
        <v>7821</v>
      </c>
      <c r="AT149" s="101" t="s">
        <v>7822</v>
      </c>
      <c r="AU149" s="101" t="s">
        <v>7823</v>
      </c>
      <c r="AV149" s="102" t="s">
        <v>7824</v>
      </c>
      <c r="AW149" s="100" t="s">
        <v>7825</v>
      </c>
      <c r="AX149" s="101" t="s">
        <v>7826</v>
      </c>
      <c r="AY149" s="101" t="s">
        <v>7827</v>
      </c>
      <c r="AZ149" s="101" t="s">
        <v>7828</v>
      </c>
      <c r="BA149" s="101" t="s">
        <v>7829</v>
      </c>
      <c r="BB149" s="101" t="s">
        <v>7830</v>
      </c>
      <c r="BC149" s="101" t="s">
        <v>7831</v>
      </c>
      <c r="BD149" s="101" t="s">
        <v>7832</v>
      </c>
      <c r="BE149" s="101" t="s">
        <v>7833</v>
      </c>
      <c r="BF149" s="101" t="s">
        <v>7834</v>
      </c>
      <c r="BG149" s="101" t="s">
        <v>7835</v>
      </c>
      <c r="BH149" s="101" t="s">
        <v>7836</v>
      </c>
      <c r="BI149" s="101" t="s">
        <v>7837</v>
      </c>
      <c r="BJ149" s="101" t="s">
        <v>7838</v>
      </c>
      <c r="BK149" s="101" t="s">
        <v>7839</v>
      </c>
      <c r="BL149" s="102" t="s">
        <v>7840</v>
      </c>
      <c r="BM149" s="100" t="s">
        <v>7825</v>
      </c>
      <c r="BN149" s="101" t="s">
        <v>7826</v>
      </c>
      <c r="BO149" s="101" t="s">
        <v>7841</v>
      </c>
      <c r="BP149" s="101" t="s">
        <v>7828</v>
      </c>
      <c r="BQ149" s="101" t="s">
        <v>7842</v>
      </c>
      <c r="BR149" s="101" t="s">
        <v>7830</v>
      </c>
      <c r="BS149" s="101" t="s">
        <v>7831</v>
      </c>
      <c r="BT149" s="101" t="s">
        <v>7843</v>
      </c>
      <c r="BU149" s="101" t="s">
        <v>7833</v>
      </c>
      <c r="BV149" s="101" t="s">
        <v>7834</v>
      </c>
      <c r="BW149" s="101" t="s">
        <v>7835</v>
      </c>
      <c r="BX149" s="101" t="s">
        <v>7836</v>
      </c>
      <c r="BY149" s="101" t="s">
        <v>7844</v>
      </c>
      <c r="BZ149" s="101" t="s">
        <v>7845</v>
      </c>
      <c r="CA149" s="101" t="s">
        <v>7839</v>
      </c>
      <c r="CB149" s="102" t="s">
        <v>7840</v>
      </c>
      <c r="CC149" s="100" t="s">
        <v>7282</v>
      </c>
      <c r="CD149" s="101" t="s">
        <v>7283</v>
      </c>
      <c r="CE149" s="101" t="s">
        <v>7284</v>
      </c>
      <c r="CF149" s="101" t="s">
        <v>7285</v>
      </c>
      <c r="CG149" s="101" t="s">
        <v>7286</v>
      </c>
      <c r="CH149" s="101" t="s">
        <v>7287</v>
      </c>
      <c r="CI149" s="101" t="s">
        <v>7288</v>
      </c>
      <c r="CJ149" s="101" t="s">
        <v>7289</v>
      </c>
      <c r="CK149" s="101" t="s">
        <v>7290</v>
      </c>
      <c r="CL149" s="101" t="s">
        <v>7291</v>
      </c>
      <c r="CM149" s="101" t="s">
        <v>7292</v>
      </c>
      <c r="CN149" s="101" t="s">
        <v>7293</v>
      </c>
      <c r="CO149" s="101" t="s">
        <v>7294</v>
      </c>
      <c r="CP149" s="101" t="s">
        <v>7295</v>
      </c>
      <c r="CQ149" s="101" t="s">
        <v>7296</v>
      </c>
      <c r="CR149" s="102" t="s">
        <v>7297</v>
      </c>
    </row>
    <row r="150">
      <c r="A150" s="103"/>
      <c r="B150" s="103"/>
      <c r="C150" s="103"/>
      <c r="D150" s="103"/>
      <c r="E150" s="103"/>
      <c r="F150" s="103"/>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0" t="s">
        <v>7846</v>
      </c>
      <c r="AH150" s="101" t="s">
        <v>7847</v>
      </c>
      <c r="AI150" s="101" t="s">
        <v>7848</v>
      </c>
      <c r="AJ150" s="101" t="s">
        <v>7849</v>
      </c>
      <c r="AK150" s="101" t="s">
        <v>7850</v>
      </c>
      <c r="AL150" s="101" t="s">
        <v>7851</v>
      </c>
      <c r="AM150" s="101" t="s">
        <v>7852</v>
      </c>
      <c r="AN150" s="101" t="s">
        <v>7853</v>
      </c>
      <c r="AO150" s="101" t="s">
        <v>7854</v>
      </c>
      <c r="AP150" s="101" t="s">
        <v>7855</v>
      </c>
      <c r="AQ150" s="101" t="s">
        <v>7856</v>
      </c>
      <c r="AR150" s="101" t="s">
        <v>7857</v>
      </c>
      <c r="AS150" s="101" t="s">
        <v>7858</v>
      </c>
      <c r="AT150" s="101" t="s">
        <v>7859</v>
      </c>
      <c r="AU150" s="101" t="s">
        <v>7860</v>
      </c>
      <c r="AV150" s="102" t="s">
        <v>7861</v>
      </c>
      <c r="AW150" s="100" t="s">
        <v>7862</v>
      </c>
      <c r="AX150" s="101" t="s">
        <v>7863</v>
      </c>
      <c r="AY150" s="101" t="s">
        <v>7864</v>
      </c>
      <c r="AZ150" s="101" t="s">
        <v>7865</v>
      </c>
      <c r="BA150" s="101" t="s">
        <v>7866</v>
      </c>
      <c r="BB150" s="101" t="s">
        <v>7867</v>
      </c>
      <c r="BC150" s="101" t="s">
        <v>7868</v>
      </c>
      <c r="BD150" s="101" t="s">
        <v>7869</v>
      </c>
      <c r="BE150" s="101" t="s">
        <v>7870</v>
      </c>
      <c r="BF150" s="101" t="s">
        <v>7871</v>
      </c>
      <c r="BG150" s="101" t="s">
        <v>7872</v>
      </c>
      <c r="BH150" s="101" t="s">
        <v>7873</v>
      </c>
      <c r="BI150" s="101" t="s">
        <v>7874</v>
      </c>
      <c r="BJ150" s="101" t="s">
        <v>7875</v>
      </c>
      <c r="BK150" s="101" t="s">
        <v>7876</v>
      </c>
      <c r="BL150" s="102" t="s">
        <v>7877</v>
      </c>
      <c r="BM150" s="100" t="s">
        <v>7862</v>
      </c>
      <c r="BN150" s="101" t="s">
        <v>7863</v>
      </c>
      <c r="BO150" s="101" t="s">
        <v>7878</v>
      </c>
      <c r="BP150" s="101" t="s">
        <v>7865</v>
      </c>
      <c r="BQ150" s="101" t="s">
        <v>7866</v>
      </c>
      <c r="BR150" s="101" t="s">
        <v>7867</v>
      </c>
      <c r="BS150" s="101" t="s">
        <v>7868</v>
      </c>
      <c r="BT150" s="101" t="s">
        <v>7869</v>
      </c>
      <c r="BU150" s="101" t="s">
        <v>7870</v>
      </c>
      <c r="BV150" s="101" t="s">
        <v>7871</v>
      </c>
      <c r="BW150" s="101" t="s">
        <v>7872</v>
      </c>
      <c r="BX150" s="101" t="s">
        <v>7873</v>
      </c>
      <c r="BY150" s="101" t="s">
        <v>7874</v>
      </c>
      <c r="BZ150" s="101" t="s">
        <v>7879</v>
      </c>
      <c r="CA150" s="101" t="s">
        <v>7876</v>
      </c>
      <c r="CB150" s="102" t="s">
        <v>7877</v>
      </c>
      <c r="CC150" s="100" t="s">
        <v>7315</v>
      </c>
      <c r="CD150" s="101" t="s">
        <v>7316</v>
      </c>
      <c r="CE150" s="101" t="s">
        <v>7317</v>
      </c>
      <c r="CF150" s="101" t="s">
        <v>7318</v>
      </c>
      <c r="CG150" s="101" t="s">
        <v>7319</v>
      </c>
      <c r="CH150" s="101" t="s">
        <v>7320</v>
      </c>
      <c r="CI150" s="101" t="s">
        <v>7321</v>
      </c>
      <c r="CJ150" s="101" t="s">
        <v>7322</v>
      </c>
      <c r="CK150" s="101" t="s">
        <v>7323</v>
      </c>
      <c r="CL150" s="101" t="s">
        <v>7324</v>
      </c>
      <c r="CM150" s="101" t="s">
        <v>7325</v>
      </c>
      <c r="CN150" s="101" t="s">
        <v>7326</v>
      </c>
      <c r="CO150" s="101" t="s">
        <v>7327</v>
      </c>
      <c r="CP150" s="101" t="s">
        <v>7328</v>
      </c>
      <c r="CQ150" s="101" t="s">
        <v>7329</v>
      </c>
      <c r="CR150" s="102" t="s">
        <v>7330</v>
      </c>
    </row>
    <row r="151">
      <c r="A151" s="103"/>
      <c r="B151" s="103"/>
      <c r="C151" s="103"/>
      <c r="D151" s="103"/>
      <c r="E151" s="103"/>
      <c r="F151" s="103"/>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5"/>
      <c r="AH151" s="106"/>
      <c r="AI151" s="106"/>
      <c r="AJ151" s="106"/>
      <c r="AK151" s="106"/>
      <c r="AL151" s="106"/>
      <c r="AM151" s="106"/>
      <c r="AN151" s="106"/>
      <c r="AO151" s="106"/>
      <c r="AP151" s="106"/>
      <c r="AQ151" s="106"/>
      <c r="AR151" s="106"/>
      <c r="AS151" s="106"/>
      <c r="AT151" s="106"/>
      <c r="AU151" s="106"/>
      <c r="AV151" s="107"/>
      <c r="AW151" s="100" t="s">
        <v>7880</v>
      </c>
      <c r="AX151" s="101" t="s">
        <v>7881</v>
      </c>
      <c r="AY151" s="101" t="s">
        <v>7882</v>
      </c>
      <c r="AZ151" s="101" t="s">
        <v>7883</v>
      </c>
      <c r="BA151" s="101" t="s">
        <v>7884</v>
      </c>
      <c r="BB151" s="101" t="s">
        <v>7885</v>
      </c>
      <c r="BC151" s="101" t="s">
        <v>7886</v>
      </c>
      <c r="BD151" s="101" t="s">
        <v>7887</v>
      </c>
      <c r="BE151" s="101" t="s">
        <v>7888</v>
      </c>
      <c r="BF151" s="101" t="s">
        <v>7889</v>
      </c>
      <c r="BG151" s="101" t="s">
        <v>7890</v>
      </c>
      <c r="BH151" s="101" t="s">
        <v>7891</v>
      </c>
      <c r="BI151" s="101" t="s">
        <v>7892</v>
      </c>
      <c r="BJ151" s="101" t="s">
        <v>7893</v>
      </c>
      <c r="BK151" s="101" t="s">
        <v>7894</v>
      </c>
      <c r="BL151" s="102" t="s">
        <v>7895</v>
      </c>
      <c r="BM151" s="100" t="s">
        <v>7880</v>
      </c>
      <c r="BN151" s="101" t="s">
        <v>7881</v>
      </c>
      <c r="BO151" s="101" t="s">
        <v>7882</v>
      </c>
      <c r="BP151" s="101" t="s">
        <v>7883</v>
      </c>
      <c r="BQ151" s="101" t="s">
        <v>7884</v>
      </c>
      <c r="BR151" s="101" t="s">
        <v>7885</v>
      </c>
      <c r="BS151" s="101" t="s">
        <v>7886</v>
      </c>
      <c r="BT151" s="101" t="s">
        <v>7887</v>
      </c>
      <c r="BU151" s="101" t="s">
        <v>7896</v>
      </c>
      <c r="BV151" s="101" t="s">
        <v>7897</v>
      </c>
      <c r="BW151" s="101" t="s">
        <v>7898</v>
      </c>
      <c r="BX151" s="101" t="s">
        <v>7891</v>
      </c>
      <c r="BY151" s="101" t="s">
        <v>7892</v>
      </c>
      <c r="BZ151" s="101" t="s">
        <v>7893</v>
      </c>
      <c r="CA151" s="101" t="s">
        <v>7894</v>
      </c>
      <c r="CB151" s="102" t="s">
        <v>7895</v>
      </c>
      <c r="CC151" s="100" t="s">
        <v>7370</v>
      </c>
      <c r="CD151" s="101" t="s">
        <v>7371</v>
      </c>
      <c r="CE151" s="101" t="s">
        <v>7372</v>
      </c>
      <c r="CF151" s="101" t="s">
        <v>7373</v>
      </c>
      <c r="CG151" s="101" t="s">
        <v>7374</v>
      </c>
      <c r="CH151" s="101" t="s">
        <v>7375</v>
      </c>
      <c r="CI151" s="101" t="s">
        <v>7376</v>
      </c>
      <c r="CJ151" s="101" t="s">
        <v>7377</v>
      </c>
      <c r="CK151" s="101" t="s">
        <v>7378</v>
      </c>
      <c r="CL151" s="101" t="s">
        <v>7379</v>
      </c>
      <c r="CM151" s="101" t="s">
        <v>7380</v>
      </c>
      <c r="CN151" s="101" t="s">
        <v>7381</v>
      </c>
      <c r="CO151" s="101" t="s">
        <v>7382</v>
      </c>
      <c r="CP151" s="101" t="s">
        <v>7383</v>
      </c>
      <c r="CQ151" s="101" t="s">
        <v>7384</v>
      </c>
      <c r="CR151" s="102" t="s">
        <v>7385</v>
      </c>
    </row>
    <row r="152">
      <c r="A152" s="103"/>
      <c r="B152" s="103"/>
      <c r="C152" s="103"/>
      <c r="D152" s="103"/>
      <c r="E152" s="103"/>
      <c r="F152" s="103"/>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0" t="s">
        <v>7899</v>
      </c>
      <c r="AH152" s="101" t="s">
        <v>7900</v>
      </c>
      <c r="AI152" s="101" t="s">
        <v>7901</v>
      </c>
      <c r="AJ152" s="101" t="s">
        <v>7902</v>
      </c>
      <c r="AK152" s="101" t="s">
        <v>7903</v>
      </c>
      <c r="AL152" s="101" t="s">
        <v>7904</v>
      </c>
      <c r="AM152" s="101" t="s">
        <v>7905</v>
      </c>
      <c r="AN152" s="101" t="s">
        <v>7906</v>
      </c>
      <c r="AO152" s="101" t="s">
        <v>7907</v>
      </c>
      <c r="AP152" s="101" t="s">
        <v>7908</v>
      </c>
      <c r="AQ152" s="101" t="s">
        <v>7909</v>
      </c>
      <c r="AR152" s="101" t="s">
        <v>7910</v>
      </c>
      <c r="AS152" s="101" t="s">
        <v>7911</v>
      </c>
      <c r="AT152" s="101" t="s">
        <v>7912</v>
      </c>
      <c r="AU152" s="101" t="s">
        <v>7913</v>
      </c>
      <c r="AV152" s="107"/>
      <c r="AW152" s="100" t="s">
        <v>7914</v>
      </c>
      <c r="AX152" s="101" t="s">
        <v>7915</v>
      </c>
      <c r="AY152" s="101" t="s">
        <v>7916</v>
      </c>
      <c r="AZ152" s="101" t="s">
        <v>7917</v>
      </c>
      <c r="BA152" s="101" t="s">
        <v>7918</v>
      </c>
      <c r="BB152" s="101" t="s">
        <v>7919</v>
      </c>
      <c r="BC152" s="101" t="s">
        <v>7920</v>
      </c>
      <c r="BD152" s="101" t="s">
        <v>7921</v>
      </c>
      <c r="BE152" s="101" t="s">
        <v>7922</v>
      </c>
      <c r="BF152" s="101" t="s">
        <v>7923</v>
      </c>
      <c r="BG152" s="101" t="s">
        <v>7924</v>
      </c>
      <c r="BH152" s="101" t="s">
        <v>7925</v>
      </c>
      <c r="BI152" s="101" t="s">
        <v>7926</v>
      </c>
      <c r="BJ152" s="101" t="s">
        <v>7927</v>
      </c>
      <c r="BK152" s="101" t="s">
        <v>7928</v>
      </c>
      <c r="BL152" s="102" t="s">
        <v>7929</v>
      </c>
      <c r="BM152" s="100" t="s">
        <v>7914</v>
      </c>
      <c r="BN152" s="101" t="s">
        <v>7915</v>
      </c>
      <c r="BO152" s="101" t="s">
        <v>7916</v>
      </c>
      <c r="BP152" s="101" t="s">
        <v>7917</v>
      </c>
      <c r="BQ152" s="101" t="s">
        <v>7930</v>
      </c>
      <c r="BR152" s="101" t="s">
        <v>7919</v>
      </c>
      <c r="BS152" s="101" t="s">
        <v>7920</v>
      </c>
      <c r="BT152" s="101" t="s">
        <v>7921</v>
      </c>
      <c r="BU152" s="101" t="s">
        <v>7922</v>
      </c>
      <c r="BV152" s="101" t="s">
        <v>7923</v>
      </c>
      <c r="BW152" s="101" t="s">
        <v>7924</v>
      </c>
      <c r="BX152" s="101" t="s">
        <v>7931</v>
      </c>
      <c r="BY152" s="101" t="s">
        <v>7926</v>
      </c>
      <c r="BZ152" s="101" t="s">
        <v>7927</v>
      </c>
      <c r="CA152" s="101" t="s">
        <v>7932</v>
      </c>
      <c r="CB152" s="102" t="s">
        <v>7929</v>
      </c>
      <c r="CC152" s="100" t="s">
        <v>7405</v>
      </c>
      <c r="CD152" s="101" t="s">
        <v>7406</v>
      </c>
      <c r="CE152" s="101" t="s">
        <v>7407</v>
      </c>
      <c r="CF152" s="101" t="s">
        <v>7408</v>
      </c>
      <c r="CG152" s="101" t="s">
        <v>7409</v>
      </c>
      <c r="CH152" s="101" t="s">
        <v>7410</v>
      </c>
      <c r="CI152" s="101" t="s">
        <v>7411</v>
      </c>
      <c r="CJ152" s="101" t="s">
        <v>7412</v>
      </c>
      <c r="CK152" s="101" t="s">
        <v>7413</v>
      </c>
      <c r="CL152" s="101" t="s">
        <v>7414</v>
      </c>
      <c r="CM152" s="101" t="s">
        <v>7415</v>
      </c>
      <c r="CN152" s="101" t="s">
        <v>7416</v>
      </c>
      <c r="CO152" s="101" t="s">
        <v>7417</v>
      </c>
      <c r="CP152" s="101" t="s">
        <v>7418</v>
      </c>
      <c r="CQ152" s="101" t="s">
        <v>7419</v>
      </c>
      <c r="CR152" s="102" t="s">
        <v>7420</v>
      </c>
    </row>
    <row r="153">
      <c r="A153" s="103"/>
      <c r="B153" s="103"/>
      <c r="C153" s="103"/>
      <c r="D153" s="103"/>
      <c r="E153" s="103"/>
      <c r="F153" s="103"/>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5"/>
      <c r="AH153" s="101" t="s">
        <v>7933</v>
      </c>
      <c r="AI153" s="101" t="s">
        <v>7934</v>
      </c>
      <c r="AJ153" s="101" t="s">
        <v>7935</v>
      </c>
      <c r="AK153" s="101" t="s">
        <v>7936</v>
      </c>
      <c r="AL153" s="101" t="s">
        <v>7937</v>
      </c>
      <c r="AM153" s="101" t="s">
        <v>7938</v>
      </c>
      <c r="AN153" s="101" t="s">
        <v>7939</v>
      </c>
      <c r="AO153" s="101" t="s">
        <v>7940</v>
      </c>
      <c r="AP153" s="101" t="s">
        <v>7941</v>
      </c>
      <c r="AQ153" s="101" t="s">
        <v>7942</v>
      </c>
      <c r="AR153" s="101" t="s">
        <v>7943</v>
      </c>
      <c r="AS153" s="101" t="s">
        <v>7944</v>
      </c>
      <c r="AT153" s="101" t="s">
        <v>7945</v>
      </c>
      <c r="AU153" s="101" t="s">
        <v>7946</v>
      </c>
      <c r="AV153" s="102" t="s">
        <v>7947</v>
      </c>
      <c r="AW153" s="100" t="s">
        <v>7948</v>
      </c>
      <c r="AX153" s="101" t="s">
        <v>7949</v>
      </c>
      <c r="AY153" s="101" t="s">
        <v>7950</v>
      </c>
      <c r="AZ153" s="101" t="s">
        <v>7951</v>
      </c>
      <c r="BA153" s="101" t="s">
        <v>7952</v>
      </c>
      <c r="BB153" s="101" t="s">
        <v>7953</v>
      </c>
      <c r="BC153" s="101" t="s">
        <v>7954</v>
      </c>
      <c r="BD153" s="101" t="s">
        <v>7955</v>
      </c>
      <c r="BE153" s="101" t="s">
        <v>7956</v>
      </c>
      <c r="BF153" s="101" t="s">
        <v>7957</v>
      </c>
      <c r="BG153" s="101" t="s">
        <v>7958</v>
      </c>
      <c r="BH153" s="101" t="s">
        <v>7959</v>
      </c>
      <c r="BI153" s="101" t="s">
        <v>7960</v>
      </c>
      <c r="BJ153" s="101" t="s">
        <v>7961</v>
      </c>
      <c r="BK153" s="101" t="s">
        <v>7962</v>
      </c>
      <c r="BL153" s="102" t="s">
        <v>7963</v>
      </c>
      <c r="BM153" s="100" t="s">
        <v>7948</v>
      </c>
      <c r="BN153" s="101" t="s">
        <v>7964</v>
      </c>
      <c r="BO153" s="101" t="s">
        <v>7965</v>
      </c>
      <c r="BP153" s="101" t="s">
        <v>7951</v>
      </c>
      <c r="BQ153" s="101" t="s">
        <v>7952</v>
      </c>
      <c r="BR153" s="101" t="s">
        <v>7953</v>
      </c>
      <c r="BS153" s="101" t="s">
        <v>7954</v>
      </c>
      <c r="BT153" s="101" t="s">
        <v>7955</v>
      </c>
      <c r="BU153" s="101" t="s">
        <v>7956</v>
      </c>
      <c r="BV153" s="101" t="s">
        <v>7957</v>
      </c>
      <c r="BW153" s="101" t="s">
        <v>7966</v>
      </c>
      <c r="BX153" s="101" t="s">
        <v>7959</v>
      </c>
      <c r="BY153" s="101" t="s">
        <v>7960</v>
      </c>
      <c r="BZ153" s="101" t="s">
        <v>7961</v>
      </c>
      <c r="CA153" s="101" t="s">
        <v>7962</v>
      </c>
      <c r="CB153" s="102" t="s">
        <v>7963</v>
      </c>
      <c r="CC153" s="100" t="s">
        <v>7437</v>
      </c>
      <c r="CD153" s="101" t="s">
        <v>7438</v>
      </c>
      <c r="CE153" s="101" t="s">
        <v>7439</v>
      </c>
      <c r="CF153" s="101" t="s">
        <v>7440</v>
      </c>
      <c r="CG153" s="101" t="s">
        <v>7441</v>
      </c>
      <c r="CH153" s="101" t="s">
        <v>7442</v>
      </c>
      <c r="CI153" s="101" t="s">
        <v>7443</v>
      </c>
      <c r="CJ153" s="101" t="s">
        <v>7444</v>
      </c>
      <c r="CK153" s="101" t="s">
        <v>7445</v>
      </c>
      <c r="CL153" s="101" t="s">
        <v>7446</v>
      </c>
      <c r="CM153" s="101" t="s">
        <v>7447</v>
      </c>
      <c r="CN153" s="101" t="s">
        <v>7448</v>
      </c>
      <c r="CO153" s="101" t="s">
        <v>7449</v>
      </c>
      <c r="CP153" s="101" t="s">
        <v>7450</v>
      </c>
      <c r="CQ153" s="101" t="s">
        <v>7451</v>
      </c>
      <c r="CR153" s="102" t="s">
        <v>7452</v>
      </c>
    </row>
    <row r="154">
      <c r="A154" s="103"/>
      <c r="B154" s="103"/>
      <c r="C154" s="103"/>
      <c r="D154" s="103"/>
      <c r="E154" s="103"/>
      <c r="F154" s="103"/>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0" t="s">
        <v>7967</v>
      </c>
      <c r="AH154" s="101" t="s">
        <v>7968</v>
      </c>
      <c r="AI154" s="101" t="s">
        <v>7969</v>
      </c>
      <c r="AJ154" s="101" t="s">
        <v>7970</v>
      </c>
      <c r="AK154" s="101" t="s">
        <v>7971</v>
      </c>
      <c r="AL154" s="101" t="s">
        <v>7972</v>
      </c>
      <c r="AM154" s="101" t="s">
        <v>7973</v>
      </c>
      <c r="AN154" s="101" t="s">
        <v>7974</v>
      </c>
      <c r="AO154" s="101" t="s">
        <v>7975</v>
      </c>
      <c r="AP154" s="101" t="s">
        <v>7976</v>
      </c>
      <c r="AQ154" s="101" t="s">
        <v>7977</v>
      </c>
      <c r="AR154" s="101" t="s">
        <v>7978</v>
      </c>
      <c r="AS154" s="101" t="s">
        <v>7979</v>
      </c>
      <c r="AT154" s="101" t="s">
        <v>7980</v>
      </c>
      <c r="AU154" s="101" t="s">
        <v>7981</v>
      </c>
      <c r="AV154" s="102" t="s">
        <v>7982</v>
      </c>
      <c r="AW154" s="100" t="s">
        <v>7983</v>
      </c>
      <c r="AX154" s="101" t="s">
        <v>7984</v>
      </c>
      <c r="AY154" s="101" t="s">
        <v>7985</v>
      </c>
      <c r="AZ154" s="101" t="s">
        <v>7986</v>
      </c>
      <c r="BA154" s="101" t="s">
        <v>7987</v>
      </c>
      <c r="BB154" s="101" t="s">
        <v>7988</v>
      </c>
      <c r="BC154" s="101" t="s">
        <v>7989</v>
      </c>
      <c r="BD154" s="101" t="s">
        <v>7990</v>
      </c>
      <c r="BE154" s="101" t="s">
        <v>7991</v>
      </c>
      <c r="BF154" s="101" t="s">
        <v>7992</v>
      </c>
      <c r="BG154" s="101" t="s">
        <v>7993</v>
      </c>
      <c r="BH154" s="101" t="s">
        <v>7994</v>
      </c>
      <c r="BI154" s="101" t="s">
        <v>7995</v>
      </c>
      <c r="BJ154" s="101" t="s">
        <v>7996</v>
      </c>
      <c r="BK154" s="101" t="s">
        <v>7997</v>
      </c>
      <c r="BL154" s="102" t="s">
        <v>7998</v>
      </c>
      <c r="BM154" s="100" t="s">
        <v>7999</v>
      </c>
      <c r="BN154" s="101" t="s">
        <v>7984</v>
      </c>
      <c r="BO154" s="101" t="s">
        <v>7985</v>
      </c>
      <c r="BP154" s="101" t="s">
        <v>8000</v>
      </c>
      <c r="BQ154" s="101" t="s">
        <v>7987</v>
      </c>
      <c r="BR154" s="101" t="s">
        <v>8001</v>
      </c>
      <c r="BS154" s="101" t="s">
        <v>7989</v>
      </c>
      <c r="BT154" s="101" t="s">
        <v>7990</v>
      </c>
      <c r="BU154" s="101" t="s">
        <v>7991</v>
      </c>
      <c r="BV154" s="101" t="s">
        <v>7992</v>
      </c>
      <c r="BW154" s="101" t="s">
        <v>8002</v>
      </c>
      <c r="BX154" s="101" t="s">
        <v>8003</v>
      </c>
      <c r="BY154" s="101" t="s">
        <v>7995</v>
      </c>
      <c r="BZ154" s="101" t="s">
        <v>7996</v>
      </c>
      <c r="CA154" s="101" t="s">
        <v>8004</v>
      </c>
      <c r="CB154" s="102" t="s">
        <v>8005</v>
      </c>
      <c r="CC154" s="100" t="s">
        <v>7473</v>
      </c>
      <c r="CD154" s="101" t="s">
        <v>7474</v>
      </c>
      <c r="CE154" s="101" t="s">
        <v>7475</v>
      </c>
      <c r="CF154" s="101" t="s">
        <v>7476</v>
      </c>
      <c r="CG154" s="101" t="s">
        <v>7477</v>
      </c>
      <c r="CH154" s="101" t="s">
        <v>7478</v>
      </c>
      <c r="CI154" s="101" t="s">
        <v>7479</v>
      </c>
      <c r="CJ154" s="101" t="s">
        <v>7480</v>
      </c>
      <c r="CK154" s="101" t="s">
        <v>7481</v>
      </c>
      <c r="CL154" s="101" t="s">
        <v>7482</v>
      </c>
      <c r="CM154" s="101" t="s">
        <v>7483</v>
      </c>
      <c r="CN154" s="101" t="s">
        <v>7484</v>
      </c>
      <c r="CO154" s="101" t="s">
        <v>7485</v>
      </c>
      <c r="CP154" s="101" t="s">
        <v>7486</v>
      </c>
      <c r="CQ154" s="101" t="s">
        <v>7487</v>
      </c>
      <c r="CR154" s="107"/>
    </row>
    <row r="155">
      <c r="A155" s="103"/>
      <c r="B155" s="103"/>
      <c r="C155" s="103"/>
      <c r="D155" s="103"/>
      <c r="E155" s="103"/>
      <c r="F155" s="103"/>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0" t="s">
        <v>8006</v>
      </c>
      <c r="AH155" s="101" t="s">
        <v>8007</v>
      </c>
      <c r="AI155" s="101" t="s">
        <v>8008</v>
      </c>
      <c r="AJ155" s="101" t="s">
        <v>8009</v>
      </c>
      <c r="AK155" s="101" t="s">
        <v>8010</v>
      </c>
      <c r="AL155" s="101" t="s">
        <v>8011</v>
      </c>
      <c r="AM155" s="101" t="s">
        <v>8012</v>
      </c>
      <c r="AN155" s="101" t="s">
        <v>8013</v>
      </c>
      <c r="AO155" s="101" t="s">
        <v>8014</v>
      </c>
      <c r="AP155" s="101" t="s">
        <v>8015</v>
      </c>
      <c r="AQ155" s="101" t="s">
        <v>8016</v>
      </c>
      <c r="AR155" s="101" t="s">
        <v>8017</v>
      </c>
      <c r="AS155" s="101" t="s">
        <v>8018</v>
      </c>
      <c r="AT155" s="101" t="s">
        <v>8019</v>
      </c>
      <c r="AU155" s="101" t="s">
        <v>8020</v>
      </c>
      <c r="AV155" s="102" t="s">
        <v>8021</v>
      </c>
      <c r="AW155" s="100" t="s">
        <v>8022</v>
      </c>
      <c r="AX155" s="101" t="s">
        <v>8023</v>
      </c>
      <c r="AY155" s="101" t="s">
        <v>8024</v>
      </c>
      <c r="AZ155" s="101" t="s">
        <v>8025</v>
      </c>
      <c r="BA155" s="101" t="s">
        <v>8026</v>
      </c>
      <c r="BB155" s="101" t="s">
        <v>8027</v>
      </c>
      <c r="BC155" s="101" t="s">
        <v>8028</v>
      </c>
      <c r="BD155" s="101" t="s">
        <v>8029</v>
      </c>
      <c r="BE155" s="101" t="s">
        <v>8030</v>
      </c>
      <c r="BF155" s="101" t="s">
        <v>8031</v>
      </c>
      <c r="BG155" s="101" t="s">
        <v>8032</v>
      </c>
      <c r="BH155" s="101" t="s">
        <v>8033</v>
      </c>
      <c r="BI155" s="101" t="s">
        <v>8034</v>
      </c>
      <c r="BJ155" s="101" t="s">
        <v>8035</v>
      </c>
      <c r="BK155" s="101" t="s">
        <v>8036</v>
      </c>
      <c r="BL155" s="102" t="s">
        <v>8037</v>
      </c>
      <c r="BM155" s="100" t="s">
        <v>8038</v>
      </c>
      <c r="BN155" s="101" t="s">
        <v>8023</v>
      </c>
      <c r="BO155" s="101" t="s">
        <v>8024</v>
      </c>
      <c r="BP155" s="101" t="s">
        <v>8025</v>
      </c>
      <c r="BQ155" s="101" t="s">
        <v>8026</v>
      </c>
      <c r="BR155" s="101" t="s">
        <v>8027</v>
      </c>
      <c r="BS155" s="101" t="s">
        <v>8028</v>
      </c>
      <c r="BT155" s="101" t="s">
        <v>8029</v>
      </c>
      <c r="BU155" s="101" t="s">
        <v>8030</v>
      </c>
      <c r="BV155" s="101" t="s">
        <v>8039</v>
      </c>
      <c r="BW155" s="101" t="s">
        <v>8032</v>
      </c>
      <c r="BX155" s="101" t="s">
        <v>8033</v>
      </c>
      <c r="BY155" s="101" t="s">
        <v>8040</v>
      </c>
      <c r="BZ155" s="101" t="s">
        <v>8035</v>
      </c>
      <c r="CA155" s="101" t="s">
        <v>8041</v>
      </c>
      <c r="CB155" s="102" t="s">
        <v>8037</v>
      </c>
      <c r="CC155" s="105"/>
      <c r="CD155" s="101" t="s">
        <v>7505</v>
      </c>
      <c r="CE155" s="101" t="s">
        <v>7506</v>
      </c>
      <c r="CF155" s="101" t="s">
        <v>7507</v>
      </c>
      <c r="CG155" s="101" t="s">
        <v>7508</v>
      </c>
      <c r="CH155" s="101" t="s">
        <v>7509</v>
      </c>
      <c r="CI155" s="101" t="s">
        <v>7510</v>
      </c>
      <c r="CJ155" s="101" t="s">
        <v>7511</v>
      </c>
      <c r="CK155" s="101" t="s">
        <v>7512</v>
      </c>
      <c r="CL155" s="101" t="s">
        <v>7513</v>
      </c>
      <c r="CM155" s="101" t="s">
        <v>7514</v>
      </c>
      <c r="CN155" s="101" t="s">
        <v>7515</v>
      </c>
      <c r="CO155" s="101" t="s">
        <v>7516</v>
      </c>
      <c r="CP155" s="101" t="s">
        <v>7517</v>
      </c>
      <c r="CQ155" s="101" t="s">
        <v>7518</v>
      </c>
      <c r="CR155" s="102" t="s">
        <v>7519</v>
      </c>
    </row>
    <row r="156">
      <c r="A156" s="103"/>
      <c r="B156" s="103"/>
      <c r="C156" s="103"/>
      <c r="D156" s="103"/>
      <c r="E156" s="103"/>
      <c r="F156" s="103"/>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0" t="s">
        <v>8042</v>
      </c>
      <c r="AH156" s="101" t="s">
        <v>8043</v>
      </c>
      <c r="AI156" s="101" t="s">
        <v>8044</v>
      </c>
      <c r="AJ156" s="101" t="s">
        <v>8045</v>
      </c>
      <c r="AK156" s="101" t="s">
        <v>8046</v>
      </c>
      <c r="AL156" s="101" t="s">
        <v>8047</v>
      </c>
      <c r="AM156" s="101" t="s">
        <v>8048</v>
      </c>
      <c r="AN156" s="101" t="s">
        <v>8049</v>
      </c>
      <c r="AO156" s="101" t="s">
        <v>8050</v>
      </c>
      <c r="AP156" s="101" t="s">
        <v>8051</v>
      </c>
      <c r="AQ156" s="101" t="s">
        <v>8052</v>
      </c>
      <c r="AR156" s="101" t="s">
        <v>8053</v>
      </c>
      <c r="AS156" s="101" t="s">
        <v>8054</v>
      </c>
      <c r="AT156" s="101" t="s">
        <v>8055</v>
      </c>
      <c r="AU156" s="101" t="s">
        <v>8056</v>
      </c>
      <c r="AV156" s="102" t="s">
        <v>8057</v>
      </c>
      <c r="AW156" s="100" t="s">
        <v>8058</v>
      </c>
      <c r="AX156" s="101" t="s">
        <v>8059</v>
      </c>
      <c r="AY156" s="101" t="s">
        <v>8060</v>
      </c>
      <c r="AZ156" s="101" t="s">
        <v>8061</v>
      </c>
      <c r="BA156" s="101" t="s">
        <v>8062</v>
      </c>
      <c r="BB156" s="101" t="s">
        <v>8063</v>
      </c>
      <c r="BC156" s="101" t="s">
        <v>8064</v>
      </c>
      <c r="BD156" s="101" t="s">
        <v>8065</v>
      </c>
      <c r="BE156" s="101" t="s">
        <v>8066</v>
      </c>
      <c r="BF156" s="101" t="s">
        <v>8067</v>
      </c>
      <c r="BG156" s="101" t="s">
        <v>8068</v>
      </c>
      <c r="BH156" s="101" t="s">
        <v>8069</v>
      </c>
      <c r="BI156" s="101" t="s">
        <v>8070</v>
      </c>
      <c r="BJ156" s="101" t="s">
        <v>8071</v>
      </c>
      <c r="BK156" s="101" t="s">
        <v>8072</v>
      </c>
      <c r="BL156" s="102" t="s">
        <v>8073</v>
      </c>
      <c r="BM156" s="100" t="s">
        <v>8058</v>
      </c>
      <c r="BN156" s="101" t="s">
        <v>8059</v>
      </c>
      <c r="BO156" s="101" t="s">
        <v>8074</v>
      </c>
      <c r="BP156" s="101" t="s">
        <v>8061</v>
      </c>
      <c r="BQ156" s="101" t="s">
        <v>8062</v>
      </c>
      <c r="BR156" s="101" t="s">
        <v>8063</v>
      </c>
      <c r="BS156" s="101" t="s">
        <v>8064</v>
      </c>
      <c r="BT156" s="101" t="s">
        <v>8065</v>
      </c>
      <c r="BU156" s="101" t="s">
        <v>8066</v>
      </c>
      <c r="BV156" s="101" t="s">
        <v>8075</v>
      </c>
      <c r="BW156" s="101" t="s">
        <v>8068</v>
      </c>
      <c r="BX156" s="101" t="s">
        <v>8069</v>
      </c>
      <c r="BY156" s="101" t="s">
        <v>8070</v>
      </c>
      <c r="BZ156" s="101" t="s">
        <v>8071</v>
      </c>
      <c r="CA156" s="101" t="s">
        <v>8072</v>
      </c>
      <c r="CB156" s="102" t="s">
        <v>8073</v>
      </c>
      <c r="CC156" s="100" t="s">
        <v>7539</v>
      </c>
      <c r="CD156" s="101" t="s">
        <v>7540</v>
      </c>
      <c r="CE156" s="101" t="s">
        <v>7541</v>
      </c>
      <c r="CF156" s="101" t="s">
        <v>7542</v>
      </c>
      <c r="CG156" s="101" t="s">
        <v>7543</v>
      </c>
      <c r="CH156" s="101" t="s">
        <v>7544</v>
      </c>
      <c r="CI156" s="101" t="s">
        <v>7545</v>
      </c>
      <c r="CJ156" s="101" t="s">
        <v>7546</v>
      </c>
      <c r="CK156" s="101" t="s">
        <v>7547</v>
      </c>
      <c r="CL156" s="101" t="s">
        <v>7548</v>
      </c>
      <c r="CM156" s="101" t="s">
        <v>7549</v>
      </c>
      <c r="CN156" s="101" t="s">
        <v>7550</v>
      </c>
      <c r="CO156" s="101" t="s">
        <v>7551</v>
      </c>
      <c r="CP156" s="101" t="s">
        <v>7552</v>
      </c>
      <c r="CQ156" s="101" t="s">
        <v>7553</v>
      </c>
      <c r="CR156" s="102" t="s">
        <v>7554</v>
      </c>
    </row>
    <row r="157">
      <c r="A157" s="103"/>
      <c r="B157" s="103"/>
      <c r="C157" s="103"/>
      <c r="D157" s="103"/>
      <c r="E157" s="103"/>
      <c r="F157" s="103"/>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0" t="s">
        <v>8076</v>
      </c>
      <c r="AH157" s="101" t="s">
        <v>8077</v>
      </c>
      <c r="AI157" s="101" t="s">
        <v>8078</v>
      </c>
      <c r="AJ157" s="101" t="s">
        <v>8079</v>
      </c>
      <c r="AK157" s="101" t="s">
        <v>8080</v>
      </c>
      <c r="AL157" s="101" t="s">
        <v>8081</v>
      </c>
      <c r="AM157" s="101" t="s">
        <v>8082</v>
      </c>
      <c r="AN157" s="101" t="s">
        <v>8083</v>
      </c>
      <c r="AO157" s="101" t="s">
        <v>8084</v>
      </c>
      <c r="AP157" s="101" t="s">
        <v>8085</v>
      </c>
      <c r="AQ157" s="101" t="s">
        <v>8086</v>
      </c>
      <c r="AR157" s="101" t="s">
        <v>8087</v>
      </c>
      <c r="AS157" s="101" t="s">
        <v>8088</v>
      </c>
      <c r="AT157" s="101" t="s">
        <v>8089</v>
      </c>
      <c r="AU157" s="101" t="s">
        <v>8090</v>
      </c>
      <c r="AV157" s="102" t="s">
        <v>8091</v>
      </c>
      <c r="AW157" s="100" t="s">
        <v>8092</v>
      </c>
      <c r="AX157" s="101" t="s">
        <v>8093</v>
      </c>
      <c r="AY157" s="101" t="s">
        <v>8094</v>
      </c>
      <c r="AZ157" s="101" t="s">
        <v>8095</v>
      </c>
      <c r="BA157" s="101" t="s">
        <v>8096</v>
      </c>
      <c r="BB157" s="101" t="s">
        <v>8097</v>
      </c>
      <c r="BC157" s="101" t="s">
        <v>8098</v>
      </c>
      <c r="BD157" s="101" t="s">
        <v>8099</v>
      </c>
      <c r="BE157" s="101" t="s">
        <v>8100</v>
      </c>
      <c r="BF157" s="101" t="s">
        <v>8101</v>
      </c>
      <c r="BG157" s="101" t="s">
        <v>8102</v>
      </c>
      <c r="BH157" s="101" t="s">
        <v>8103</v>
      </c>
      <c r="BI157" s="101" t="s">
        <v>8104</v>
      </c>
      <c r="BJ157" s="101" t="s">
        <v>8105</v>
      </c>
      <c r="BK157" s="101" t="s">
        <v>8106</v>
      </c>
      <c r="BL157" s="102" t="s">
        <v>8107</v>
      </c>
      <c r="BM157" s="100" t="s">
        <v>8092</v>
      </c>
      <c r="BN157" s="101" t="s">
        <v>8093</v>
      </c>
      <c r="BO157" s="101" t="s">
        <v>8108</v>
      </c>
      <c r="BP157" s="101" t="s">
        <v>8095</v>
      </c>
      <c r="BQ157" s="101" t="s">
        <v>8096</v>
      </c>
      <c r="BR157" s="101" t="s">
        <v>8109</v>
      </c>
      <c r="BS157" s="101" t="s">
        <v>8098</v>
      </c>
      <c r="BT157" s="101" t="s">
        <v>8099</v>
      </c>
      <c r="BU157" s="101" t="s">
        <v>8100</v>
      </c>
      <c r="BV157" s="101" t="s">
        <v>8101</v>
      </c>
      <c r="BW157" s="101" t="s">
        <v>8102</v>
      </c>
      <c r="BX157" s="101" t="s">
        <v>8110</v>
      </c>
      <c r="BY157" s="101" t="s">
        <v>8104</v>
      </c>
      <c r="BZ157" s="101" t="s">
        <v>8105</v>
      </c>
      <c r="CA157" s="101" t="s">
        <v>8106</v>
      </c>
      <c r="CB157" s="102" t="s">
        <v>8107</v>
      </c>
      <c r="CC157" s="100" t="s">
        <v>7572</v>
      </c>
      <c r="CD157" s="101" t="s">
        <v>7573</v>
      </c>
      <c r="CE157" s="101" t="s">
        <v>7574</v>
      </c>
      <c r="CF157" s="101" t="s">
        <v>7575</v>
      </c>
      <c r="CG157" s="101" t="s">
        <v>7576</v>
      </c>
      <c r="CH157" s="101" t="s">
        <v>7577</v>
      </c>
      <c r="CI157" s="101" t="s">
        <v>7578</v>
      </c>
      <c r="CJ157" s="101" t="s">
        <v>7579</v>
      </c>
      <c r="CK157" s="101" t="s">
        <v>7580</v>
      </c>
      <c r="CL157" s="101" t="s">
        <v>7581</v>
      </c>
      <c r="CM157" s="101" t="s">
        <v>7582</v>
      </c>
      <c r="CN157" s="101" t="s">
        <v>7583</v>
      </c>
      <c r="CO157" s="101" t="s">
        <v>7584</v>
      </c>
      <c r="CP157" s="101" t="s">
        <v>7585</v>
      </c>
      <c r="CQ157" s="101" t="s">
        <v>7586</v>
      </c>
      <c r="CR157" s="102" t="s">
        <v>7587</v>
      </c>
    </row>
    <row r="158">
      <c r="A158" s="103"/>
      <c r="B158" s="103"/>
      <c r="C158" s="103"/>
      <c r="D158" s="103"/>
      <c r="E158" s="103"/>
      <c r="F158" s="103"/>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0" t="s">
        <v>8111</v>
      </c>
      <c r="AH158" s="101" t="s">
        <v>8112</v>
      </c>
      <c r="AI158" s="101" t="s">
        <v>8113</v>
      </c>
      <c r="AJ158" s="101" t="s">
        <v>8114</v>
      </c>
      <c r="AK158" s="101" t="s">
        <v>8115</v>
      </c>
      <c r="AL158" s="101" t="s">
        <v>8116</v>
      </c>
      <c r="AM158" s="101" t="s">
        <v>8117</v>
      </c>
      <c r="AN158" s="101" t="s">
        <v>8118</v>
      </c>
      <c r="AO158" s="101" t="s">
        <v>8119</v>
      </c>
      <c r="AP158" s="101" t="s">
        <v>8120</v>
      </c>
      <c r="AQ158" s="101" t="s">
        <v>8121</v>
      </c>
      <c r="AR158" s="101" t="s">
        <v>8122</v>
      </c>
      <c r="AS158" s="101" t="s">
        <v>8123</v>
      </c>
      <c r="AT158" s="101" t="s">
        <v>8124</v>
      </c>
      <c r="AU158" s="101" t="s">
        <v>8125</v>
      </c>
      <c r="AV158" s="107"/>
      <c r="AW158" s="100" t="s">
        <v>8126</v>
      </c>
      <c r="AX158" s="101" t="s">
        <v>8127</v>
      </c>
      <c r="AY158" s="101" t="s">
        <v>8128</v>
      </c>
      <c r="AZ158" s="101" t="s">
        <v>8129</v>
      </c>
      <c r="BA158" s="101" t="s">
        <v>8130</v>
      </c>
      <c r="BB158" s="101" t="s">
        <v>8131</v>
      </c>
      <c r="BC158" s="101" t="s">
        <v>8132</v>
      </c>
      <c r="BD158" s="101" t="s">
        <v>8133</v>
      </c>
      <c r="BE158" s="101" t="s">
        <v>8134</v>
      </c>
      <c r="BF158" s="101" t="s">
        <v>8135</v>
      </c>
      <c r="BG158" s="101" t="s">
        <v>8136</v>
      </c>
      <c r="BH158" s="101" t="s">
        <v>8137</v>
      </c>
      <c r="BI158" s="101" t="s">
        <v>8138</v>
      </c>
      <c r="BJ158" s="101" t="s">
        <v>8139</v>
      </c>
      <c r="BK158" s="101" t="s">
        <v>8140</v>
      </c>
      <c r="BL158" s="102" t="s">
        <v>8141</v>
      </c>
      <c r="BM158" s="100" t="s">
        <v>8126</v>
      </c>
      <c r="BN158" s="101" t="s">
        <v>8127</v>
      </c>
      <c r="BO158" s="101" t="s">
        <v>8128</v>
      </c>
      <c r="BP158" s="101" t="s">
        <v>8129</v>
      </c>
      <c r="BQ158" s="101" t="s">
        <v>8142</v>
      </c>
      <c r="BR158" s="101" t="s">
        <v>8131</v>
      </c>
      <c r="BS158" s="101" t="s">
        <v>8132</v>
      </c>
      <c r="BT158" s="101" t="s">
        <v>8133</v>
      </c>
      <c r="BU158" s="101" t="s">
        <v>8143</v>
      </c>
      <c r="BV158" s="101" t="s">
        <v>8135</v>
      </c>
      <c r="BW158" s="101" t="s">
        <v>8144</v>
      </c>
      <c r="BX158" s="101" t="s">
        <v>8137</v>
      </c>
      <c r="BY158" s="101" t="s">
        <v>8145</v>
      </c>
      <c r="BZ158" s="101" t="s">
        <v>8139</v>
      </c>
      <c r="CA158" s="101" t="s">
        <v>8140</v>
      </c>
      <c r="CB158" s="102" t="s">
        <v>8141</v>
      </c>
      <c r="CC158" s="100" t="s">
        <v>7607</v>
      </c>
      <c r="CD158" s="101" t="s">
        <v>7608</v>
      </c>
      <c r="CE158" s="101" t="s">
        <v>7609</v>
      </c>
      <c r="CF158" s="101" t="s">
        <v>7610</v>
      </c>
      <c r="CG158" s="101" t="s">
        <v>7611</v>
      </c>
      <c r="CH158" s="101" t="s">
        <v>7612</v>
      </c>
      <c r="CI158" s="101" t="s">
        <v>7613</v>
      </c>
      <c r="CJ158" s="101" t="s">
        <v>7614</v>
      </c>
      <c r="CK158" s="101" t="s">
        <v>7615</v>
      </c>
      <c r="CL158" s="101" t="s">
        <v>7616</v>
      </c>
      <c r="CM158" s="101" t="s">
        <v>7617</v>
      </c>
      <c r="CN158" s="101" t="s">
        <v>7618</v>
      </c>
      <c r="CO158" s="101" t="s">
        <v>7619</v>
      </c>
      <c r="CP158" s="101" t="s">
        <v>7620</v>
      </c>
      <c r="CQ158" s="101" t="s">
        <v>7621</v>
      </c>
      <c r="CR158" s="102" t="s">
        <v>7622</v>
      </c>
    </row>
    <row r="159">
      <c r="A159" s="103"/>
      <c r="B159" s="103"/>
      <c r="C159" s="103"/>
      <c r="D159" s="103"/>
      <c r="E159" s="103"/>
      <c r="F159" s="103"/>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5"/>
      <c r="AH159" s="101" t="s">
        <v>8146</v>
      </c>
      <c r="AI159" s="101" t="s">
        <v>8147</v>
      </c>
      <c r="AJ159" s="101" t="s">
        <v>8148</v>
      </c>
      <c r="AK159" s="101" t="s">
        <v>8149</v>
      </c>
      <c r="AL159" s="101" t="s">
        <v>8150</v>
      </c>
      <c r="AM159" s="101" t="s">
        <v>8151</v>
      </c>
      <c r="AN159" s="101" t="s">
        <v>8152</v>
      </c>
      <c r="AO159" s="101" t="s">
        <v>8153</v>
      </c>
      <c r="AP159" s="101" t="s">
        <v>8154</v>
      </c>
      <c r="AQ159" s="101" t="s">
        <v>8155</v>
      </c>
      <c r="AR159" s="101" t="s">
        <v>8156</v>
      </c>
      <c r="AS159" s="101" t="s">
        <v>8157</v>
      </c>
      <c r="AT159" s="101" t="s">
        <v>8158</v>
      </c>
      <c r="AU159" s="101" t="s">
        <v>8159</v>
      </c>
      <c r="AV159" s="102" t="s">
        <v>8160</v>
      </c>
      <c r="AW159" s="100" t="s">
        <v>8161</v>
      </c>
      <c r="AX159" s="101" t="s">
        <v>8162</v>
      </c>
      <c r="AY159" s="101" t="s">
        <v>8163</v>
      </c>
      <c r="AZ159" s="101" t="s">
        <v>8164</v>
      </c>
      <c r="BA159" s="101" t="s">
        <v>8165</v>
      </c>
      <c r="BB159" s="101" t="s">
        <v>8166</v>
      </c>
      <c r="BC159" s="101" t="s">
        <v>8167</v>
      </c>
      <c r="BD159" s="101" t="s">
        <v>8168</v>
      </c>
      <c r="BE159" s="101" t="s">
        <v>8169</v>
      </c>
      <c r="BF159" s="101" t="s">
        <v>8170</v>
      </c>
      <c r="BG159" s="101" t="s">
        <v>8171</v>
      </c>
      <c r="BH159" s="101" t="s">
        <v>8172</v>
      </c>
      <c r="BI159" s="101" t="s">
        <v>8173</v>
      </c>
      <c r="BJ159" s="101" t="s">
        <v>8174</v>
      </c>
      <c r="BK159" s="101" t="s">
        <v>8175</v>
      </c>
      <c r="BL159" s="102" t="s">
        <v>8176</v>
      </c>
      <c r="BM159" s="100" t="s">
        <v>8161</v>
      </c>
      <c r="BN159" s="101" t="s">
        <v>8162</v>
      </c>
      <c r="BO159" s="101" t="s">
        <v>8177</v>
      </c>
      <c r="BP159" s="101" t="s">
        <v>8164</v>
      </c>
      <c r="BQ159" s="101" t="s">
        <v>8178</v>
      </c>
      <c r="BR159" s="101" t="s">
        <v>8166</v>
      </c>
      <c r="BS159" s="101" t="s">
        <v>8167</v>
      </c>
      <c r="BT159" s="101" t="s">
        <v>8168</v>
      </c>
      <c r="BU159" s="101" t="s">
        <v>8169</v>
      </c>
      <c r="BV159" s="101" t="s">
        <v>8170</v>
      </c>
      <c r="BW159" s="101" t="s">
        <v>8171</v>
      </c>
      <c r="BX159" s="101" t="s">
        <v>8172</v>
      </c>
      <c r="BY159" s="101" t="s">
        <v>8173</v>
      </c>
      <c r="BZ159" s="101" t="s">
        <v>8174</v>
      </c>
      <c r="CA159" s="101" t="s">
        <v>8179</v>
      </c>
      <c r="CB159" s="102" t="s">
        <v>8176</v>
      </c>
      <c r="CC159" s="100" t="s">
        <v>7641</v>
      </c>
      <c r="CD159" s="101" t="s">
        <v>7642</v>
      </c>
      <c r="CE159" s="101" t="s">
        <v>7643</v>
      </c>
      <c r="CF159" s="101" t="s">
        <v>7644</v>
      </c>
      <c r="CG159" s="101" t="s">
        <v>7645</v>
      </c>
      <c r="CH159" s="101" t="s">
        <v>7646</v>
      </c>
      <c r="CI159" s="101" t="s">
        <v>7647</v>
      </c>
      <c r="CJ159" s="101" t="s">
        <v>7648</v>
      </c>
      <c r="CK159" s="101" t="s">
        <v>7649</v>
      </c>
      <c r="CL159" s="101" t="s">
        <v>7650</v>
      </c>
      <c r="CM159" s="101" t="s">
        <v>7651</v>
      </c>
      <c r="CN159" s="101" t="s">
        <v>7652</v>
      </c>
      <c r="CO159" s="101" t="s">
        <v>7653</v>
      </c>
      <c r="CP159" s="101" t="s">
        <v>7654</v>
      </c>
      <c r="CQ159" s="101" t="s">
        <v>7655</v>
      </c>
      <c r="CR159" s="102" t="s">
        <v>7656</v>
      </c>
    </row>
    <row r="160">
      <c r="A160" s="103"/>
      <c r="B160" s="103"/>
      <c r="C160" s="103"/>
      <c r="D160" s="103"/>
      <c r="E160" s="103"/>
      <c r="F160" s="103"/>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0" t="s">
        <v>8180</v>
      </c>
      <c r="AH160" s="101" t="s">
        <v>8181</v>
      </c>
      <c r="AI160" s="101" t="s">
        <v>8182</v>
      </c>
      <c r="AJ160" s="101" t="s">
        <v>8183</v>
      </c>
      <c r="AK160" s="101" t="s">
        <v>8184</v>
      </c>
      <c r="AL160" s="101" t="s">
        <v>8185</v>
      </c>
      <c r="AM160" s="101" t="s">
        <v>8186</v>
      </c>
      <c r="AN160" s="101" t="s">
        <v>8187</v>
      </c>
      <c r="AO160" s="101" t="s">
        <v>8188</v>
      </c>
      <c r="AP160" s="101" t="s">
        <v>8189</v>
      </c>
      <c r="AQ160" s="101" t="s">
        <v>8190</v>
      </c>
      <c r="AR160" s="101" t="s">
        <v>8191</v>
      </c>
      <c r="AS160" s="101" t="s">
        <v>8192</v>
      </c>
      <c r="AT160" s="101" t="s">
        <v>8193</v>
      </c>
      <c r="AU160" s="101" t="s">
        <v>8194</v>
      </c>
      <c r="AV160" s="102" t="s">
        <v>8195</v>
      </c>
      <c r="AW160" s="100" t="s">
        <v>8196</v>
      </c>
      <c r="AX160" s="101" t="s">
        <v>8197</v>
      </c>
      <c r="AY160" s="101" t="s">
        <v>8198</v>
      </c>
      <c r="AZ160" s="101" t="s">
        <v>8199</v>
      </c>
      <c r="BA160" s="101" t="s">
        <v>8200</v>
      </c>
      <c r="BB160" s="101" t="s">
        <v>8201</v>
      </c>
      <c r="BC160" s="101" t="s">
        <v>8202</v>
      </c>
      <c r="BD160" s="101" t="s">
        <v>8203</v>
      </c>
      <c r="BE160" s="101" t="s">
        <v>8204</v>
      </c>
      <c r="BF160" s="101" t="s">
        <v>8205</v>
      </c>
      <c r="BG160" s="101" t="s">
        <v>8206</v>
      </c>
      <c r="BH160" s="101" t="s">
        <v>8207</v>
      </c>
      <c r="BI160" s="101" t="s">
        <v>8208</v>
      </c>
      <c r="BJ160" s="101" t="s">
        <v>8209</v>
      </c>
      <c r="BK160" s="101" t="s">
        <v>8210</v>
      </c>
      <c r="BL160" s="102" t="s">
        <v>8211</v>
      </c>
      <c r="BM160" s="100" t="s">
        <v>8212</v>
      </c>
      <c r="BN160" s="101" t="s">
        <v>8197</v>
      </c>
      <c r="BO160" s="101" t="s">
        <v>8213</v>
      </c>
      <c r="BP160" s="101" t="s">
        <v>8199</v>
      </c>
      <c r="BQ160" s="101" t="s">
        <v>8214</v>
      </c>
      <c r="BR160" s="101" t="s">
        <v>8201</v>
      </c>
      <c r="BS160" s="101" t="s">
        <v>8202</v>
      </c>
      <c r="BT160" s="101" t="s">
        <v>8215</v>
      </c>
      <c r="BU160" s="101" t="s">
        <v>8204</v>
      </c>
      <c r="BV160" s="101" t="s">
        <v>8205</v>
      </c>
      <c r="BW160" s="101" t="s">
        <v>8206</v>
      </c>
      <c r="BX160" s="101" t="s">
        <v>8207</v>
      </c>
      <c r="BY160" s="101" t="s">
        <v>8216</v>
      </c>
      <c r="BZ160" s="101" t="s">
        <v>8209</v>
      </c>
      <c r="CA160" s="101" t="s">
        <v>8210</v>
      </c>
      <c r="CB160" s="102" t="s">
        <v>8217</v>
      </c>
      <c r="CC160" s="100" t="s">
        <v>7677</v>
      </c>
      <c r="CD160" s="101" t="s">
        <v>7678</v>
      </c>
      <c r="CE160" s="101" t="s">
        <v>7679</v>
      </c>
      <c r="CF160" s="101" t="s">
        <v>7680</v>
      </c>
      <c r="CG160" s="101" t="s">
        <v>7681</v>
      </c>
      <c r="CH160" s="101" t="s">
        <v>7682</v>
      </c>
      <c r="CI160" s="101" t="s">
        <v>7683</v>
      </c>
      <c r="CJ160" s="101" t="s">
        <v>7684</v>
      </c>
      <c r="CK160" s="101" t="s">
        <v>7685</v>
      </c>
      <c r="CL160" s="101" t="s">
        <v>7686</v>
      </c>
      <c r="CM160" s="101" t="s">
        <v>7687</v>
      </c>
      <c r="CN160" s="101" t="s">
        <v>7688</v>
      </c>
      <c r="CO160" s="101" t="s">
        <v>7689</v>
      </c>
      <c r="CP160" s="101" t="s">
        <v>7690</v>
      </c>
      <c r="CQ160" s="101" t="s">
        <v>7691</v>
      </c>
      <c r="CR160" s="107"/>
    </row>
    <row r="161">
      <c r="A161" s="103"/>
      <c r="B161" s="103"/>
      <c r="C161" s="103"/>
      <c r="D161" s="103"/>
      <c r="E161" s="103"/>
      <c r="F161" s="103"/>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10" t="s">
        <v>8218</v>
      </c>
      <c r="AH161" s="111" t="s">
        <v>8219</v>
      </c>
      <c r="AI161" s="111" t="s">
        <v>8220</v>
      </c>
      <c r="AJ161" s="111" t="s">
        <v>8221</v>
      </c>
      <c r="AK161" s="111" t="s">
        <v>8222</v>
      </c>
      <c r="AL161" s="111" t="s">
        <v>8223</v>
      </c>
      <c r="AM161" s="111" t="s">
        <v>8224</v>
      </c>
      <c r="AN161" s="111" t="s">
        <v>8225</v>
      </c>
      <c r="AO161" s="111" t="s">
        <v>8226</v>
      </c>
      <c r="AP161" s="111" t="s">
        <v>8227</v>
      </c>
      <c r="AQ161" s="111" t="s">
        <v>8228</v>
      </c>
      <c r="AR161" s="111" t="s">
        <v>8229</v>
      </c>
      <c r="AS161" s="111" t="s">
        <v>8230</v>
      </c>
      <c r="AT161" s="111" t="s">
        <v>8231</v>
      </c>
      <c r="AU161" s="111" t="s">
        <v>8232</v>
      </c>
      <c r="AV161" s="112" t="s">
        <v>8233</v>
      </c>
      <c r="AW161" s="110" t="s">
        <v>8234</v>
      </c>
      <c r="AX161" s="111" t="s">
        <v>8235</v>
      </c>
      <c r="AY161" s="111" t="s">
        <v>8236</v>
      </c>
      <c r="AZ161" s="111" t="s">
        <v>8237</v>
      </c>
      <c r="BA161" s="111" t="s">
        <v>8238</v>
      </c>
      <c r="BB161" s="111" t="s">
        <v>8239</v>
      </c>
      <c r="BC161" s="111" t="s">
        <v>8240</v>
      </c>
      <c r="BD161" s="111" t="s">
        <v>8241</v>
      </c>
      <c r="BE161" s="111" t="s">
        <v>8242</v>
      </c>
      <c r="BF161" s="111" t="s">
        <v>8243</v>
      </c>
      <c r="BG161" s="111" t="s">
        <v>8244</v>
      </c>
      <c r="BH161" s="111" t="s">
        <v>8245</v>
      </c>
      <c r="BI161" s="111" t="s">
        <v>8246</v>
      </c>
      <c r="BJ161" s="111" t="s">
        <v>8247</v>
      </c>
      <c r="BK161" s="111" t="s">
        <v>8248</v>
      </c>
      <c r="BL161" s="112" t="s">
        <v>8249</v>
      </c>
      <c r="BM161" s="110" t="s">
        <v>8250</v>
      </c>
      <c r="BN161" s="111" t="s">
        <v>8235</v>
      </c>
      <c r="BO161" s="111" t="s">
        <v>8236</v>
      </c>
      <c r="BP161" s="111" t="s">
        <v>8237</v>
      </c>
      <c r="BQ161" s="111" t="s">
        <v>8251</v>
      </c>
      <c r="BR161" s="111" t="s">
        <v>8252</v>
      </c>
      <c r="BS161" s="111" t="s">
        <v>8253</v>
      </c>
      <c r="BT161" s="111" t="s">
        <v>8254</v>
      </c>
      <c r="BU161" s="111" t="s">
        <v>8242</v>
      </c>
      <c r="BV161" s="111" t="s">
        <v>8243</v>
      </c>
      <c r="BW161" s="111" t="s">
        <v>8244</v>
      </c>
      <c r="BX161" s="111" t="s">
        <v>8245</v>
      </c>
      <c r="BY161" s="111" t="s">
        <v>8246</v>
      </c>
      <c r="BZ161" s="111" t="s">
        <v>8247</v>
      </c>
      <c r="CA161" s="111" t="s">
        <v>8255</v>
      </c>
      <c r="CB161" s="112" t="s">
        <v>8256</v>
      </c>
      <c r="CC161" s="110"/>
      <c r="CD161" s="111"/>
      <c r="CE161" s="111"/>
      <c r="CF161" s="111"/>
      <c r="CG161" s="111"/>
      <c r="CH161" s="111"/>
      <c r="CI161" s="111"/>
      <c r="CJ161" s="111"/>
      <c r="CK161" s="111"/>
      <c r="CL161" s="111"/>
      <c r="CM161" s="111"/>
      <c r="CN161" s="111"/>
      <c r="CO161" s="111"/>
      <c r="CP161" s="111"/>
      <c r="CQ161" s="111"/>
      <c r="CR161" s="115"/>
    </row>
    <row r="162">
      <c r="A162" s="103"/>
      <c r="B162" s="103"/>
      <c r="C162" s="103"/>
      <c r="D162" s="103"/>
      <c r="E162" s="103"/>
      <c r="F162" s="103"/>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99" t="s">
        <v>8257</v>
      </c>
      <c r="AH162" s="97" t="s">
        <v>8258</v>
      </c>
      <c r="AI162" s="97" t="s">
        <v>8259</v>
      </c>
      <c r="AJ162" s="97" t="s">
        <v>8260</v>
      </c>
      <c r="AK162" s="97" t="s">
        <v>8261</v>
      </c>
      <c r="AL162" s="97" t="s">
        <v>8262</v>
      </c>
      <c r="AM162" s="97" t="s">
        <v>8263</v>
      </c>
      <c r="AN162" s="97" t="s">
        <v>8264</v>
      </c>
      <c r="AO162" s="97" t="s">
        <v>8265</v>
      </c>
      <c r="AP162" s="97" t="s">
        <v>8266</v>
      </c>
      <c r="AQ162" s="97" t="s">
        <v>8267</v>
      </c>
      <c r="AR162" s="97" t="s">
        <v>8268</v>
      </c>
      <c r="AS162" s="97" t="s">
        <v>8269</v>
      </c>
      <c r="AT162" s="97" t="s">
        <v>8270</v>
      </c>
      <c r="AU162" s="97" t="s">
        <v>8271</v>
      </c>
      <c r="AV162" s="98" t="s">
        <v>8272</v>
      </c>
      <c r="AW162" s="99" t="s">
        <v>8273</v>
      </c>
      <c r="AX162" s="97" t="s">
        <v>8274</v>
      </c>
      <c r="AY162" s="97" t="s">
        <v>8275</v>
      </c>
      <c r="AZ162" s="97" t="s">
        <v>8276</v>
      </c>
      <c r="BA162" s="97" t="s">
        <v>8277</v>
      </c>
      <c r="BB162" s="97" t="s">
        <v>8278</v>
      </c>
      <c r="BC162" s="97" t="s">
        <v>8279</v>
      </c>
      <c r="BD162" s="97" t="s">
        <v>8280</v>
      </c>
      <c r="BE162" s="97" t="s">
        <v>8281</v>
      </c>
      <c r="BF162" s="97" t="s">
        <v>8282</v>
      </c>
      <c r="BG162" s="97" t="s">
        <v>8283</v>
      </c>
      <c r="BH162" s="97" t="s">
        <v>8284</v>
      </c>
      <c r="BI162" s="97" t="s">
        <v>8285</v>
      </c>
      <c r="BJ162" s="97" t="s">
        <v>8286</v>
      </c>
      <c r="BK162" s="97" t="s">
        <v>8287</v>
      </c>
      <c r="BL162" s="98" t="s">
        <v>8288</v>
      </c>
      <c r="BM162" s="99" t="s">
        <v>8289</v>
      </c>
      <c r="BN162" s="97" t="s">
        <v>8290</v>
      </c>
      <c r="BO162" s="97" t="s">
        <v>8275</v>
      </c>
      <c r="BP162" s="97" t="s">
        <v>8291</v>
      </c>
      <c r="BQ162" s="97" t="s">
        <v>8277</v>
      </c>
      <c r="BR162" s="97" t="s">
        <v>8278</v>
      </c>
      <c r="BS162" s="97" t="s">
        <v>8292</v>
      </c>
      <c r="BT162" s="97" t="s">
        <v>8280</v>
      </c>
      <c r="BU162" s="97" t="s">
        <v>8281</v>
      </c>
      <c r="BV162" s="97" t="s">
        <v>8282</v>
      </c>
      <c r="BW162" s="97" t="s">
        <v>8283</v>
      </c>
      <c r="BX162" s="97" t="s">
        <v>8284</v>
      </c>
      <c r="BY162" s="97" t="s">
        <v>8293</v>
      </c>
      <c r="BZ162" s="97" t="s">
        <v>8286</v>
      </c>
      <c r="CA162" s="97" t="s">
        <v>8287</v>
      </c>
      <c r="CB162" s="98" t="s">
        <v>8288</v>
      </c>
      <c r="CC162" s="96"/>
      <c r="CD162" s="97" t="s">
        <v>7710</v>
      </c>
      <c r="CE162" s="97" t="s">
        <v>7711</v>
      </c>
      <c r="CF162" s="97" t="s">
        <v>7712</v>
      </c>
      <c r="CG162" s="97" t="s">
        <v>7713</v>
      </c>
      <c r="CH162" s="97" t="s">
        <v>7714</v>
      </c>
      <c r="CI162" s="97" t="s">
        <v>7715</v>
      </c>
      <c r="CJ162" s="97" t="s">
        <v>7716</v>
      </c>
      <c r="CK162" s="97" t="s">
        <v>7717</v>
      </c>
      <c r="CL162" s="97" t="s">
        <v>7718</v>
      </c>
      <c r="CM162" s="97" t="s">
        <v>7719</v>
      </c>
      <c r="CN162" s="97" t="s">
        <v>7720</v>
      </c>
      <c r="CO162" s="97" t="s">
        <v>7721</v>
      </c>
      <c r="CP162" s="97" t="s">
        <v>7722</v>
      </c>
      <c r="CQ162" s="97" t="s">
        <v>7723</v>
      </c>
      <c r="CR162" s="98" t="s">
        <v>7724</v>
      </c>
    </row>
    <row r="163">
      <c r="A163" s="103"/>
      <c r="B163" s="103"/>
      <c r="C163" s="103"/>
      <c r="D163" s="103"/>
      <c r="E163" s="103"/>
      <c r="F163" s="103"/>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0" t="s">
        <v>8294</v>
      </c>
      <c r="AH163" s="101" t="s">
        <v>8295</v>
      </c>
      <c r="AI163" s="101" t="s">
        <v>8296</v>
      </c>
      <c r="AJ163" s="101" t="s">
        <v>8297</v>
      </c>
      <c r="AK163" s="101" t="s">
        <v>8298</v>
      </c>
      <c r="AL163" s="101" t="s">
        <v>8299</v>
      </c>
      <c r="AM163" s="101" t="s">
        <v>8300</v>
      </c>
      <c r="AN163" s="101" t="s">
        <v>8301</v>
      </c>
      <c r="AO163" s="101" t="s">
        <v>8302</v>
      </c>
      <c r="AP163" s="101" t="s">
        <v>8303</v>
      </c>
      <c r="AQ163" s="101" t="s">
        <v>8304</v>
      </c>
      <c r="AR163" s="101" t="s">
        <v>8305</v>
      </c>
      <c r="AS163" s="101" t="s">
        <v>8306</v>
      </c>
      <c r="AT163" s="101" t="s">
        <v>8307</v>
      </c>
      <c r="AU163" s="101" t="s">
        <v>8308</v>
      </c>
      <c r="AV163" s="102" t="s">
        <v>8309</v>
      </c>
      <c r="AW163" s="100" t="s">
        <v>8310</v>
      </c>
      <c r="AX163" s="101" t="s">
        <v>8311</v>
      </c>
      <c r="AY163" s="101" t="s">
        <v>8312</v>
      </c>
      <c r="AZ163" s="101" t="s">
        <v>8313</v>
      </c>
      <c r="BA163" s="101" t="s">
        <v>8314</v>
      </c>
      <c r="BB163" s="101" t="s">
        <v>8315</v>
      </c>
      <c r="BC163" s="101" t="s">
        <v>8316</v>
      </c>
      <c r="BD163" s="101" t="s">
        <v>8317</v>
      </c>
      <c r="BE163" s="101" t="s">
        <v>8318</v>
      </c>
      <c r="BF163" s="101" t="s">
        <v>8319</v>
      </c>
      <c r="BG163" s="101" t="s">
        <v>8320</v>
      </c>
      <c r="BH163" s="101" t="s">
        <v>8321</v>
      </c>
      <c r="BI163" s="101" t="s">
        <v>8322</v>
      </c>
      <c r="BJ163" s="101" t="s">
        <v>8323</v>
      </c>
      <c r="BK163" s="101" t="s">
        <v>8324</v>
      </c>
      <c r="BL163" s="102" t="s">
        <v>8325</v>
      </c>
      <c r="BM163" s="100" t="s">
        <v>8310</v>
      </c>
      <c r="BN163" s="101" t="s">
        <v>8311</v>
      </c>
      <c r="BO163" s="101" t="s">
        <v>8312</v>
      </c>
      <c r="BP163" s="101" t="s">
        <v>8313</v>
      </c>
      <c r="BQ163" s="101" t="s">
        <v>8314</v>
      </c>
      <c r="BR163" s="101" t="s">
        <v>8315</v>
      </c>
      <c r="BS163" s="101" t="s">
        <v>8316</v>
      </c>
      <c r="BT163" s="101" t="s">
        <v>8326</v>
      </c>
      <c r="BU163" s="101" t="s">
        <v>8318</v>
      </c>
      <c r="BV163" s="101" t="s">
        <v>8319</v>
      </c>
      <c r="BW163" s="101" t="s">
        <v>8320</v>
      </c>
      <c r="BX163" s="101" t="s">
        <v>8321</v>
      </c>
      <c r="BY163" s="101" t="s">
        <v>8322</v>
      </c>
      <c r="BZ163" s="101" t="s">
        <v>8327</v>
      </c>
      <c r="CA163" s="101" t="s">
        <v>8324</v>
      </c>
      <c r="CB163" s="102" t="s">
        <v>8325</v>
      </c>
      <c r="CC163" s="100" t="s">
        <v>7741</v>
      </c>
      <c r="CD163" s="101" t="s">
        <v>7742</v>
      </c>
      <c r="CE163" s="101" t="s">
        <v>7743</v>
      </c>
      <c r="CF163" s="101" t="s">
        <v>7744</v>
      </c>
      <c r="CG163" s="101" t="s">
        <v>7745</v>
      </c>
      <c r="CH163" s="101" t="s">
        <v>7746</v>
      </c>
      <c r="CI163" s="101" t="s">
        <v>7747</v>
      </c>
      <c r="CJ163" s="101" t="s">
        <v>7748</v>
      </c>
      <c r="CK163" s="101" t="s">
        <v>7749</v>
      </c>
      <c r="CL163" s="101" t="s">
        <v>7750</v>
      </c>
      <c r="CM163" s="101" t="s">
        <v>7751</v>
      </c>
      <c r="CN163" s="101" t="s">
        <v>7752</v>
      </c>
      <c r="CO163" s="101" t="s">
        <v>7753</v>
      </c>
      <c r="CP163" s="101" t="s">
        <v>7754</v>
      </c>
      <c r="CQ163" s="101" t="s">
        <v>7755</v>
      </c>
      <c r="CR163" s="102" t="s">
        <v>7756</v>
      </c>
    </row>
    <row r="164">
      <c r="A164" s="103"/>
      <c r="B164" s="103"/>
      <c r="C164" s="103"/>
      <c r="D164" s="103"/>
      <c r="E164" s="103"/>
      <c r="F164" s="103"/>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0" t="s">
        <v>8328</v>
      </c>
      <c r="AH164" s="101" t="s">
        <v>8329</v>
      </c>
      <c r="AI164" s="101" t="s">
        <v>8330</v>
      </c>
      <c r="AJ164" s="101" t="s">
        <v>8331</v>
      </c>
      <c r="AK164" s="101" t="s">
        <v>8332</v>
      </c>
      <c r="AL164" s="101" t="s">
        <v>8333</v>
      </c>
      <c r="AM164" s="101" t="s">
        <v>8334</v>
      </c>
      <c r="AN164" s="101" t="s">
        <v>8335</v>
      </c>
      <c r="AO164" s="101" t="s">
        <v>8336</v>
      </c>
      <c r="AP164" s="101" t="s">
        <v>8337</v>
      </c>
      <c r="AQ164" s="101" t="s">
        <v>8338</v>
      </c>
      <c r="AR164" s="101" t="s">
        <v>8339</v>
      </c>
      <c r="AS164" s="101" t="s">
        <v>8340</v>
      </c>
      <c r="AT164" s="101" t="s">
        <v>8341</v>
      </c>
      <c r="AU164" s="101" t="s">
        <v>8342</v>
      </c>
      <c r="AV164" s="107"/>
      <c r="AW164" s="100" t="s">
        <v>8343</v>
      </c>
      <c r="AX164" s="101" t="s">
        <v>8344</v>
      </c>
      <c r="AY164" s="101" t="s">
        <v>8345</v>
      </c>
      <c r="AZ164" s="101" t="s">
        <v>8346</v>
      </c>
      <c r="BA164" s="101" t="s">
        <v>8347</v>
      </c>
      <c r="BB164" s="101" t="s">
        <v>8348</v>
      </c>
      <c r="BC164" s="101" t="s">
        <v>8349</v>
      </c>
      <c r="BD164" s="101" t="s">
        <v>8350</v>
      </c>
      <c r="BE164" s="101" t="s">
        <v>8351</v>
      </c>
      <c r="BF164" s="101" t="s">
        <v>8352</v>
      </c>
      <c r="BG164" s="101" t="s">
        <v>8353</v>
      </c>
      <c r="BH164" s="101" t="s">
        <v>8354</v>
      </c>
      <c r="BI164" s="101" t="s">
        <v>8355</v>
      </c>
      <c r="BJ164" s="101" t="s">
        <v>8356</v>
      </c>
      <c r="BK164" s="101" t="s">
        <v>8357</v>
      </c>
      <c r="BL164" s="102" t="s">
        <v>8358</v>
      </c>
      <c r="BM164" s="100" t="s">
        <v>8359</v>
      </c>
      <c r="BN164" s="101" t="s">
        <v>8344</v>
      </c>
      <c r="BO164" s="101" t="s">
        <v>8345</v>
      </c>
      <c r="BP164" s="101" t="s">
        <v>8346</v>
      </c>
      <c r="BQ164" s="101" t="s">
        <v>8360</v>
      </c>
      <c r="BR164" s="101" t="s">
        <v>8348</v>
      </c>
      <c r="BS164" s="101" t="s">
        <v>8349</v>
      </c>
      <c r="BT164" s="101" t="s">
        <v>8350</v>
      </c>
      <c r="BU164" s="101" t="s">
        <v>8361</v>
      </c>
      <c r="BV164" s="101" t="s">
        <v>8352</v>
      </c>
      <c r="BW164" s="101" t="s">
        <v>8353</v>
      </c>
      <c r="BX164" s="101" t="s">
        <v>8354</v>
      </c>
      <c r="BY164" s="101" t="s">
        <v>8362</v>
      </c>
      <c r="BZ164" s="101" t="s">
        <v>8363</v>
      </c>
      <c r="CA164" s="101" t="s">
        <v>8357</v>
      </c>
      <c r="CB164" s="102" t="s">
        <v>8358</v>
      </c>
      <c r="CC164" s="100" t="s">
        <v>7775</v>
      </c>
      <c r="CD164" s="101" t="s">
        <v>7776</v>
      </c>
      <c r="CE164" s="101" t="s">
        <v>7777</v>
      </c>
      <c r="CF164" s="101" t="s">
        <v>7778</v>
      </c>
      <c r="CG164" s="101" t="s">
        <v>7779</v>
      </c>
      <c r="CH164" s="101" t="s">
        <v>7780</v>
      </c>
      <c r="CI164" s="101" t="s">
        <v>7781</v>
      </c>
      <c r="CJ164" s="101" t="s">
        <v>7782</v>
      </c>
      <c r="CK164" s="101" t="s">
        <v>7783</v>
      </c>
      <c r="CL164" s="101" t="s">
        <v>7784</v>
      </c>
      <c r="CM164" s="101" t="s">
        <v>7785</v>
      </c>
      <c r="CN164" s="101" t="s">
        <v>7786</v>
      </c>
      <c r="CO164" s="101" t="s">
        <v>7787</v>
      </c>
      <c r="CP164" s="101" t="s">
        <v>7788</v>
      </c>
      <c r="CQ164" s="101" t="s">
        <v>7789</v>
      </c>
      <c r="CR164" s="102" t="s">
        <v>7790</v>
      </c>
    </row>
    <row r="165">
      <c r="A165" s="103"/>
      <c r="B165" s="103"/>
      <c r="C165" s="103"/>
      <c r="D165" s="103"/>
      <c r="E165" s="103"/>
      <c r="F165" s="103"/>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5"/>
      <c r="AH165" s="101" t="s">
        <v>8364</v>
      </c>
      <c r="AI165" s="101" t="s">
        <v>8365</v>
      </c>
      <c r="AJ165" s="101" t="s">
        <v>8366</v>
      </c>
      <c r="AK165" s="101" t="s">
        <v>8367</v>
      </c>
      <c r="AL165" s="101" t="s">
        <v>8368</v>
      </c>
      <c r="AM165" s="101" t="s">
        <v>8369</v>
      </c>
      <c r="AN165" s="101" t="s">
        <v>8370</v>
      </c>
      <c r="AO165" s="101" t="s">
        <v>8371</v>
      </c>
      <c r="AP165" s="101" t="s">
        <v>8372</v>
      </c>
      <c r="AQ165" s="101" t="s">
        <v>8373</v>
      </c>
      <c r="AR165" s="101" t="s">
        <v>8374</v>
      </c>
      <c r="AS165" s="101" t="s">
        <v>8375</v>
      </c>
      <c r="AT165" s="101" t="s">
        <v>8376</v>
      </c>
      <c r="AU165" s="101" t="s">
        <v>8377</v>
      </c>
      <c r="AV165" s="102" t="s">
        <v>8378</v>
      </c>
      <c r="AW165" s="100" t="s">
        <v>8379</v>
      </c>
      <c r="AX165" s="101" t="s">
        <v>8380</v>
      </c>
      <c r="AY165" s="101" t="s">
        <v>8381</v>
      </c>
      <c r="AZ165" s="101" t="s">
        <v>8382</v>
      </c>
      <c r="BA165" s="101" t="s">
        <v>8383</v>
      </c>
      <c r="BB165" s="101" t="s">
        <v>8384</v>
      </c>
      <c r="BC165" s="101" t="s">
        <v>8385</v>
      </c>
      <c r="BD165" s="101" t="s">
        <v>8386</v>
      </c>
      <c r="BE165" s="101" t="s">
        <v>8387</v>
      </c>
      <c r="BF165" s="101" t="s">
        <v>8388</v>
      </c>
      <c r="BG165" s="101" t="s">
        <v>8389</v>
      </c>
      <c r="BH165" s="101" t="s">
        <v>8390</v>
      </c>
      <c r="BI165" s="101" t="s">
        <v>8391</v>
      </c>
      <c r="BJ165" s="101" t="s">
        <v>8392</v>
      </c>
      <c r="BK165" s="101" t="s">
        <v>8393</v>
      </c>
      <c r="BL165" s="102" t="s">
        <v>8394</v>
      </c>
      <c r="BM165" s="100" t="s">
        <v>8379</v>
      </c>
      <c r="BN165" s="101" t="s">
        <v>8380</v>
      </c>
      <c r="BO165" s="101" t="s">
        <v>8381</v>
      </c>
      <c r="BP165" s="101" t="s">
        <v>8395</v>
      </c>
      <c r="BQ165" s="101" t="s">
        <v>8383</v>
      </c>
      <c r="BR165" s="101" t="s">
        <v>8384</v>
      </c>
      <c r="BS165" s="101" t="s">
        <v>8396</v>
      </c>
      <c r="BT165" s="101" t="s">
        <v>8386</v>
      </c>
      <c r="BU165" s="101" t="s">
        <v>8387</v>
      </c>
      <c r="BV165" s="101" t="s">
        <v>8397</v>
      </c>
      <c r="BW165" s="101" t="s">
        <v>8398</v>
      </c>
      <c r="BX165" s="101" t="s">
        <v>8390</v>
      </c>
      <c r="BY165" s="101" t="s">
        <v>8391</v>
      </c>
      <c r="BZ165" s="101" t="s">
        <v>8399</v>
      </c>
      <c r="CA165" s="101" t="s">
        <v>8393</v>
      </c>
      <c r="CB165" s="102" t="s">
        <v>8394</v>
      </c>
      <c r="CC165" s="100" t="s">
        <v>7809</v>
      </c>
      <c r="CD165" s="101" t="s">
        <v>7810</v>
      </c>
      <c r="CE165" s="101" t="s">
        <v>7811</v>
      </c>
      <c r="CF165" s="101" t="s">
        <v>7812</v>
      </c>
      <c r="CG165" s="101" t="s">
        <v>7813</v>
      </c>
      <c r="CH165" s="101" t="s">
        <v>7814</v>
      </c>
      <c r="CI165" s="101" t="s">
        <v>7815</v>
      </c>
      <c r="CJ165" s="101" t="s">
        <v>7816</v>
      </c>
      <c r="CK165" s="101" t="s">
        <v>7817</v>
      </c>
      <c r="CL165" s="101" t="s">
        <v>7818</v>
      </c>
      <c r="CM165" s="101" t="s">
        <v>7819</v>
      </c>
      <c r="CN165" s="101" t="s">
        <v>7820</v>
      </c>
      <c r="CO165" s="101" t="s">
        <v>7821</v>
      </c>
      <c r="CP165" s="101" t="s">
        <v>7822</v>
      </c>
      <c r="CQ165" s="101" t="s">
        <v>7823</v>
      </c>
      <c r="CR165" s="102" t="s">
        <v>7824</v>
      </c>
    </row>
    <row r="166">
      <c r="A166" s="103"/>
      <c r="B166" s="103"/>
      <c r="C166" s="103"/>
      <c r="D166" s="103"/>
      <c r="E166" s="103"/>
      <c r="F166" s="103"/>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0" t="s">
        <v>8400</v>
      </c>
      <c r="AH166" s="101" t="s">
        <v>8401</v>
      </c>
      <c r="AI166" s="101" t="s">
        <v>8402</v>
      </c>
      <c r="AJ166" s="101" t="s">
        <v>8403</v>
      </c>
      <c r="AK166" s="101" t="s">
        <v>8404</v>
      </c>
      <c r="AL166" s="101" t="s">
        <v>8405</v>
      </c>
      <c r="AM166" s="101" t="s">
        <v>8406</v>
      </c>
      <c r="AN166" s="101" t="s">
        <v>8407</v>
      </c>
      <c r="AO166" s="101" t="s">
        <v>8408</v>
      </c>
      <c r="AP166" s="101" t="s">
        <v>8409</v>
      </c>
      <c r="AQ166" s="101" t="s">
        <v>8410</v>
      </c>
      <c r="AR166" s="101" t="s">
        <v>8411</v>
      </c>
      <c r="AS166" s="101" t="s">
        <v>8412</v>
      </c>
      <c r="AT166" s="101" t="s">
        <v>8413</v>
      </c>
      <c r="AU166" s="101" t="s">
        <v>8414</v>
      </c>
      <c r="AV166" s="102" t="s">
        <v>8415</v>
      </c>
      <c r="AW166" s="100" t="s">
        <v>8416</v>
      </c>
      <c r="AX166" s="101" t="s">
        <v>8417</v>
      </c>
      <c r="AY166" s="101" t="s">
        <v>8418</v>
      </c>
      <c r="AZ166" s="101" t="s">
        <v>8419</v>
      </c>
      <c r="BA166" s="101" t="s">
        <v>8420</v>
      </c>
      <c r="BB166" s="101" t="s">
        <v>8421</v>
      </c>
      <c r="BC166" s="101" t="s">
        <v>8422</v>
      </c>
      <c r="BD166" s="101" t="s">
        <v>8423</v>
      </c>
      <c r="BE166" s="101" t="s">
        <v>8424</v>
      </c>
      <c r="BF166" s="101" t="s">
        <v>8425</v>
      </c>
      <c r="BG166" s="101" t="s">
        <v>8426</v>
      </c>
      <c r="BH166" s="101" t="s">
        <v>8427</v>
      </c>
      <c r="BI166" s="101" t="s">
        <v>8428</v>
      </c>
      <c r="BJ166" s="101" t="s">
        <v>8429</v>
      </c>
      <c r="BK166" s="101" t="s">
        <v>8430</v>
      </c>
      <c r="BL166" s="102" t="s">
        <v>8431</v>
      </c>
      <c r="BM166" s="100" t="s">
        <v>8416</v>
      </c>
      <c r="BN166" s="101" t="s">
        <v>8432</v>
      </c>
      <c r="BO166" s="101" t="s">
        <v>8418</v>
      </c>
      <c r="BP166" s="101" t="s">
        <v>8419</v>
      </c>
      <c r="BQ166" s="101" t="s">
        <v>8433</v>
      </c>
      <c r="BR166" s="101" t="s">
        <v>8421</v>
      </c>
      <c r="BS166" s="101" t="s">
        <v>8422</v>
      </c>
      <c r="BT166" s="101" t="s">
        <v>8423</v>
      </c>
      <c r="BU166" s="101" t="s">
        <v>8434</v>
      </c>
      <c r="BV166" s="101" t="s">
        <v>8435</v>
      </c>
      <c r="BW166" s="101" t="s">
        <v>8436</v>
      </c>
      <c r="BX166" s="101" t="s">
        <v>8427</v>
      </c>
      <c r="BY166" s="101" t="s">
        <v>8428</v>
      </c>
      <c r="BZ166" s="101" t="s">
        <v>8437</v>
      </c>
      <c r="CA166" s="101" t="s">
        <v>8430</v>
      </c>
      <c r="CB166" s="102" t="s">
        <v>8431</v>
      </c>
      <c r="CC166" s="100" t="s">
        <v>7846</v>
      </c>
      <c r="CD166" s="101" t="s">
        <v>7847</v>
      </c>
      <c r="CE166" s="101" t="s">
        <v>7848</v>
      </c>
      <c r="CF166" s="101" t="s">
        <v>7849</v>
      </c>
      <c r="CG166" s="101" t="s">
        <v>7850</v>
      </c>
      <c r="CH166" s="101" t="s">
        <v>7851</v>
      </c>
      <c r="CI166" s="101" t="s">
        <v>7852</v>
      </c>
      <c r="CJ166" s="101" t="s">
        <v>7853</v>
      </c>
      <c r="CK166" s="101" t="s">
        <v>7854</v>
      </c>
      <c r="CL166" s="101" t="s">
        <v>7855</v>
      </c>
      <c r="CM166" s="101" t="s">
        <v>7856</v>
      </c>
      <c r="CN166" s="101" t="s">
        <v>7857</v>
      </c>
      <c r="CO166" s="101" t="s">
        <v>7858</v>
      </c>
      <c r="CP166" s="101" t="s">
        <v>7859</v>
      </c>
      <c r="CQ166" s="101" t="s">
        <v>7860</v>
      </c>
      <c r="CR166" s="102" t="s">
        <v>7861</v>
      </c>
    </row>
    <row r="167">
      <c r="A167" s="103"/>
      <c r="B167" s="103"/>
      <c r="C167" s="103"/>
      <c r="D167" s="103"/>
      <c r="E167" s="103"/>
      <c r="F167" s="103"/>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5"/>
      <c r="AH167" s="106"/>
      <c r="AI167" s="106"/>
      <c r="AJ167" s="106"/>
      <c r="AK167" s="106"/>
      <c r="AL167" s="106"/>
      <c r="AM167" s="106"/>
      <c r="AN167" s="106"/>
      <c r="AO167" s="106"/>
      <c r="AP167" s="106"/>
      <c r="AQ167" s="106"/>
      <c r="AR167" s="106"/>
      <c r="AS167" s="106"/>
      <c r="AT167" s="106"/>
      <c r="AU167" s="106"/>
      <c r="AV167" s="107"/>
      <c r="AW167" s="100" t="s">
        <v>8438</v>
      </c>
      <c r="AX167" s="101" t="s">
        <v>8439</v>
      </c>
      <c r="AY167" s="101" t="s">
        <v>8440</v>
      </c>
      <c r="AZ167" s="101" t="s">
        <v>8441</v>
      </c>
      <c r="BA167" s="101" t="s">
        <v>8442</v>
      </c>
      <c r="BB167" s="101" t="s">
        <v>8443</v>
      </c>
      <c r="BC167" s="101" t="s">
        <v>8444</v>
      </c>
      <c r="BD167" s="101" t="s">
        <v>8445</v>
      </c>
      <c r="BE167" s="101" t="s">
        <v>8446</v>
      </c>
      <c r="BF167" s="101" t="s">
        <v>8447</v>
      </c>
      <c r="BG167" s="101" t="s">
        <v>8448</v>
      </c>
      <c r="BH167" s="101" t="s">
        <v>8449</v>
      </c>
      <c r="BI167" s="101" t="s">
        <v>8450</v>
      </c>
      <c r="BJ167" s="101" t="s">
        <v>8451</v>
      </c>
      <c r="BK167" s="101" t="s">
        <v>8452</v>
      </c>
      <c r="BL167" s="102" t="s">
        <v>8453</v>
      </c>
      <c r="BM167" s="100" t="s">
        <v>8438</v>
      </c>
      <c r="BN167" s="101" t="s">
        <v>8439</v>
      </c>
      <c r="BO167" s="101" t="s">
        <v>8440</v>
      </c>
      <c r="BP167" s="101" t="s">
        <v>8454</v>
      </c>
      <c r="BQ167" s="101" t="s">
        <v>8442</v>
      </c>
      <c r="BR167" s="101" t="s">
        <v>8443</v>
      </c>
      <c r="BS167" s="101" t="s">
        <v>8455</v>
      </c>
      <c r="BT167" s="101" t="s">
        <v>8456</v>
      </c>
      <c r="BU167" s="101" t="s">
        <v>8457</v>
      </c>
      <c r="BV167" s="101" t="s">
        <v>8447</v>
      </c>
      <c r="BW167" s="101" t="s">
        <v>8448</v>
      </c>
      <c r="BX167" s="101" t="s">
        <v>8449</v>
      </c>
      <c r="BY167" s="101" t="s">
        <v>8450</v>
      </c>
      <c r="BZ167" s="101" t="s">
        <v>8458</v>
      </c>
      <c r="CA167" s="101" t="s">
        <v>8459</v>
      </c>
      <c r="CB167" s="102" t="s">
        <v>8460</v>
      </c>
      <c r="CC167" s="100" t="s">
        <v>7899</v>
      </c>
      <c r="CD167" s="101" t="s">
        <v>7900</v>
      </c>
      <c r="CE167" s="101" t="s">
        <v>7901</v>
      </c>
      <c r="CF167" s="101" t="s">
        <v>7902</v>
      </c>
      <c r="CG167" s="101" t="s">
        <v>7903</v>
      </c>
      <c r="CH167" s="101" t="s">
        <v>7904</v>
      </c>
      <c r="CI167" s="101" t="s">
        <v>7905</v>
      </c>
      <c r="CJ167" s="101" t="s">
        <v>7906</v>
      </c>
      <c r="CK167" s="101" t="s">
        <v>7907</v>
      </c>
      <c r="CL167" s="101" t="s">
        <v>7908</v>
      </c>
      <c r="CM167" s="101" t="s">
        <v>7909</v>
      </c>
      <c r="CN167" s="101" t="s">
        <v>7910</v>
      </c>
      <c r="CO167" s="101" t="s">
        <v>7911</v>
      </c>
      <c r="CP167" s="101" t="s">
        <v>7912</v>
      </c>
      <c r="CQ167" s="101" t="s">
        <v>7913</v>
      </c>
      <c r="CR167" s="107"/>
    </row>
    <row r="168">
      <c r="A168" s="103"/>
      <c r="B168" s="103"/>
      <c r="C168" s="103"/>
      <c r="D168" s="103"/>
      <c r="E168" s="103"/>
      <c r="F168" s="103"/>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0" t="s">
        <v>8461</v>
      </c>
      <c r="AH168" s="101" t="s">
        <v>8462</v>
      </c>
      <c r="AI168" s="101" t="s">
        <v>8463</v>
      </c>
      <c r="AJ168" s="101" t="s">
        <v>8464</v>
      </c>
      <c r="AK168" s="101" t="s">
        <v>8465</v>
      </c>
      <c r="AL168" s="101" t="s">
        <v>8466</v>
      </c>
      <c r="AM168" s="101" t="s">
        <v>8467</v>
      </c>
      <c r="AN168" s="101" t="s">
        <v>8468</v>
      </c>
      <c r="AO168" s="101" t="s">
        <v>8469</v>
      </c>
      <c r="AP168" s="101" t="s">
        <v>8470</v>
      </c>
      <c r="AQ168" s="101" t="s">
        <v>8471</v>
      </c>
      <c r="AR168" s="101" t="s">
        <v>8472</v>
      </c>
      <c r="AS168" s="101" t="s">
        <v>8473</v>
      </c>
      <c r="AT168" s="101" t="s">
        <v>8474</v>
      </c>
      <c r="AU168" s="101" t="s">
        <v>8475</v>
      </c>
      <c r="AV168" s="102" t="s">
        <v>8476</v>
      </c>
      <c r="AW168" s="100" t="s">
        <v>8477</v>
      </c>
      <c r="AX168" s="101" t="s">
        <v>8478</v>
      </c>
      <c r="AY168" s="101" t="s">
        <v>8479</v>
      </c>
      <c r="AZ168" s="101" t="s">
        <v>8480</v>
      </c>
      <c r="BA168" s="101" t="s">
        <v>8481</v>
      </c>
      <c r="BB168" s="101" t="s">
        <v>8482</v>
      </c>
      <c r="BC168" s="101" t="s">
        <v>8483</v>
      </c>
      <c r="BD168" s="101" t="s">
        <v>8484</v>
      </c>
      <c r="BE168" s="101" t="s">
        <v>8485</v>
      </c>
      <c r="BF168" s="101" t="s">
        <v>8486</v>
      </c>
      <c r="BG168" s="101" t="s">
        <v>8487</v>
      </c>
      <c r="BH168" s="101" t="s">
        <v>8488</v>
      </c>
      <c r="BI168" s="101" t="s">
        <v>8489</v>
      </c>
      <c r="BJ168" s="101" t="s">
        <v>8490</v>
      </c>
      <c r="BK168" s="101" t="s">
        <v>8491</v>
      </c>
      <c r="BL168" s="102" t="s">
        <v>8492</v>
      </c>
      <c r="BM168" s="100" t="s">
        <v>8477</v>
      </c>
      <c r="BN168" s="101" t="s">
        <v>8478</v>
      </c>
      <c r="BO168" s="101" t="s">
        <v>8493</v>
      </c>
      <c r="BP168" s="101" t="s">
        <v>8480</v>
      </c>
      <c r="BQ168" s="101" t="s">
        <v>8481</v>
      </c>
      <c r="BR168" s="101" t="s">
        <v>8482</v>
      </c>
      <c r="BS168" s="101" t="s">
        <v>8483</v>
      </c>
      <c r="BT168" s="101" t="s">
        <v>8494</v>
      </c>
      <c r="BU168" s="101" t="s">
        <v>8485</v>
      </c>
      <c r="BV168" s="101" t="s">
        <v>8486</v>
      </c>
      <c r="BW168" s="101" t="s">
        <v>8487</v>
      </c>
      <c r="BX168" s="101" t="s">
        <v>8488</v>
      </c>
      <c r="BY168" s="101" t="s">
        <v>8489</v>
      </c>
      <c r="BZ168" s="101" t="s">
        <v>8495</v>
      </c>
      <c r="CA168" s="101" t="s">
        <v>8491</v>
      </c>
      <c r="CB168" s="102" t="s">
        <v>8492</v>
      </c>
      <c r="CC168" s="105"/>
      <c r="CD168" s="101" t="s">
        <v>7933</v>
      </c>
      <c r="CE168" s="101" t="s">
        <v>7934</v>
      </c>
      <c r="CF168" s="101" t="s">
        <v>7935</v>
      </c>
      <c r="CG168" s="101" t="s">
        <v>7936</v>
      </c>
      <c r="CH168" s="101" t="s">
        <v>7937</v>
      </c>
      <c r="CI168" s="101" t="s">
        <v>7938</v>
      </c>
      <c r="CJ168" s="101" t="s">
        <v>7939</v>
      </c>
      <c r="CK168" s="101" t="s">
        <v>7940</v>
      </c>
      <c r="CL168" s="101" t="s">
        <v>7941</v>
      </c>
      <c r="CM168" s="101" t="s">
        <v>7942</v>
      </c>
      <c r="CN168" s="101" t="s">
        <v>7943</v>
      </c>
      <c r="CO168" s="101" t="s">
        <v>7944</v>
      </c>
      <c r="CP168" s="101" t="s">
        <v>7945</v>
      </c>
      <c r="CQ168" s="101" t="s">
        <v>7946</v>
      </c>
      <c r="CR168" s="102" t="s">
        <v>7947</v>
      </c>
    </row>
    <row r="169">
      <c r="A169" s="103"/>
      <c r="B169" s="103"/>
      <c r="C169" s="103"/>
      <c r="D169" s="103"/>
      <c r="E169" s="103"/>
      <c r="F169" s="103"/>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0" t="s">
        <v>8496</v>
      </c>
      <c r="AH169" s="101" t="s">
        <v>8497</v>
      </c>
      <c r="AI169" s="101" t="s">
        <v>8498</v>
      </c>
      <c r="AJ169" s="101" t="s">
        <v>8499</v>
      </c>
      <c r="AK169" s="101" t="s">
        <v>8500</v>
      </c>
      <c r="AL169" s="101" t="s">
        <v>8501</v>
      </c>
      <c r="AM169" s="101" t="s">
        <v>8502</v>
      </c>
      <c r="AN169" s="101" t="s">
        <v>8503</v>
      </c>
      <c r="AO169" s="101" t="s">
        <v>8504</v>
      </c>
      <c r="AP169" s="101" t="s">
        <v>8505</v>
      </c>
      <c r="AQ169" s="101" t="s">
        <v>8506</v>
      </c>
      <c r="AR169" s="101" t="s">
        <v>8507</v>
      </c>
      <c r="AS169" s="101" t="s">
        <v>8508</v>
      </c>
      <c r="AT169" s="101" t="s">
        <v>8509</v>
      </c>
      <c r="AU169" s="101" t="s">
        <v>8510</v>
      </c>
      <c r="AV169" s="102" t="s">
        <v>8511</v>
      </c>
      <c r="AW169" s="100" t="s">
        <v>8512</v>
      </c>
      <c r="AX169" s="101" t="s">
        <v>8513</v>
      </c>
      <c r="AY169" s="101" t="s">
        <v>8514</v>
      </c>
      <c r="AZ169" s="101" t="s">
        <v>8515</v>
      </c>
      <c r="BA169" s="101" t="s">
        <v>8516</v>
      </c>
      <c r="BB169" s="101" t="s">
        <v>8517</v>
      </c>
      <c r="BC169" s="101" t="s">
        <v>8518</v>
      </c>
      <c r="BD169" s="101" t="s">
        <v>8519</v>
      </c>
      <c r="BE169" s="101" t="s">
        <v>8520</v>
      </c>
      <c r="BF169" s="101" t="s">
        <v>8521</v>
      </c>
      <c r="BG169" s="101" t="s">
        <v>8522</v>
      </c>
      <c r="BH169" s="101" t="s">
        <v>8523</v>
      </c>
      <c r="BI169" s="101" t="s">
        <v>8524</v>
      </c>
      <c r="BJ169" s="101" t="s">
        <v>8525</v>
      </c>
      <c r="BK169" s="101" t="s">
        <v>8526</v>
      </c>
      <c r="BL169" s="102" t="s">
        <v>8527</v>
      </c>
      <c r="BM169" s="100" t="s">
        <v>8512</v>
      </c>
      <c r="BN169" s="101" t="s">
        <v>8528</v>
      </c>
      <c r="BO169" s="101" t="s">
        <v>8514</v>
      </c>
      <c r="BP169" s="101" t="s">
        <v>8515</v>
      </c>
      <c r="BQ169" s="101" t="s">
        <v>8529</v>
      </c>
      <c r="BR169" s="101" t="s">
        <v>8517</v>
      </c>
      <c r="BS169" s="101" t="s">
        <v>8518</v>
      </c>
      <c r="BT169" s="101" t="s">
        <v>8519</v>
      </c>
      <c r="BU169" s="101" t="s">
        <v>8520</v>
      </c>
      <c r="BV169" s="101" t="s">
        <v>8521</v>
      </c>
      <c r="BW169" s="101" t="s">
        <v>8522</v>
      </c>
      <c r="BX169" s="101" t="s">
        <v>8523</v>
      </c>
      <c r="BY169" s="101" t="s">
        <v>8524</v>
      </c>
      <c r="BZ169" s="101" t="s">
        <v>8530</v>
      </c>
      <c r="CA169" s="101" t="s">
        <v>8531</v>
      </c>
      <c r="CB169" s="102" t="s">
        <v>8532</v>
      </c>
      <c r="CC169" s="100" t="s">
        <v>7967</v>
      </c>
      <c r="CD169" s="101" t="s">
        <v>7968</v>
      </c>
      <c r="CE169" s="101" t="s">
        <v>7969</v>
      </c>
      <c r="CF169" s="101" t="s">
        <v>7970</v>
      </c>
      <c r="CG169" s="101" t="s">
        <v>7971</v>
      </c>
      <c r="CH169" s="101" t="s">
        <v>7972</v>
      </c>
      <c r="CI169" s="101" t="s">
        <v>7973</v>
      </c>
      <c r="CJ169" s="101" t="s">
        <v>7974</v>
      </c>
      <c r="CK169" s="101" t="s">
        <v>7975</v>
      </c>
      <c r="CL169" s="101" t="s">
        <v>7976</v>
      </c>
      <c r="CM169" s="101" t="s">
        <v>7977</v>
      </c>
      <c r="CN169" s="101" t="s">
        <v>7978</v>
      </c>
      <c r="CO169" s="101" t="s">
        <v>7979</v>
      </c>
      <c r="CP169" s="101" t="s">
        <v>7980</v>
      </c>
      <c r="CQ169" s="101" t="s">
        <v>7981</v>
      </c>
      <c r="CR169" s="102" t="s">
        <v>7982</v>
      </c>
    </row>
    <row r="170">
      <c r="A170" s="103"/>
      <c r="B170" s="103"/>
      <c r="C170" s="103"/>
      <c r="D170" s="103"/>
      <c r="E170" s="103"/>
      <c r="F170" s="103"/>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0" t="s">
        <v>8533</v>
      </c>
      <c r="AH170" s="101" t="s">
        <v>8534</v>
      </c>
      <c r="AI170" s="101" t="s">
        <v>8535</v>
      </c>
      <c r="AJ170" s="101" t="s">
        <v>8536</v>
      </c>
      <c r="AK170" s="101" t="s">
        <v>8537</v>
      </c>
      <c r="AL170" s="101" t="s">
        <v>8538</v>
      </c>
      <c r="AM170" s="101" t="s">
        <v>8539</v>
      </c>
      <c r="AN170" s="101" t="s">
        <v>8540</v>
      </c>
      <c r="AO170" s="101" t="s">
        <v>8541</v>
      </c>
      <c r="AP170" s="101" t="s">
        <v>8542</v>
      </c>
      <c r="AQ170" s="101" t="s">
        <v>8543</v>
      </c>
      <c r="AR170" s="101" t="s">
        <v>8544</v>
      </c>
      <c r="AS170" s="101" t="s">
        <v>8545</v>
      </c>
      <c r="AT170" s="101" t="s">
        <v>8546</v>
      </c>
      <c r="AU170" s="101" t="s">
        <v>8547</v>
      </c>
      <c r="AV170" s="102" t="s">
        <v>8548</v>
      </c>
      <c r="AW170" s="100" t="s">
        <v>8549</v>
      </c>
      <c r="AX170" s="101" t="s">
        <v>8550</v>
      </c>
      <c r="AY170" s="101" t="s">
        <v>8551</v>
      </c>
      <c r="AZ170" s="101" t="s">
        <v>8552</v>
      </c>
      <c r="BA170" s="101" t="s">
        <v>8553</v>
      </c>
      <c r="BB170" s="101" t="s">
        <v>8554</v>
      </c>
      <c r="BC170" s="101" t="s">
        <v>8555</v>
      </c>
      <c r="BD170" s="101" t="s">
        <v>8556</v>
      </c>
      <c r="BE170" s="101" t="s">
        <v>8557</v>
      </c>
      <c r="BF170" s="101" t="s">
        <v>8558</v>
      </c>
      <c r="BG170" s="101" t="s">
        <v>8559</v>
      </c>
      <c r="BH170" s="101" t="s">
        <v>8560</v>
      </c>
      <c r="BI170" s="101" t="s">
        <v>8561</v>
      </c>
      <c r="BJ170" s="101" t="s">
        <v>8562</v>
      </c>
      <c r="BK170" s="101" t="s">
        <v>8563</v>
      </c>
      <c r="BL170" s="102" t="s">
        <v>8564</v>
      </c>
      <c r="BM170" s="100" t="s">
        <v>8549</v>
      </c>
      <c r="BN170" s="101" t="s">
        <v>8565</v>
      </c>
      <c r="BO170" s="101" t="s">
        <v>8551</v>
      </c>
      <c r="BP170" s="101" t="s">
        <v>8552</v>
      </c>
      <c r="BQ170" s="101" t="s">
        <v>8566</v>
      </c>
      <c r="BR170" s="101" t="s">
        <v>8554</v>
      </c>
      <c r="BS170" s="101" t="s">
        <v>8555</v>
      </c>
      <c r="BT170" s="101" t="s">
        <v>8567</v>
      </c>
      <c r="BU170" s="101" t="s">
        <v>8557</v>
      </c>
      <c r="BV170" s="101" t="s">
        <v>8558</v>
      </c>
      <c r="BW170" s="101" t="s">
        <v>8559</v>
      </c>
      <c r="BX170" s="101" t="s">
        <v>8560</v>
      </c>
      <c r="BY170" s="101" t="s">
        <v>8561</v>
      </c>
      <c r="BZ170" s="101" t="s">
        <v>8568</v>
      </c>
      <c r="CA170" s="101" t="s">
        <v>8569</v>
      </c>
      <c r="CB170" s="102" t="s">
        <v>8570</v>
      </c>
      <c r="CC170" s="100" t="s">
        <v>8006</v>
      </c>
      <c r="CD170" s="101" t="s">
        <v>8007</v>
      </c>
      <c r="CE170" s="101" t="s">
        <v>8008</v>
      </c>
      <c r="CF170" s="101" t="s">
        <v>8009</v>
      </c>
      <c r="CG170" s="101" t="s">
        <v>8010</v>
      </c>
      <c r="CH170" s="101" t="s">
        <v>8011</v>
      </c>
      <c r="CI170" s="101" t="s">
        <v>8012</v>
      </c>
      <c r="CJ170" s="101" t="s">
        <v>8013</v>
      </c>
      <c r="CK170" s="101" t="s">
        <v>8014</v>
      </c>
      <c r="CL170" s="101" t="s">
        <v>8015</v>
      </c>
      <c r="CM170" s="101" t="s">
        <v>8016</v>
      </c>
      <c r="CN170" s="101" t="s">
        <v>8017</v>
      </c>
      <c r="CO170" s="101" t="s">
        <v>8018</v>
      </c>
      <c r="CP170" s="101" t="s">
        <v>8019</v>
      </c>
      <c r="CQ170" s="101" t="s">
        <v>8020</v>
      </c>
      <c r="CR170" s="102" t="s">
        <v>8021</v>
      </c>
    </row>
    <row r="171">
      <c r="A171" s="103"/>
      <c r="B171" s="103"/>
      <c r="C171" s="103"/>
      <c r="D171" s="103"/>
      <c r="E171" s="103"/>
      <c r="F171" s="103"/>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0" t="s">
        <v>8571</v>
      </c>
      <c r="AH171" s="101" t="s">
        <v>8572</v>
      </c>
      <c r="AI171" s="101" t="s">
        <v>8573</v>
      </c>
      <c r="AJ171" s="101" t="s">
        <v>8574</v>
      </c>
      <c r="AK171" s="101" t="s">
        <v>8575</v>
      </c>
      <c r="AL171" s="101" t="s">
        <v>8576</v>
      </c>
      <c r="AM171" s="101" t="s">
        <v>8577</v>
      </c>
      <c r="AN171" s="101" t="s">
        <v>8578</v>
      </c>
      <c r="AO171" s="101" t="s">
        <v>8579</v>
      </c>
      <c r="AP171" s="101" t="s">
        <v>8580</v>
      </c>
      <c r="AQ171" s="101" t="s">
        <v>8581</v>
      </c>
      <c r="AR171" s="101" t="s">
        <v>8582</v>
      </c>
      <c r="AS171" s="101" t="s">
        <v>8583</v>
      </c>
      <c r="AT171" s="101" t="s">
        <v>8584</v>
      </c>
      <c r="AU171" s="101" t="s">
        <v>8585</v>
      </c>
      <c r="AV171" s="107"/>
      <c r="AW171" s="100" t="s">
        <v>8586</v>
      </c>
      <c r="AX171" s="101" t="s">
        <v>8587</v>
      </c>
      <c r="AY171" s="101" t="s">
        <v>8588</v>
      </c>
      <c r="AZ171" s="101" t="s">
        <v>8589</v>
      </c>
      <c r="BA171" s="101" t="s">
        <v>8590</v>
      </c>
      <c r="BB171" s="101" t="s">
        <v>8591</v>
      </c>
      <c r="BC171" s="101" t="s">
        <v>8592</v>
      </c>
      <c r="BD171" s="101" t="s">
        <v>8593</v>
      </c>
      <c r="BE171" s="101" t="s">
        <v>8594</v>
      </c>
      <c r="BF171" s="101" t="s">
        <v>8595</v>
      </c>
      <c r="BG171" s="101" t="s">
        <v>8596</v>
      </c>
      <c r="BH171" s="101" t="s">
        <v>8597</v>
      </c>
      <c r="BI171" s="101" t="s">
        <v>8598</v>
      </c>
      <c r="BJ171" s="101" t="s">
        <v>8599</v>
      </c>
      <c r="BK171" s="101" t="s">
        <v>8600</v>
      </c>
      <c r="BL171" s="102" t="s">
        <v>8601</v>
      </c>
      <c r="BM171" s="100" t="s">
        <v>8602</v>
      </c>
      <c r="BN171" s="101" t="s">
        <v>8587</v>
      </c>
      <c r="BO171" s="101" t="s">
        <v>8603</v>
      </c>
      <c r="BP171" s="101" t="s">
        <v>8589</v>
      </c>
      <c r="BQ171" s="101" t="s">
        <v>8590</v>
      </c>
      <c r="BR171" s="101" t="s">
        <v>8591</v>
      </c>
      <c r="BS171" s="101" t="s">
        <v>8592</v>
      </c>
      <c r="BT171" s="101" t="s">
        <v>8604</v>
      </c>
      <c r="BU171" s="101" t="s">
        <v>8605</v>
      </c>
      <c r="BV171" s="101" t="s">
        <v>8606</v>
      </c>
      <c r="BW171" s="101" t="s">
        <v>8596</v>
      </c>
      <c r="BX171" s="101" t="s">
        <v>8597</v>
      </c>
      <c r="BY171" s="101" t="s">
        <v>8607</v>
      </c>
      <c r="BZ171" s="101" t="s">
        <v>8599</v>
      </c>
      <c r="CA171" s="101" t="s">
        <v>8600</v>
      </c>
      <c r="CB171" s="102" t="s">
        <v>8608</v>
      </c>
      <c r="CC171" s="100" t="s">
        <v>8042</v>
      </c>
      <c r="CD171" s="101" t="s">
        <v>8043</v>
      </c>
      <c r="CE171" s="101" t="s">
        <v>8044</v>
      </c>
      <c r="CF171" s="101" t="s">
        <v>8045</v>
      </c>
      <c r="CG171" s="101" t="s">
        <v>8046</v>
      </c>
      <c r="CH171" s="101" t="s">
        <v>8047</v>
      </c>
      <c r="CI171" s="101" t="s">
        <v>8048</v>
      </c>
      <c r="CJ171" s="101" t="s">
        <v>8049</v>
      </c>
      <c r="CK171" s="101" t="s">
        <v>8050</v>
      </c>
      <c r="CL171" s="101" t="s">
        <v>8051</v>
      </c>
      <c r="CM171" s="101" t="s">
        <v>8052</v>
      </c>
      <c r="CN171" s="101" t="s">
        <v>8053</v>
      </c>
      <c r="CO171" s="101" t="s">
        <v>8054</v>
      </c>
      <c r="CP171" s="101" t="s">
        <v>8055</v>
      </c>
      <c r="CQ171" s="101" t="s">
        <v>8056</v>
      </c>
      <c r="CR171" s="102" t="s">
        <v>8057</v>
      </c>
    </row>
    <row r="172">
      <c r="A172" s="103"/>
      <c r="B172" s="103"/>
      <c r="C172" s="103"/>
      <c r="D172" s="103"/>
      <c r="E172" s="103"/>
      <c r="F172" s="103"/>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5"/>
      <c r="AH172" s="101" t="s">
        <v>8609</v>
      </c>
      <c r="AI172" s="101" t="s">
        <v>8610</v>
      </c>
      <c r="AJ172" s="101" t="s">
        <v>8611</v>
      </c>
      <c r="AK172" s="101" t="s">
        <v>8612</v>
      </c>
      <c r="AL172" s="101" t="s">
        <v>8613</v>
      </c>
      <c r="AM172" s="101" t="s">
        <v>8614</v>
      </c>
      <c r="AN172" s="101" t="s">
        <v>8615</v>
      </c>
      <c r="AO172" s="101" t="s">
        <v>8616</v>
      </c>
      <c r="AP172" s="101" t="s">
        <v>8617</v>
      </c>
      <c r="AQ172" s="101" t="s">
        <v>8618</v>
      </c>
      <c r="AR172" s="101" t="s">
        <v>8619</v>
      </c>
      <c r="AS172" s="101" t="s">
        <v>8620</v>
      </c>
      <c r="AT172" s="101" t="s">
        <v>8621</v>
      </c>
      <c r="AU172" s="101" t="s">
        <v>8622</v>
      </c>
      <c r="AV172" s="102" t="s">
        <v>8623</v>
      </c>
      <c r="AW172" s="100" t="s">
        <v>8624</v>
      </c>
      <c r="AX172" s="101" t="s">
        <v>8625</v>
      </c>
      <c r="AY172" s="101" t="s">
        <v>8626</v>
      </c>
      <c r="AZ172" s="101" t="s">
        <v>8627</v>
      </c>
      <c r="BA172" s="101" t="s">
        <v>8628</v>
      </c>
      <c r="BB172" s="101" t="s">
        <v>8629</v>
      </c>
      <c r="BC172" s="101" t="s">
        <v>8630</v>
      </c>
      <c r="BD172" s="101" t="s">
        <v>8631</v>
      </c>
      <c r="BE172" s="101" t="s">
        <v>8632</v>
      </c>
      <c r="BF172" s="101" t="s">
        <v>8633</v>
      </c>
      <c r="BG172" s="101" t="s">
        <v>8634</v>
      </c>
      <c r="BH172" s="101" t="s">
        <v>8635</v>
      </c>
      <c r="BI172" s="101" t="s">
        <v>8636</v>
      </c>
      <c r="BJ172" s="101" t="s">
        <v>8637</v>
      </c>
      <c r="BK172" s="101" t="s">
        <v>8638</v>
      </c>
      <c r="BL172" s="102" t="s">
        <v>8639</v>
      </c>
      <c r="BM172" s="100" t="s">
        <v>8624</v>
      </c>
      <c r="BN172" s="101" t="s">
        <v>8640</v>
      </c>
      <c r="BO172" s="101" t="s">
        <v>8641</v>
      </c>
      <c r="BP172" s="101" t="s">
        <v>8642</v>
      </c>
      <c r="BQ172" s="101" t="s">
        <v>8628</v>
      </c>
      <c r="BR172" s="101" t="s">
        <v>8629</v>
      </c>
      <c r="BS172" s="101" t="s">
        <v>8630</v>
      </c>
      <c r="BT172" s="101" t="s">
        <v>8643</v>
      </c>
      <c r="BU172" s="101" t="s">
        <v>8632</v>
      </c>
      <c r="BV172" s="101" t="s">
        <v>8644</v>
      </c>
      <c r="BW172" s="101" t="s">
        <v>8634</v>
      </c>
      <c r="BX172" s="101" t="s">
        <v>8635</v>
      </c>
      <c r="BY172" s="101" t="s">
        <v>8636</v>
      </c>
      <c r="BZ172" s="101" t="s">
        <v>8645</v>
      </c>
      <c r="CA172" s="101" t="s">
        <v>8646</v>
      </c>
      <c r="CB172" s="102" t="s">
        <v>8647</v>
      </c>
      <c r="CC172" s="100" t="s">
        <v>8076</v>
      </c>
      <c r="CD172" s="101" t="s">
        <v>8077</v>
      </c>
      <c r="CE172" s="101" t="s">
        <v>8078</v>
      </c>
      <c r="CF172" s="101" t="s">
        <v>8079</v>
      </c>
      <c r="CG172" s="101" t="s">
        <v>8080</v>
      </c>
      <c r="CH172" s="101" t="s">
        <v>8081</v>
      </c>
      <c r="CI172" s="101" t="s">
        <v>8082</v>
      </c>
      <c r="CJ172" s="101" t="s">
        <v>8083</v>
      </c>
      <c r="CK172" s="101" t="s">
        <v>8084</v>
      </c>
      <c r="CL172" s="101" t="s">
        <v>8085</v>
      </c>
      <c r="CM172" s="101" t="s">
        <v>8086</v>
      </c>
      <c r="CN172" s="101" t="s">
        <v>8087</v>
      </c>
      <c r="CO172" s="101" t="s">
        <v>8088</v>
      </c>
      <c r="CP172" s="101" t="s">
        <v>8089</v>
      </c>
      <c r="CQ172" s="101" t="s">
        <v>8090</v>
      </c>
      <c r="CR172" s="102" t="s">
        <v>8091</v>
      </c>
    </row>
    <row r="173">
      <c r="A173" s="103"/>
      <c r="B173" s="103"/>
      <c r="C173" s="103"/>
      <c r="D173" s="103"/>
      <c r="E173" s="103"/>
      <c r="F173" s="103"/>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0" t="s">
        <v>8648</v>
      </c>
      <c r="AH173" s="101" t="s">
        <v>8649</v>
      </c>
      <c r="AI173" s="101" t="s">
        <v>8650</v>
      </c>
      <c r="AJ173" s="101" t="s">
        <v>8651</v>
      </c>
      <c r="AK173" s="101" t="s">
        <v>8652</v>
      </c>
      <c r="AL173" s="101" t="s">
        <v>8653</v>
      </c>
      <c r="AM173" s="101" t="s">
        <v>8654</v>
      </c>
      <c r="AN173" s="101" t="s">
        <v>8655</v>
      </c>
      <c r="AO173" s="101" t="s">
        <v>8656</v>
      </c>
      <c r="AP173" s="101" t="s">
        <v>8657</v>
      </c>
      <c r="AQ173" s="101" t="s">
        <v>8658</v>
      </c>
      <c r="AR173" s="101" t="s">
        <v>8659</v>
      </c>
      <c r="AS173" s="101" t="s">
        <v>8660</v>
      </c>
      <c r="AT173" s="101" t="s">
        <v>8661</v>
      </c>
      <c r="AU173" s="101" t="s">
        <v>8662</v>
      </c>
      <c r="AV173" s="102" t="s">
        <v>8663</v>
      </c>
      <c r="AW173" s="100" t="s">
        <v>8664</v>
      </c>
      <c r="AX173" s="101" t="s">
        <v>8665</v>
      </c>
      <c r="AY173" s="101" t="s">
        <v>8666</v>
      </c>
      <c r="AZ173" s="101" t="s">
        <v>8667</v>
      </c>
      <c r="BA173" s="101" t="s">
        <v>8668</v>
      </c>
      <c r="BB173" s="101" t="s">
        <v>8669</v>
      </c>
      <c r="BC173" s="101" t="s">
        <v>8670</v>
      </c>
      <c r="BD173" s="101" t="s">
        <v>8671</v>
      </c>
      <c r="BE173" s="101" t="s">
        <v>8672</v>
      </c>
      <c r="BF173" s="101" t="s">
        <v>8673</v>
      </c>
      <c r="BG173" s="101" t="s">
        <v>8674</v>
      </c>
      <c r="BH173" s="101" t="s">
        <v>8675</v>
      </c>
      <c r="BI173" s="101" t="s">
        <v>8676</v>
      </c>
      <c r="BJ173" s="101" t="s">
        <v>8677</v>
      </c>
      <c r="BK173" s="101" t="s">
        <v>8678</v>
      </c>
      <c r="BL173" s="102" t="s">
        <v>8679</v>
      </c>
      <c r="BM173" s="100" t="s">
        <v>8680</v>
      </c>
      <c r="BN173" s="101" t="s">
        <v>8665</v>
      </c>
      <c r="BO173" s="101" t="s">
        <v>8666</v>
      </c>
      <c r="BP173" s="101" t="s">
        <v>8667</v>
      </c>
      <c r="BQ173" s="101" t="s">
        <v>8681</v>
      </c>
      <c r="BR173" s="101" t="s">
        <v>8669</v>
      </c>
      <c r="BS173" s="101" t="s">
        <v>8682</v>
      </c>
      <c r="BT173" s="101" t="s">
        <v>8683</v>
      </c>
      <c r="BU173" s="101" t="s">
        <v>8672</v>
      </c>
      <c r="BV173" s="101" t="s">
        <v>8673</v>
      </c>
      <c r="BW173" s="101" t="s">
        <v>8684</v>
      </c>
      <c r="BX173" s="101" t="s">
        <v>8685</v>
      </c>
      <c r="BY173" s="101" t="s">
        <v>8676</v>
      </c>
      <c r="BZ173" s="101" t="s">
        <v>8677</v>
      </c>
      <c r="CA173" s="101" t="s">
        <v>8678</v>
      </c>
      <c r="CB173" s="102" t="s">
        <v>8686</v>
      </c>
      <c r="CC173" s="100" t="s">
        <v>8111</v>
      </c>
      <c r="CD173" s="101" t="s">
        <v>8112</v>
      </c>
      <c r="CE173" s="101" t="s">
        <v>8113</v>
      </c>
      <c r="CF173" s="101" t="s">
        <v>8114</v>
      </c>
      <c r="CG173" s="101" t="s">
        <v>8115</v>
      </c>
      <c r="CH173" s="101" t="s">
        <v>8116</v>
      </c>
      <c r="CI173" s="101" t="s">
        <v>8117</v>
      </c>
      <c r="CJ173" s="101" t="s">
        <v>8118</v>
      </c>
      <c r="CK173" s="101" t="s">
        <v>8119</v>
      </c>
      <c r="CL173" s="101" t="s">
        <v>8120</v>
      </c>
      <c r="CM173" s="101" t="s">
        <v>8121</v>
      </c>
      <c r="CN173" s="101" t="s">
        <v>8122</v>
      </c>
      <c r="CO173" s="101" t="s">
        <v>8123</v>
      </c>
      <c r="CP173" s="101" t="s">
        <v>8124</v>
      </c>
      <c r="CQ173" s="101" t="s">
        <v>8125</v>
      </c>
      <c r="CR173" s="107"/>
    </row>
    <row r="174">
      <c r="A174" s="103"/>
      <c r="B174" s="103"/>
      <c r="C174" s="103"/>
      <c r="D174" s="103"/>
      <c r="E174" s="103"/>
      <c r="F174" s="103"/>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0" t="s">
        <v>8687</v>
      </c>
      <c r="AH174" s="101" t="s">
        <v>8688</v>
      </c>
      <c r="AI174" s="101" t="s">
        <v>8689</v>
      </c>
      <c r="AJ174" s="101" t="s">
        <v>8690</v>
      </c>
      <c r="AK174" s="101" t="s">
        <v>8691</v>
      </c>
      <c r="AL174" s="101" t="s">
        <v>8692</v>
      </c>
      <c r="AM174" s="101" t="s">
        <v>8693</v>
      </c>
      <c r="AN174" s="101" t="s">
        <v>8694</v>
      </c>
      <c r="AO174" s="101" t="s">
        <v>8695</v>
      </c>
      <c r="AP174" s="101" t="s">
        <v>8696</v>
      </c>
      <c r="AQ174" s="101" t="s">
        <v>8697</v>
      </c>
      <c r="AR174" s="101" t="s">
        <v>8698</v>
      </c>
      <c r="AS174" s="101" t="s">
        <v>8699</v>
      </c>
      <c r="AT174" s="101" t="s">
        <v>8700</v>
      </c>
      <c r="AU174" s="101" t="s">
        <v>8701</v>
      </c>
      <c r="AV174" s="102" t="s">
        <v>8702</v>
      </c>
      <c r="AW174" s="100" t="s">
        <v>8703</v>
      </c>
      <c r="AX174" s="101" t="s">
        <v>8704</v>
      </c>
      <c r="AY174" s="101" t="s">
        <v>8705</v>
      </c>
      <c r="AZ174" s="101" t="s">
        <v>8706</v>
      </c>
      <c r="BA174" s="101" t="s">
        <v>8707</v>
      </c>
      <c r="BB174" s="101" t="s">
        <v>8708</v>
      </c>
      <c r="BC174" s="101" t="s">
        <v>8709</v>
      </c>
      <c r="BD174" s="101" t="s">
        <v>8710</v>
      </c>
      <c r="BE174" s="101" t="s">
        <v>8711</v>
      </c>
      <c r="BF174" s="101" t="s">
        <v>8712</v>
      </c>
      <c r="BG174" s="101" t="s">
        <v>8713</v>
      </c>
      <c r="BH174" s="101" t="s">
        <v>8714</v>
      </c>
      <c r="BI174" s="101" t="s">
        <v>8715</v>
      </c>
      <c r="BJ174" s="101" t="s">
        <v>8716</v>
      </c>
      <c r="BK174" s="101" t="s">
        <v>8717</v>
      </c>
      <c r="BL174" s="102" t="s">
        <v>8718</v>
      </c>
      <c r="BM174" s="100" t="s">
        <v>8719</v>
      </c>
      <c r="BN174" s="101" t="s">
        <v>8704</v>
      </c>
      <c r="BO174" s="101" t="s">
        <v>8720</v>
      </c>
      <c r="BP174" s="101" t="s">
        <v>8706</v>
      </c>
      <c r="BQ174" s="101" t="s">
        <v>8707</v>
      </c>
      <c r="BR174" s="101" t="s">
        <v>8708</v>
      </c>
      <c r="BS174" s="101" t="s">
        <v>8709</v>
      </c>
      <c r="BT174" s="101" t="s">
        <v>8710</v>
      </c>
      <c r="BU174" s="101" t="s">
        <v>8711</v>
      </c>
      <c r="BV174" s="101" t="s">
        <v>8721</v>
      </c>
      <c r="BW174" s="101" t="s">
        <v>8722</v>
      </c>
      <c r="BX174" s="101" t="s">
        <v>8714</v>
      </c>
      <c r="BY174" s="101" t="s">
        <v>8715</v>
      </c>
      <c r="BZ174" s="101" t="s">
        <v>8723</v>
      </c>
      <c r="CA174" s="101" t="s">
        <v>8724</v>
      </c>
      <c r="CB174" s="102" t="s">
        <v>8718</v>
      </c>
      <c r="CC174" s="105"/>
      <c r="CD174" s="101" t="s">
        <v>8146</v>
      </c>
      <c r="CE174" s="101" t="s">
        <v>8147</v>
      </c>
      <c r="CF174" s="101" t="s">
        <v>8148</v>
      </c>
      <c r="CG174" s="101" t="s">
        <v>8149</v>
      </c>
      <c r="CH174" s="101" t="s">
        <v>8150</v>
      </c>
      <c r="CI174" s="101" t="s">
        <v>8151</v>
      </c>
      <c r="CJ174" s="101" t="s">
        <v>8152</v>
      </c>
      <c r="CK174" s="101" t="s">
        <v>8153</v>
      </c>
      <c r="CL174" s="101" t="s">
        <v>8154</v>
      </c>
      <c r="CM174" s="101" t="s">
        <v>8155</v>
      </c>
      <c r="CN174" s="101" t="s">
        <v>8156</v>
      </c>
      <c r="CO174" s="101" t="s">
        <v>8157</v>
      </c>
      <c r="CP174" s="101" t="s">
        <v>8158</v>
      </c>
      <c r="CQ174" s="101" t="s">
        <v>8159</v>
      </c>
      <c r="CR174" s="102" t="s">
        <v>8160</v>
      </c>
    </row>
    <row r="175">
      <c r="A175" s="103"/>
      <c r="B175" s="103"/>
      <c r="C175" s="103"/>
      <c r="D175" s="103"/>
      <c r="E175" s="103"/>
      <c r="F175" s="103"/>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0" t="s">
        <v>8725</v>
      </c>
      <c r="AH175" s="101" t="s">
        <v>8726</v>
      </c>
      <c r="AI175" s="101" t="s">
        <v>8727</v>
      </c>
      <c r="AJ175" s="101" t="s">
        <v>8728</v>
      </c>
      <c r="AK175" s="101" t="s">
        <v>8729</v>
      </c>
      <c r="AL175" s="101" t="s">
        <v>8730</v>
      </c>
      <c r="AM175" s="101" t="s">
        <v>8731</v>
      </c>
      <c r="AN175" s="101" t="s">
        <v>8732</v>
      </c>
      <c r="AO175" s="101" t="s">
        <v>8733</v>
      </c>
      <c r="AP175" s="101" t="s">
        <v>8734</v>
      </c>
      <c r="AQ175" s="101" t="s">
        <v>8735</v>
      </c>
      <c r="AR175" s="101" t="s">
        <v>8736</v>
      </c>
      <c r="AS175" s="101" t="s">
        <v>8737</v>
      </c>
      <c r="AT175" s="101" t="s">
        <v>8738</v>
      </c>
      <c r="AU175" s="101" t="s">
        <v>8739</v>
      </c>
      <c r="AV175" s="102" t="s">
        <v>8740</v>
      </c>
      <c r="AW175" s="100" t="s">
        <v>8741</v>
      </c>
      <c r="AX175" s="101" t="s">
        <v>8742</v>
      </c>
      <c r="AY175" s="101" t="s">
        <v>8743</v>
      </c>
      <c r="AZ175" s="101" t="s">
        <v>8744</v>
      </c>
      <c r="BA175" s="101" t="s">
        <v>8745</v>
      </c>
      <c r="BB175" s="101" t="s">
        <v>8746</v>
      </c>
      <c r="BC175" s="101" t="s">
        <v>8747</v>
      </c>
      <c r="BD175" s="101" t="s">
        <v>8748</v>
      </c>
      <c r="BE175" s="101" t="s">
        <v>8749</v>
      </c>
      <c r="BF175" s="101" t="s">
        <v>8750</v>
      </c>
      <c r="BG175" s="101" t="s">
        <v>8751</v>
      </c>
      <c r="BH175" s="101" t="s">
        <v>8752</v>
      </c>
      <c r="BI175" s="101" t="s">
        <v>8753</v>
      </c>
      <c r="BJ175" s="101" t="s">
        <v>8754</v>
      </c>
      <c r="BK175" s="101" t="s">
        <v>8755</v>
      </c>
      <c r="BL175" s="102" t="s">
        <v>8756</v>
      </c>
      <c r="BM175" s="100" t="s">
        <v>8741</v>
      </c>
      <c r="BN175" s="101" t="s">
        <v>8757</v>
      </c>
      <c r="BO175" s="101" t="s">
        <v>8758</v>
      </c>
      <c r="BP175" s="101" t="s">
        <v>8759</v>
      </c>
      <c r="BQ175" s="101" t="s">
        <v>8745</v>
      </c>
      <c r="BR175" s="101" t="s">
        <v>8746</v>
      </c>
      <c r="BS175" s="101" t="s">
        <v>8747</v>
      </c>
      <c r="BT175" s="101" t="s">
        <v>8748</v>
      </c>
      <c r="BU175" s="101" t="s">
        <v>8749</v>
      </c>
      <c r="BV175" s="101" t="s">
        <v>8750</v>
      </c>
      <c r="BW175" s="101" t="s">
        <v>8760</v>
      </c>
      <c r="BX175" s="101" t="s">
        <v>8752</v>
      </c>
      <c r="BY175" s="101" t="s">
        <v>8761</v>
      </c>
      <c r="BZ175" s="101" t="s">
        <v>8762</v>
      </c>
      <c r="CA175" s="101" t="s">
        <v>8755</v>
      </c>
      <c r="CB175" s="102" t="s">
        <v>8756</v>
      </c>
      <c r="CC175" s="100" t="s">
        <v>8180</v>
      </c>
      <c r="CD175" s="101" t="s">
        <v>8181</v>
      </c>
      <c r="CE175" s="101" t="s">
        <v>8182</v>
      </c>
      <c r="CF175" s="101" t="s">
        <v>8183</v>
      </c>
      <c r="CG175" s="101" t="s">
        <v>8184</v>
      </c>
      <c r="CH175" s="101" t="s">
        <v>8185</v>
      </c>
      <c r="CI175" s="101" t="s">
        <v>8186</v>
      </c>
      <c r="CJ175" s="101" t="s">
        <v>8187</v>
      </c>
      <c r="CK175" s="101" t="s">
        <v>8188</v>
      </c>
      <c r="CL175" s="101" t="s">
        <v>8189</v>
      </c>
      <c r="CM175" s="101" t="s">
        <v>8190</v>
      </c>
      <c r="CN175" s="101" t="s">
        <v>8191</v>
      </c>
      <c r="CO175" s="101" t="s">
        <v>8192</v>
      </c>
      <c r="CP175" s="101" t="s">
        <v>8193</v>
      </c>
      <c r="CQ175" s="101" t="s">
        <v>8194</v>
      </c>
      <c r="CR175" s="102" t="s">
        <v>8195</v>
      </c>
    </row>
    <row r="176">
      <c r="A176" s="103"/>
      <c r="B176" s="103"/>
      <c r="C176" s="103"/>
      <c r="D176" s="103"/>
      <c r="E176" s="103"/>
      <c r="F176" s="103"/>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0" t="s">
        <v>8763</v>
      </c>
      <c r="AH176" s="101" t="s">
        <v>8764</v>
      </c>
      <c r="AI176" s="101" t="s">
        <v>8765</v>
      </c>
      <c r="AJ176" s="101" t="s">
        <v>8766</v>
      </c>
      <c r="AK176" s="101" t="s">
        <v>8767</v>
      </c>
      <c r="AL176" s="101" t="s">
        <v>8768</v>
      </c>
      <c r="AM176" s="101" t="s">
        <v>8769</v>
      </c>
      <c r="AN176" s="101" t="s">
        <v>8770</v>
      </c>
      <c r="AO176" s="101" t="s">
        <v>8771</v>
      </c>
      <c r="AP176" s="101" t="s">
        <v>8772</v>
      </c>
      <c r="AQ176" s="101" t="s">
        <v>8773</v>
      </c>
      <c r="AR176" s="101" t="s">
        <v>8774</v>
      </c>
      <c r="AS176" s="101" t="s">
        <v>8775</v>
      </c>
      <c r="AT176" s="101" t="s">
        <v>8776</v>
      </c>
      <c r="AU176" s="101" t="s">
        <v>8777</v>
      </c>
      <c r="AV176" s="102" t="s">
        <v>8778</v>
      </c>
      <c r="AW176" s="100" t="s">
        <v>8779</v>
      </c>
      <c r="AX176" s="101" t="s">
        <v>8780</v>
      </c>
      <c r="AY176" s="101" t="s">
        <v>8781</v>
      </c>
      <c r="AZ176" s="101" t="s">
        <v>8782</v>
      </c>
      <c r="BA176" s="101" t="s">
        <v>8783</v>
      </c>
      <c r="BB176" s="101" t="s">
        <v>8784</v>
      </c>
      <c r="BC176" s="101" t="s">
        <v>8785</v>
      </c>
      <c r="BD176" s="101" t="s">
        <v>8786</v>
      </c>
      <c r="BE176" s="101" t="s">
        <v>8787</v>
      </c>
      <c r="BF176" s="101" t="s">
        <v>8788</v>
      </c>
      <c r="BG176" s="101" t="s">
        <v>8789</v>
      </c>
      <c r="BH176" s="101" t="s">
        <v>8790</v>
      </c>
      <c r="BI176" s="101" t="s">
        <v>8791</v>
      </c>
      <c r="BJ176" s="101" t="s">
        <v>8792</v>
      </c>
      <c r="BK176" s="101" t="s">
        <v>8793</v>
      </c>
      <c r="BL176" s="102" t="s">
        <v>8794</v>
      </c>
      <c r="BM176" s="100" t="s">
        <v>8795</v>
      </c>
      <c r="BN176" s="101" t="s">
        <v>8780</v>
      </c>
      <c r="BO176" s="101" t="s">
        <v>8781</v>
      </c>
      <c r="BP176" s="101" t="s">
        <v>8796</v>
      </c>
      <c r="BQ176" s="101" t="s">
        <v>8783</v>
      </c>
      <c r="BR176" s="101" t="s">
        <v>8784</v>
      </c>
      <c r="BS176" s="101" t="s">
        <v>8785</v>
      </c>
      <c r="BT176" s="101" t="s">
        <v>8797</v>
      </c>
      <c r="BU176" s="101" t="s">
        <v>8798</v>
      </c>
      <c r="BV176" s="101" t="s">
        <v>8799</v>
      </c>
      <c r="BW176" s="101" t="s">
        <v>8789</v>
      </c>
      <c r="BX176" s="101" t="s">
        <v>8800</v>
      </c>
      <c r="BY176" s="101" t="s">
        <v>8791</v>
      </c>
      <c r="BZ176" s="101" t="s">
        <v>8801</v>
      </c>
      <c r="CA176" s="101" t="s">
        <v>8793</v>
      </c>
      <c r="CB176" s="102" t="s">
        <v>8802</v>
      </c>
      <c r="CC176" s="100" t="s">
        <v>8218</v>
      </c>
      <c r="CD176" s="101" t="s">
        <v>8219</v>
      </c>
      <c r="CE176" s="101" t="s">
        <v>8220</v>
      </c>
      <c r="CF176" s="101" t="s">
        <v>8221</v>
      </c>
      <c r="CG176" s="101" t="s">
        <v>8222</v>
      </c>
      <c r="CH176" s="101" t="s">
        <v>8223</v>
      </c>
      <c r="CI176" s="101" t="s">
        <v>8224</v>
      </c>
      <c r="CJ176" s="101" t="s">
        <v>8225</v>
      </c>
      <c r="CK176" s="101" t="s">
        <v>8226</v>
      </c>
      <c r="CL176" s="101" t="s">
        <v>8227</v>
      </c>
      <c r="CM176" s="101" t="s">
        <v>8228</v>
      </c>
      <c r="CN176" s="101" t="s">
        <v>8229</v>
      </c>
      <c r="CO176" s="101" t="s">
        <v>8230</v>
      </c>
      <c r="CP176" s="101" t="s">
        <v>8231</v>
      </c>
      <c r="CQ176" s="101" t="s">
        <v>8232</v>
      </c>
      <c r="CR176" s="102" t="s">
        <v>8233</v>
      </c>
    </row>
    <row r="177">
      <c r="A177" s="103"/>
      <c r="B177" s="103"/>
      <c r="C177" s="103"/>
      <c r="D177" s="103"/>
      <c r="E177" s="103"/>
      <c r="F177" s="103"/>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10" t="s">
        <v>8803</v>
      </c>
      <c r="AH177" s="111" t="s">
        <v>8804</v>
      </c>
      <c r="AI177" s="111" t="s">
        <v>8805</v>
      </c>
      <c r="AJ177" s="111" t="s">
        <v>8806</v>
      </c>
      <c r="AK177" s="111" t="s">
        <v>8807</v>
      </c>
      <c r="AL177" s="111" t="s">
        <v>8808</v>
      </c>
      <c r="AM177" s="111" t="s">
        <v>8809</v>
      </c>
      <c r="AN177" s="111" t="s">
        <v>8810</v>
      </c>
      <c r="AO177" s="111" t="s">
        <v>8811</v>
      </c>
      <c r="AP177" s="111" t="s">
        <v>8812</v>
      </c>
      <c r="AQ177" s="111" t="s">
        <v>8813</v>
      </c>
      <c r="AR177" s="111" t="s">
        <v>8814</v>
      </c>
      <c r="AS177" s="111" t="s">
        <v>8815</v>
      </c>
      <c r="AT177" s="111" t="s">
        <v>8816</v>
      </c>
      <c r="AU177" s="111" t="s">
        <v>8817</v>
      </c>
      <c r="AV177" s="115"/>
      <c r="AW177" s="110" t="s">
        <v>8818</v>
      </c>
      <c r="AX177" s="111" t="s">
        <v>8819</v>
      </c>
      <c r="AY177" s="111" t="s">
        <v>8820</v>
      </c>
      <c r="AZ177" s="111" t="s">
        <v>8821</v>
      </c>
      <c r="BA177" s="111" t="s">
        <v>8822</v>
      </c>
      <c r="BB177" s="111" t="s">
        <v>8823</v>
      </c>
      <c r="BC177" s="111" t="s">
        <v>8824</v>
      </c>
      <c r="BD177" s="111" t="s">
        <v>8825</v>
      </c>
      <c r="BE177" s="111" t="s">
        <v>8826</v>
      </c>
      <c r="BF177" s="111" t="s">
        <v>8827</v>
      </c>
      <c r="BG177" s="111" t="s">
        <v>8828</v>
      </c>
      <c r="BH177" s="111" t="s">
        <v>8829</v>
      </c>
      <c r="BI177" s="111" t="s">
        <v>8830</v>
      </c>
      <c r="BJ177" s="111" t="s">
        <v>8831</v>
      </c>
      <c r="BK177" s="111" t="s">
        <v>8832</v>
      </c>
      <c r="BL177" s="112" t="s">
        <v>8833</v>
      </c>
      <c r="BM177" s="110" t="s">
        <v>8818</v>
      </c>
      <c r="BN177" s="111" t="s">
        <v>8834</v>
      </c>
      <c r="BO177" s="111" t="s">
        <v>8820</v>
      </c>
      <c r="BP177" s="111" t="s">
        <v>8821</v>
      </c>
      <c r="BQ177" s="111" t="s">
        <v>8835</v>
      </c>
      <c r="BR177" s="111" t="s">
        <v>8823</v>
      </c>
      <c r="BS177" s="111" t="s">
        <v>8824</v>
      </c>
      <c r="BT177" s="111" t="s">
        <v>8836</v>
      </c>
      <c r="BU177" s="111" t="s">
        <v>8826</v>
      </c>
      <c r="BV177" s="111" t="s">
        <v>8827</v>
      </c>
      <c r="BW177" s="111" t="s">
        <v>8837</v>
      </c>
      <c r="BX177" s="111" t="s">
        <v>8829</v>
      </c>
      <c r="BY177" s="111" t="s">
        <v>8830</v>
      </c>
      <c r="BZ177" s="111" t="s">
        <v>8831</v>
      </c>
      <c r="CA177" s="111" t="s">
        <v>8832</v>
      </c>
      <c r="CB177" s="112" t="s">
        <v>8833</v>
      </c>
      <c r="CC177" s="110"/>
      <c r="CD177" s="111"/>
      <c r="CE177" s="111"/>
      <c r="CF177" s="111"/>
      <c r="CG177" s="111"/>
      <c r="CH177" s="111"/>
      <c r="CI177" s="111"/>
      <c r="CJ177" s="111"/>
      <c r="CK177" s="111"/>
      <c r="CL177" s="111"/>
      <c r="CM177" s="111"/>
      <c r="CN177" s="111"/>
      <c r="CO177" s="111"/>
      <c r="CP177" s="111"/>
      <c r="CQ177" s="111"/>
      <c r="CR177" s="112"/>
    </row>
    <row r="178">
      <c r="A178" s="103"/>
      <c r="B178" s="103"/>
      <c r="C178" s="103"/>
      <c r="D178" s="103"/>
      <c r="E178" s="103"/>
      <c r="F178" s="103"/>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1"/>
      <c r="AH178" s="101"/>
      <c r="AI178" s="101"/>
      <c r="AJ178" s="101"/>
      <c r="AK178" s="101"/>
      <c r="AL178" s="101"/>
      <c r="AM178" s="101"/>
      <c r="AN178" s="101"/>
      <c r="AO178" s="101"/>
      <c r="AP178" s="101"/>
      <c r="AQ178" s="101"/>
      <c r="AR178" s="101"/>
      <c r="AS178" s="101"/>
      <c r="AT178" s="101"/>
      <c r="AU178" s="101"/>
      <c r="AV178" s="106"/>
      <c r="AW178" s="99" t="s">
        <v>8838</v>
      </c>
      <c r="AX178" s="97" t="s">
        <v>8839</v>
      </c>
      <c r="AY178" s="97" t="s">
        <v>8840</v>
      </c>
      <c r="AZ178" s="97" t="s">
        <v>8841</v>
      </c>
      <c r="BA178" s="97" t="s">
        <v>8842</v>
      </c>
      <c r="BB178" s="97" t="s">
        <v>8843</v>
      </c>
      <c r="BC178" s="97" t="s">
        <v>8844</v>
      </c>
      <c r="BD178" s="97" t="s">
        <v>8845</v>
      </c>
      <c r="BE178" s="97" t="s">
        <v>8846</v>
      </c>
      <c r="BF178" s="97" t="s">
        <v>8847</v>
      </c>
      <c r="BG178" s="97" t="s">
        <v>8848</v>
      </c>
      <c r="BH178" s="97" t="s">
        <v>8849</v>
      </c>
      <c r="BI178" s="97" t="s">
        <v>8850</v>
      </c>
      <c r="BJ178" s="97" t="s">
        <v>8851</v>
      </c>
      <c r="BK178" s="97" t="s">
        <v>8852</v>
      </c>
      <c r="BL178" s="98" t="s">
        <v>8853</v>
      </c>
      <c r="BM178" s="99" t="s">
        <v>8854</v>
      </c>
      <c r="BN178" s="97" t="s">
        <v>8855</v>
      </c>
      <c r="BO178" s="97" t="s">
        <v>8840</v>
      </c>
      <c r="BP178" s="97" t="s">
        <v>8841</v>
      </c>
      <c r="BQ178" s="97" t="s">
        <v>8856</v>
      </c>
      <c r="BR178" s="97" t="s">
        <v>8843</v>
      </c>
      <c r="BS178" s="97" t="s">
        <v>8857</v>
      </c>
      <c r="BT178" s="97" t="s">
        <v>8858</v>
      </c>
      <c r="BU178" s="97" t="s">
        <v>8859</v>
      </c>
      <c r="BV178" s="97" t="s">
        <v>8847</v>
      </c>
      <c r="BW178" s="97" t="s">
        <v>8848</v>
      </c>
      <c r="BX178" s="97" t="s">
        <v>8849</v>
      </c>
      <c r="BY178" s="97" t="s">
        <v>8860</v>
      </c>
      <c r="BZ178" s="97" t="s">
        <v>8851</v>
      </c>
      <c r="CA178" s="97" t="s">
        <v>8852</v>
      </c>
      <c r="CB178" s="98" t="s">
        <v>8853</v>
      </c>
      <c r="CC178" s="99" t="s">
        <v>8257</v>
      </c>
      <c r="CD178" s="97" t="s">
        <v>8258</v>
      </c>
      <c r="CE178" s="97" t="s">
        <v>8259</v>
      </c>
      <c r="CF178" s="97" t="s">
        <v>8260</v>
      </c>
      <c r="CG178" s="97" t="s">
        <v>8261</v>
      </c>
      <c r="CH178" s="97" t="s">
        <v>8262</v>
      </c>
      <c r="CI178" s="97" t="s">
        <v>8263</v>
      </c>
      <c r="CJ178" s="97" t="s">
        <v>8264</v>
      </c>
      <c r="CK178" s="97" t="s">
        <v>8265</v>
      </c>
      <c r="CL178" s="97" t="s">
        <v>8266</v>
      </c>
      <c r="CM178" s="97" t="s">
        <v>8267</v>
      </c>
      <c r="CN178" s="97" t="s">
        <v>8268</v>
      </c>
      <c r="CO178" s="97" t="s">
        <v>8269</v>
      </c>
      <c r="CP178" s="97" t="s">
        <v>8270</v>
      </c>
      <c r="CQ178" s="97" t="s">
        <v>8271</v>
      </c>
      <c r="CR178" s="98" t="s">
        <v>8272</v>
      </c>
    </row>
    <row r="179">
      <c r="A179" s="103"/>
      <c r="B179" s="103"/>
      <c r="C179" s="103"/>
      <c r="D179" s="103"/>
      <c r="E179" s="103"/>
      <c r="F179" s="103"/>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1"/>
      <c r="AH179" s="101"/>
      <c r="AI179" s="101"/>
      <c r="AJ179" s="101"/>
      <c r="AK179" s="101"/>
      <c r="AL179" s="101"/>
      <c r="AM179" s="101"/>
      <c r="AN179" s="101"/>
      <c r="AO179" s="101"/>
      <c r="AP179" s="101"/>
      <c r="AQ179" s="101"/>
      <c r="AR179" s="101"/>
      <c r="AS179" s="101"/>
      <c r="AT179" s="101"/>
      <c r="AU179" s="101"/>
      <c r="AV179" s="106"/>
      <c r="AW179" s="100" t="s">
        <v>8861</v>
      </c>
      <c r="AX179" s="101" t="s">
        <v>8862</v>
      </c>
      <c r="AY179" s="101" t="s">
        <v>8863</v>
      </c>
      <c r="AZ179" s="101" t="s">
        <v>8864</v>
      </c>
      <c r="BA179" s="101" t="s">
        <v>8865</v>
      </c>
      <c r="BB179" s="101" t="s">
        <v>8866</v>
      </c>
      <c r="BC179" s="101" t="s">
        <v>8867</v>
      </c>
      <c r="BD179" s="101" t="s">
        <v>8868</v>
      </c>
      <c r="BE179" s="101" t="s">
        <v>8869</v>
      </c>
      <c r="BF179" s="101" t="s">
        <v>8870</v>
      </c>
      <c r="BG179" s="101" t="s">
        <v>8871</v>
      </c>
      <c r="BH179" s="101" t="s">
        <v>8872</v>
      </c>
      <c r="BI179" s="101" t="s">
        <v>8873</v>
      </c>
      <c r="BJ179" s="101" t="s">
        <v>8874</v>
      </c>
      <c r="BK179" s="101" t="s">
        <v>8875</v>
      </c>
      <c r="BL179" s="102" t="s">
        <v>8876</v>
      </c>
      <c r="BM179" s="100" t="s">
        <v>8877</v>
      </c>
      <c r="BN179" s="101" t="s">
        <v>8862</v>
      </c>
      <c r="BO179" s="101" t="s">
        <v>8863</v>
      </c>
      <c r="BP179" s="101" t="s">
        <v>8864</v>
      </c>
      <c r="BQ179" s="101" t="s">
        <v>8865</v>
      </c>
      <c r="BR179" s="101" t="s">
        <v>8878</v>
      </c>
      <c r="BS179" s="101" t="s">
        <v>8879</v>
      </c>
      <c r="BT179" s="101" t="s">
        <v>8868</v>
      </c>
      <c r="BU179" s="101" t="s">
        <v>8869</v>
      </c>
      <c r="BV179" s="101" t="s">
        <v>8870</v>
      </c>
      <c r="BW179" s="101" t="s">
        <v>8871</v>
      </c>
      <c r="BX179" s="101" t="s">
        <v>8872</v>
      </c>
      <c r="BY179" s="101" t="s">
        <v>8880</v>
      </c>
      <c r="BZ179" s="101" t="s">
        <v>8874</v>
      </c>
      <c r="CA179" s="101" t="s">
        <v>8875</v>
      </c>
      <c r="CB179" s="102" t="s">
        <v>8881</v>
      </c>
      <c r="CC179" s="100" t="s">
        <v>8294</v>
      </c>
      <c r="CD179" s="101" t="s">
        <v>8295</v>
      </c>
      <c r="CE179" s="101" t="s">
        <v>8296</v>
      </c>
      <c r="CF179" s="101" t="s">
        <v>8297</v>
      </c>
      <c r="CG179" s="101" t="s">
        <v>8298</v>
      </c>
      <c r="CH179" s="101" t="s">
        <v>8299</v>
      </c>
      <c r="CI179" s="101" t="s">
        <v>8300</v>
      </c>
      <c r="CJ179" s="101" t="s">
        <v>8301</v>
      </c>
      <c r="CK179" s="101" t="s">
        <v>8302</v>
      </c>
      <c r="CL179" s="101" t="s">
        <v>8303</v>
      </c>
      <c r="CM179" s="101" t="s">
        <v>8304</v>
      </c>
      <c r="CN179" s="101" t="s">
        <v>8305</v>
      </c>
      <c r="CO179" s="101" t="s">
        <v>8306</v>
      </c>
      <c r="CP179" s="101" t="s">
        <v>8307</v>
      </c>
      <c r="CQ179" s="101" t="s">
        <v>8308</v>
      </c>
      <c r="CR179" s="102" t="s">
        <v>8309</v>
      </c>
    </row>
    <row r="180">
      <c r="A180" s="103"/>
      <c r="B180" s="103"/>
      <c r="C180" s="103"/>
      <c r="D180" s="103"/>
      <c r="E180" s="103"/>
      <c r="F180" s="103"/>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1"/>
      <c r="AH180" s="101"/>
      <c r="AI180" s="101"/>
      <c r="AJ180" s="101"/>
      <c r="AK180" s="101"/>
      <c r="AL180" s="101"/>
      <c r="AM180" s="101"/>
      <c r="AN180" s="101"/>
      <c r="AO180" s="101"/>
      <c r="AP180" s="101"/>
      <c r="AQ180" s="101"/>
      <c r="AR180" s="101"/>
      <c r="AS180" s="101"/>
      <c r="AT180" s="101"/>
      <c r="AU180" s="101"/>
      <c r="AV180" s="106"/>
      <c r="AW180" s="100" t="s">
        <v>8882</v>
      </c>
      <c r="AX180" s="101" t="s">
        <v>8883</v>
      </c>
      <c r="AY180" s="101" t="s">
        <v>8884</v>
      </c>
      <c r="AZ180" s="101" t="s">
        <v>8885</v>
      </c>
      <c r="BA180" s="101" t="s">
        <v>8886</v>
      </c>
      <c r="BB180" s="101" t="s">
        <v>8887</v>
      </c>
      <c r="BC180" s="101" t="s">
        <v>8888</v>
      </c>
      <c r="BD180" s="101" t="s">
        <v>8889</v>
      </c>
      <c r="BE180" s="101" t="s">
        <v>8890</v>
      </c>
      <c r="BF180" s="101" t="s">
        <v>8891</v>
      </c>
      <c r="BG180" s="101" t="s">
        <v>8892</v>
      </c>
      <c r="BH180" s="101" t="s">
        <v>8893</v>
      </c>
      <c r="BI180" s="101" t="s">
        <v>8894</v>
      </c>
      <c r="BJ180" s="101" t="s">
        <v>8895</v>
      </c>
      <c r="BK180" s="101" t="s">
        <v>8896</v>
      </c>
      <c r="BL180" s="102" t="s">
        <v>8897</v>
      </c>
      <c r="BM180" s="100" t="s">
        <v>8882</v>
      </c>
      <c r="BN180" s="101" t="s">
        <v>8898</v>
      </c>
      <c r="BO180" s="101" t="s">
        <v>8884</v>
      </c>
      <c r="BP180" s="101" t="s">
        <v>8899</v>
      </c>
      <c r="BQ180" s="101" t="s">
        <v>8886</v>
      </c>
      <c r="BR180" s="101" t="s">
        <v>8887</v>
      </c>
      <c r="BS180" s="101" t="s">
        <v>8888</v>
      </c>
      <c r="BT180" s="101" t="s">
        <v>8900</v>
      </c>
      <c r="BU180" s="101" t="s">
        <v>8901</v>
      </c>
      <c r="BV180" s="101" t="s">
        <v>8891</v>
      </c>
      <c r="BW180" s="101" t="s">
        <v>8902</v>
      </c>
      <c r="BX180" s="101" t="s">
        <v>8893</v>
      </c>
      <c r="BY180" s="101" t="s">
        <v>8894</v>
      </c>
      <c r="BZ180" s="101" t="s">
        <v>8895</v>
      </c>
      <c r="CA180" s="101" t="s">
        <v>8903</v>
      </c>
      <c r="CB180" s="102" t="s">
        <v>8897</v>
      </c>
      <c r="CC180" s="100" t="s">
        <v>8328</v>
      </c>
      <c r="CD180" s="101" t="s">
        <v>8329</v>
      </c>
      <c r="CE180" s="101" t="s">
        <v>8330</v>
      </c>
      <c r="CF180" s="101" t="s">
        <v>8331</v>
      </c>
      <c r="CG180" s="101" t="s">
        <v>8332</v>
      </c>
      <c r="CH180" s="101" t="s">
        <v>8333</v>
      </c>
      <c r="CI180" s="101" t="s">
        <v>8334</v>
      </c>
      <c r="CJ180" s="101" t="s">
        <v>8335</v>
      </c>
      <c r="CK180" s="101" t="s">
        <v>8336</v>
      </c>
      <c r="CL180" s="101" t="s">
        <v>8337</v>
      </c>
      <c r="CM180" s="101" t="s">
        <v>8338</v>
      </c>
      <c r="CN180" s="101" t="s">
        <v>8339</v>
      </c>
      <c r="CO180" s="101" t="s">
        <v>8340</v>
      </c>
      <c r="CP180" s="101" t="s">
        <v>8341</v>
      </c>
      <c r="CQ180" s="101" t="s">
        <v>8342</v>
      </c>
      <c r="CR180" s="107"/>
    </row>
    <row r="181">
      <c r="A181" s="103"/>
      <c r="B181" s="103"/>
      <c r="C181" s="103"/>
      <c r="D181" s="103"/>
      <c r="E181" s="103"/>
      <c r="F181" s="103"/>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1"/>
      <c r="AH181" s="101"/>
      <c r="AI181" s="101"/>
      <c r="AJ181" s="101"/>
      <c r="AK181" s="101"/>
      <c r="AL181" s="101"/>
      <c r="AM181" s="101"/>
      <c r="AN181" s="101"/>
      <c r="AO181" s="101"/>
      <c r="AP181" s="101"/>
      <c r="AQ181" s="101"/>
      <c r="AR181" s="101"/>
      <c r="AS181" s="101"/>
      <c r="AT181" s="101"/>
      <c r="AU181" s="101"/>
      <c r="AV181" s="106"/>
      <c r="AW181" s="100" t="s">
        <v>8904</v>
      </c>
      <c r="AX181" s="101" t="s">
        <v>8905</v>
      </c>
      <c r="AY181" s="101" t="s">
        <v>8906</v>
      </c>
      <c r="AZ181" s="101" t="s">
        <v>8907</v>
      </c>
      <c r="BA181" s="101" t="s">
        <v>8908</v>
      </c>
      <c r="BB181" s="101" t="s">
        <v>8909</v>
      </c>
      <c r="BC181" s="101" t="s">
        <v>8910</v>
      </c>
      <c r="BD181" s="101" t="s">
        <v>8911</v>
      </c>
      <c r="BE181" s="101" t="s">
        <v>8912</v>
      </c>
      <c r="BF181" s="101" t="s">
        <v>8913</v>
      </c>
      <c r="BG181" s="101" t="s">
        <v>8914</v>
      </c>
      <c r="BH181" s="101" t="s">
        <v>8915</v>
      </c>
      <c r="BI181" s="101" t="s">
        <v>8916</v>
      </c>
      <c r="BJ181" s="101" t="s">
        <v>8917</v>
      </c>
      <c r="BK181" s="101" t="s">
        <v>8918</v>
      </c>
      <c r="BL181" s="102" t="s">
        <v>8919</v>
      </c>
      <c r="BM181" s="100" t="s">
        <v>8904</v>
      </c>
      <c r="BN181" s="101" t="s">
        <v>8905</v>
      </c>
      <c r="BO181" s="101" t="s">
        <v>8906</v>
      </c>
      <c r="BP181" s="101" t="s">
        <v>8920</v>
      </c>
      <c r="BQ181" s="101" t="s">
        <v>8921</v>
      </c>
      <c r="BR181" s="101" t="s">
        <v>8909</v>
      </c>
      <c r="BS181" s="101" t="s">
        <v>8922</v>
      </c>
      <c r="BT181" s="101" t="s">
        <v>8923</v>
      </c>
      <c r="BU181" s="101" t="s">
        <v>8924</v>
      </c>
      <c r="BV181" s="101" t="s">
        <v>8925</v>
      </c>
      <c r="BW181" s="101" t="s">
        <v>8914</v>
      </c>
      <c r="BX181" s="101" t="s">
        <v>8926</v>
      </c>
      <c r="BY181" s="101" t="s">
        <v>8916</v>
      </c>
      <c r="BZ181" s="101" t="s">
        <v>8917</v>
      </c>
      <c r="CA181" s="101" t="s">
        <v>8927</v>
      </c>
      <c r="CB181" s="102" t="s">
        <v>8919</v>
      </c>
      <c r="CC181" s="105"/>
      <c r="CD181" s="101" t="s">
        <v>8364</v>
      </c>
      <c r="CE181" s="101" t="s">
        <v>8365</v>
      </c>
      <c r="CF181" s="101" t="s">
        <v>8366</v>
      </c>
      <c r="CG181" s="101" t="s">
        <v>8367</v>
      </c>
      <c r="CH181" s="101" t="s">
        <v>8368</v>
      </c>
      <c r="CI181" s="101" t="s">
        <v>8369</v>
      </c>
      <c r="CJ181" s="101" t="s">
        <v>8370</v>
      </c>
      <c r="CK181" s="101" t="s">
        <v>8371</v>
      </c>
      <c r="CL181" s="101" t="s">
        <v>8372</v>
      </c>
      <c r="CM181" s="101" t="s">
        <v>8373</v>
      </c>
      <c r="CN181" s="101" t="s">
        <v>8374</v>
      </c>
      <c r="CO181" s="101" t="s">
        <v>8375</v>
      </c>
      <c r="CP181" s="101" t="s">
        <v>8376</v>
      </c>
      <c r="CQ181" s="101" t="s">
        <v>8377</v>
      </c>
      <c r="CR181" s="102" t="s">
        <v>8378</v>
      </c>
    </row>
    <row r="182">
      <c r="A182" s="103"/>
      <c r="B182" s="103"/>
      <c r="C182" s="103"/>
      <c r="D182" s="103"/>
      <c r="E182" s="103"/>
      <c r="F182" s="103"/>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1"/>
      <c r="AH182" s="101"/>
      <c r="AI182" s="101"/>
      <c r="AJ182" s="101"/>
      <c r="AK182" s="101"/>
      <c r="AL182" s="101"/>
      <c r="AM182" s="101"/>
      <c r="AN182" s="101"/>
      <c r="AO182" s="101"/>
      <c r="AP182" s="101"/>
      <c r="AQ182" s="101"/>
      <c r="AR182" s="101"/>
      <c r="AS182" s="101"/>
      <c r="AT182" s="101"/>
      <c r="AU182" s="101"/>
      <c r="AV182" s="106"/>
      <c r="AW182" s="100" t="s">
        <v>8928</v>
      </c>
      <c r="AX182" s="101" t="s">
        <v>8929</v>
      </c>
      <c r="AY182" s="101" t="s">
        <v>8930</v>
      </c>
      <c r="AZ182" s="101" t="s">
        <v>8931</v>
      </c>
      <c r="BA182" s="101" t="s">
        <v>8932</v>
      </c>
      <c r="BB182" s="101" t="s">
        <v>8933</v>
      </c>
      <c r="BC182" s="101" t="s">
        <v>8934</v>
      </c>
      <c r="BD182" s="101" t="s">
        <v>8935</v>
      </c>
      <c r="BE182" s="101" t="s">
        <v>8936</v>
      </c>
      <c r="BF182" s="101" t="s">
        <v>8937</v>
      </c>
      <c r="BG182" s="101" t="s">
        <v>8938</v>
      </c>
      <c r="BH182" s="101" t="s">
        <v>8939</v>
      </c>
      <c r="BI182" s="101" t="s">
        <v>8940</v>
      </c>
      <c r="BJ182" s="101" t="s">
        <v>8941</v>
      </c>
      <c r="BK182" s="101" t="s">
        <v>8942</v>
      </c>
      <c r="BL182" s="102" t="s">
        <v>8943</v>
      </c>
      <c r="BM182" s="100" t="s">
        <v>8928</v>
      </c>
      <c r="BN182" s="101" t="s">
        <v>8944</v>
      </c>
      <c r="BO182" s="101" t="s">
        <v>8945</v>
      </c>
      <c r="BP182" s="101" t="s">
        <v>8946</v>
      </c>
      <c r="BQ182" s="101" t="s">
        <v>8947</v>
      </c>
      <c r="BR182" s="101" t="s">
        <v>8948</v>
      </c>
      <c r="BS182" s="101" t="s">
        <v>8934</v>
      </c>
      <c r="BT182" s="101" t="s">
        <v>8949</v>
      </c>
      <c r="BU182" s="101" t="s">
        <v>8950</v>
      </c>
      <c r="BV182" s="101" t="s">
        <v>8937</v>
      </c>
      <c r="BW182" s="101" t="s">
        <v>8938</v>
      </c>
      <c r="BX182" s="101" t="s">
        <v>8939</v>
      </c>
      <c r="BY182" s="101" t="s">
        <v>8940</v>
      </c>
      <c r="BZ182" s="101" t="s">
        <v>8941</v>
      </c>
      <c r="CA182" s="101" t="s">
        <v>8951</v>
      </c>
      <c r="CB182" s="102" t="s">
        <v>8943</v>
      </c>
      <c r="CC182" s="100" t="s">
        <v>8400</v>
      </c>
      <c r="CD182" s="101" t="s">
        <v>8401</v>
      </c>
      <c r="CE182" s="101" t="s">
        <v>8402</v>
      </c>
      <c r="CF182" s="101" t="s">
        <v>8403</v>
      </c>
      <c r="CG182" s="101" t="s">
        <v>8404</v>
      </c>
      <c r="CH182" s="101" t="s">
        <v>8405</v>
      </c>
      <c r="CI182" s="101" t="s">
        <v>8406</v>
      </c>
      <c r="CJ182" s="101" t="s">
        <v>8407</v>
      </c>
      <c r="CK182" s="101" t="s">
        <v>8408</v>
      </c>
      <c r="CL182" s="101" t="s">
        <v>8409</v>
      </c>
      <c r="CM182" s="101" t="s">
        <v>8410</v>
      </c>
      <c r="CN182" s="101" t="s">
        <v>8411</v>
      </c>
      <c r="CO182" s="101" t="s">
        <v>8412</v>
      </c>
      <c r="CP182" s="101" t="s">
        <v>8413</v>
      </c>
      <c r="CQ182" s="101" t="s">
        <v>8414</v>
      </c>
      <c r="CR182" s="102" t="s">
        <v>8415</v>
      </c>
    </row>
    <row r="183">
      <c r="A183" s="103"/>
      <c r="B183" s="103"/>
      <c r="C183" s="103"/>
      <c r="D183" s="103"/>
      <c r="E183" s="103"/>
      <c r="F183" s="103"/>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1"/>
      <c r="AH183" s="101"/>
      <c r="AI183" s="101"/>
      <c r="AJ183" s="101"/>
      <c r="AK183" s="101"/>
      <c r="AL183" s="101"/>
      <c r="AM183" s="101"/>
      <c r="AN183" s="101"/>
      <c r="AO183" s="101"/>
      <c r="AP183" s="101"/>
      <c r="AQ183" s="101"/>
      <c r="AR183" s="101"/>
      <c r="AS183" s="101"/>
      <c r="AT183" s="101"/>
      <c r="AU183" s="101"/>
      <c r="AV183" s="106"/>
      <c r="AW183" s="100" t="s">
        <v>8952</v>
      </c>
      <c r="AX183" s="101" t="s">
        <v>8953</v>
      </c>
      <c r="AY183" s="101" t="s">
        <v>8954</v>
      </c>
      <c r="AZ183" s="101" t="s">
        <v>8955</v>
      </c>
      <c r="BA183" s="101" t="s">
        <v>8956</v>
      </c>
      <c r="BB183" s="101" t="s">
        <v>8957</v>
      </c>
      <c r="BC183" s="101" t="s">
        <v>8958</v>
      </c>
      <c r="BD183" s="101" t="s">
        <v>8959</v>
      </c>
      <c r="BE183" s="101" t="s">
        <v>8960</v>
      </c>
      <c r="BF183" s="101" t="s">
        <v>8961</v>
      </c>
      <c r="BG183" s="101" t="s">
        <v>8962</v>
      </c>
      <c r="BH183" s="101" t="s">
        <v>8963</v>
      </c>
      <c r="BI183" s="101" t="s">
        <v>8964</v>
      </c>
      <c r="BJ183" s="101" t="s">
        <v>8965</v>
      </c>
      <c r="BK183" s="101" t="s">
        <v>8966</v>
      </c>
      <c r="BL183" s="102" t="s">
        <v>8967</v>
      </c>
      <c r="BM183" s="100" t="s">
        <v>8968</v>
      </c>
      <c r="BN183" s="101" t="s">
        <v>8953</v>
      </c>
      <c r="BO183" s="101" t="s">
        <v>8969</v>
      </c>
      <c r="BP183" s="101" t="s">
        <v>8970</v>
      </c>
      <c r="BQ183" s="101" t="s">
        <v>8956</v>
      </c>
      <c r="BR183" s="101" t="s">
        <v>8957</v>
      </c>
      <c r="BS183" s="101" t="s">
        <v>8971</v>
      </c>
      <c r="BT183" s="101" t="s">
        <v>8972</v>
      </c>
      <c r="BU183" s="101" t="s">
        <v>8973</v>
      </c>
      <c r="BV183" s="101" t="s">
        <v>8961</v>
      </c>
      <c r="BW183" s="101" t="s">
        <v>8962</v>
      </c>
      <c r="BX183" s="101" t="s">
        <v>8963</v>
      </c>
      <c r="BY183" s="101" t="s">
        <v>8974</v>
      </c>
      <c r="BZ183" s="101" t="s">
        <v>8965</v>
      </c>
      <c r="CA183" s="101" t="s">
        <v>8966</v>
      </c>
      <c r="CB183" s="102" t="s">
        <v>8975</v>
      </c>
      <c r="CC183" s="100" t="s">
        <v>8461</v>
      </c>
      <c r="CD183" s="101" t="s">
        <v>8462</v>
      </c>
      <c r="CE183" s="101" t="s">
        <v>8463</v>
      </c>
      <c r="CF183" s="101" t="s">
        <v>8464</v>
      </c>
      <c r="CG183" s="101" t="s">
        <v>8465</v>
      </c>
      <c r="CH183" s="101" t="s">
        <v>8466</v>
      </c>
      <c r="CI183" s="101" t="s">
        <v>8467</v>
      </c>
      <c r="CJ183" s="101" t="s">
        <v>8468</v>
      </c>
      <c r="CK183" s="101" t="s">
        <v>8469</v>
      </c>
      <c r="CL183" s="101" t="s">
        <v>8470</v>
      </c>
      <c r="CM183" s="101" t="s">
        <v>8471</v>
      </c>
      <c r="CN183" s="101" t="s">
        <v>8472</v>
      </c>
      <c r="CO183" s="101" t="s">
        <v>8473</v>
      </c>
      <c r="CP183" s="101" t="s">
        <v>8474</v>
      </c>
      <c r="CQ183" s="101" t="s">
        <v>8475</v>
      </c>
      <c r="CR183" s="102" t="s">
        <v>8476</v>
      </c>
    </row>
    <row r="184">
      <c r="A184" s="103"/>
      <c r="B184" s="103"/>
      <c r="C184" s="103"/>
      <c r="D184" s="103"/>
      <c r="E184" s="103"/>
      <c r="F184" s="103"/>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1"/>
      <c r="AH184" s="101"/>
      <c r="AI184" s="101"/>
      <c r="AJ184" s="101"/>
      <c r="AK184" s="101"/>
      <c r="AL184" s="101"/>
      <c r="AM184" s="101"/>
      <c r="AN184" s="101"/>
      <c r="AO184" s="101"/>
      <c r="AP184" s="101"/>
      <c r="AQ184" s="101"/>
      <c r="AR184" s="101"/>
      <c r="AS184" s="101"/>
      <c r="AT184" s="101"/>
      <c r="AU184" s="101"/>
      <c r="AV184" s="106"/>
      <c r="AW184" s="100" t="s">
        <v>8976</v>
      </c>
      <c r="AX184" s="101" t="s">
        <v>8977</v>
      </c>
      <c r="AY184" s="101" t="s">
        <v>8978</v>
      </c>
      <c r="AZ184" s="101" t="s">
        <v>8979</v>
      </c>
      <c r="BA184" s="101" t="s">
        <v>8980</v>
      </c>
      <c r="BB184" s="101" t="s">
        <v>8981</v>
      </c>
      <c r="BC184" s="101" t="s">
        <v>8982</v>
      </c>
      <c r="BD184" s="101" t="s">
        <v>8983</v>
      </c>
      <c r="BE184" s="101" t="s">
        <v>8984</v>
      </c>
      <c r="BF184" s="101" t="s">
        <v>8985</v>
      </c>
      <c r="BG184" s="101" t="s">
        <v>8986</v>
      </c>
      <c r="BH184" s="101" t="s">
        <v>8987</v>
      </c>
      <c r="BI184" s="101" t="s">
        <v>8988</v>
      </c>
      <c r="BJ184" s="101" t="s">
        <v>8989</v>
      </c>
      <c r="BK184" s="101" t="s">
        <v>8990</v>
      </c>
      <c r="BL184" s="102" t="s">
        <v>8991</v>
      </c>
      <c r="BM184" s="100" t="s">
        <v>8992</v>
      </c>
      <c r="BN184" s="101" t="s">
        <v>8977</v>
      </c>
      <c r="BO184" s="101" t="s">
        <v>8978</v>
      </c>
      <c r="BP184" s="101" t="s">
        <v>8993</v>
      </c>
      <c r="BQ184" s="101" t="s">
        <v>8980</v>
      </c>
      <c r="BR184" s="101" t="s">
        <v>8994</v>
      </c>
      <c r="BS184" s="101" t="s">
        <v>8982</v>
      </c>
      <c r="BT184" s="101" t="s">
        <v>8983</v>
      </c>
      <c r="BU184" s="101" t="s">
        <v>8984</v>
      </c>
      <c r="BV184" s="101" t="s">
        <v>8995</v>
      </c>
      <c r="BW184" s="101" t="s">
        <v>8996</v>
      </c>
      <c r="BX184" s="101" t="s">
        <v>8987</v>
      </c>
      <c r="BY184" s="101" t="s">
        <v>8997</v>
      </c>
      <c r="BZ184" s="101" t="s">
        <v>8989</v>
      </c>
      <c r="CA184" s="101" t="s">
        <v>8998</v>
      </c>
      <c r="CB184" s="102" t="s">
        <v>8999</v>
      </c>
      <c r="CC184" s="100" t="s">
        <v>8496</v>
      </c>
      <c r="CD184" s="101" t="s">
        <v>8497</v>
      </c>
      <c r="CE184" s="101" t="s">
        <v>8498</v>
      </c>
      <c r="CF184" s="101" t="s">
        <v>8499</v>
      </c>
      <c r="CG184" s="101" t="s">
        <v>8500</v>
      </c>
      <c r="CH184" s="101" t="s">
        <v>8501</v>
      </c>
      <c r="CI184" s="101" t="s">
        <v>8502</v>
      </c>
      <c r="CJ184" s="101" t="s">
        <v>8503</v>
      </c>
      <c r="CK184" s="101" t="s">
        <v>8504</v>
      </c>
      <c r="CL184" s="101" t="s">
        <v>8505</v>
      </c>
      <c r="CM184" s="101" t="s">
        <v>8506</v>
      </c>
      <c r="CN184" s="101" t="s">
        <v>8507</v>
      </c>
      <c r="CO184" s="101" t="s">
        <v>8508</v>
      </c>
      <c r="CP184" s="101" t="s">
        <v>8509</v>
      </c>
      <c r="CQ184" s="101" t="s">
        <v>8510</v>
      </c>
      <c r="CR184" s="102" t="s">
        <v>8511</v>
      </c>
    </row>
    <row r="185">
      <c r="A185" s="103"/>
      <c r="B185" s="103"/>
      <c r="C185" s="103"/>
      <c r="D185" s="103"/>
      <c r="E185" s="103"/>
      <c r="F185" s="103"/>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1"/>
      <c r="AH185" s="101"/>
      <c r="AI185" s="101"/>
      <c r="AJ185" s="101"/>
      <c r="AK185" s="101"/>
      <c r="AL185" s="101"/>
      <c r="AM185" s="101"/>
      <c r="AN185" s="101"/>
      <c r="AO185" s="101"/>
      <c r="AP185" s="101"/>
      <c r="AQ185" s="101"/>
      <c r="AR185" s="101"/>
      <c r="AS185" s="101"/>
      <c r="AT185" s="101"/>
      <c r="AU185" s="101"/>
      <c r="AV185" s="106"/>
      <c r="AW185" s="100" t="s">
        <v>9000</v>
      </c>
      <c r="AX185" s="101" t="s">
        <v>9001</v>
      </c>
      <c r="AY185" s="101" t="s">
        <v>9002</v>
      </c>
      <c r="AZ185" s="101" t="s">
        <v>9003</v>
      </c>
      <c r="BA185" s="101" t="s">
        <v>9004</v>
      </c>
      <c r="BB185" s="101" t="s">
        <v>9005</v>
      </c>
      <c r="BC185" s="101" t="s">
        <v>9006</v>
      </c>
      <c r="BD185" s="101" t="s">
        <v>9007</v>
      </c>
      <c r="BE185" s="101" t="s">
        <v>9008</v>
      </c>
      <c r="BF185" s="101" t="s">
        <v>9009</v>
      </c>
      <c r="BG185" s="101" t="s">
        <v>9010</v>
      </c>
      <c r="BH185" s="101" t="s">
        <v>9011</v>
      </c>
      <c r="BI185" s="101" t="s">
        <v>9012</v>
      </c>
      <c r="BJ185" s="101" t="s">
        <v>9013</v>
      </c>
      <c r="BK185" s="101" t="s">
        <v>9014</v>
      </c>
      <c r="BL185" s="102" t="s">
        <v>9015</v>
      </c>
      <c r="BM185" s="100" t="s">
        <v>9000</v>
      </c>
      <c r="BN185" s="101" t="s">
        <v>9001</v>
      </c>
      <c r="BO185" s="101" t="s">
        <v>9016</v>
      </c>
      <c r="BP185" s="101" t="s">
        <v>9003</v>
      </c>
      <c r="BQ185" s="101" t="s">
        <v>9017</v>
      </c>
      <c r="BR185" s="101" t="s">
        <v>9005</v>
      </c>
      <c r="BS185" s="101" t="s">
        <v>9018</v>
      </c>
      <c r="BT185" s="101" t="s">
        <v>9007</v>
      </c>
      <c r="BU185" s="101" t="s">
        <v>9019</v>
      </c>
      <c r="BV185" s="101" t="s">
        <v>9009</v>
      </c>
      <c r="BW185" s="101" t="s">
        <v>9010</v>
      </c>
      <c r="BX185" s="101" t="s">
        <v>9020</v>
      </c>
      <c r="BY185" s="101" t="s">
        <v>9012</v>
      </c>
      <c r="BZ185" s="101" t="s">
        <v>9021</v>
      </c>
      <c r="CA185" s="101" t="s">
        <v>9022</v>
      </c>
      <c r="CB185" s="102" t="s">
        <v>9023</v>
      </c>
      <c r="CC185" s="100" t="s">
        <v>8533</v>
      </c>
      <c r="CD185" s="101" t="s">
        <v>8534</v>
      </c>
      <c r="CE185" s="101" t="s">
        <v>8535</v>
      </c>
      <c r="CF185" s="101" t="s">
        <v>8536</v>
      </c>
      <c r="CG185" s="101" t="s">
        <v>8537</v>
      </c>
      <c r="CH185" s="101" t="s">
        <v>8538</v>
      </c>
      <c r="CI185" s="101" t="s">
        <v>8539</v>
      </c>
      <c r="CJ185" s="101" t="s">
        <v>8540</v>
      </c>
      <c r="CK185" s="101" t="s">
        <v>8541</v>
      </c>
      <c r="CL185" s="101" t="s">
        <v>8542</v>
      </c>
      <c r="CM185" s="101" t="s">
        <v>8543</v>
      </c>
      <c r="CN185" s="101" t="s">
        <v>8544</v>
      </c>
      <c r="CO185" s="101" t="s">
        <v>8545</v>
      </c>
      <c r="CP185" s="101" t="s">
        <v>8546</v>
      </c>
      <c r="CQ185" s="101" t="s">
        <v>8547</v>
      </c>
      <c r="CR185" s="102" t="s">
        <v>8548</v>
      </c>
    </row>
    <row r="186">
      <c r="A186" s="103"/>
      <c r="B186" s="103"/>
      <c r="C186" s="103"/>
      <c r="D186" s="103"/>
      <c r="E186" s="103"/>
      <c r="F186" s="103"/>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1"/>
      <c r="AH186" s="101"/>
      <c r="AI186" s="101"/>
      <c r="AJ186" s="101"/>
      <c r="AK186" s="101"/>
      <c r="AL186" s="101"/>
      <c r="AM186" s="101"/>
      <c r="AN186" s="101"/>
      <c r="AO186" s="101"/>
      <c r="AP186" s="101"/>
      <c r="AQ186" s="101"/>
      <c r="AR186" s="101"/>
      <c r="AS186" s="101"/>
      <c r="AT186" s="101"/>
      <c r="AU186" s="101"/>
      <c r="AV186" s="106"/>
      <c r="AW186" s="100" t="s">
        <v>9024</v>
      </c>
      <c r="AX186" s="101" t="s">
        <v>9025</v>
      </c>
      <c r="AY186" s="101" t="s">
        <v>9026</v>
      </c>
      <c r="AZ186" s="101" t="s">
        <v>9027</v>
      </c>
      <c r="BA186" s="101" t="s">
        <v>9028</v>
      </c>
      <c r="BB186" s="101" t="s">
        <v>9029</v>
      </c>
      <c r="BC186" s="101" t="s">
        <v>9030</v>
      </c>
      <c r="BD186" s="101" t="s">
        <v>9031</v>
      </c>
      <c r="BE186" s="101" t="s">
        <v>9032</v>
      </c>
      <c r="BF186" s="101" t="s">
        <v>9033</v>
      </c>
      <c r="BG186" s="101" t="s">
        <v>9034</v>
      </c>
      <c r="BH186" s="101" t="s">
        <v>9035</v>
      </c>
      <c r="BI186" s="101" t="s">
        <v>9036</v>
      </c>
      <c r="BJ186" s="101" t="s">
        <v>9037</v>
      </c>
      <c r="BK186" s="101" t="s">
        <v>9038</v>
      </c>
      <c r="BL186" s="102" t="s">
        <v>9039</v>
      </c>
      <c r="BM186" s="100" t="s">
        <v>9024</v>
      </c>
      <c r="BN186" s="101" t="s">
        <v>9040</v>
      </c>
      <c r="BO186" s="101" t="s">
        <v>9041</v>
      </c>
      <c r="BP186" s="101" t="s">
        <v>9042</v>
      </c>
      <c r="BQ186" s="101" t="s">
        <v>9043</v>
      </c>
      <c r="BR186" s="101" t="s">
        <v>9029</v>
      </c>
      <c r="BS186" s="101" t="s">
        <v>9030</v>
      </c>
      <c r="BT186" s="101" t="s">
        <v>9044</v>
      </c>
      <c r="BU186" s="101" t="s">
        <v>9045</v>
      </c>
      <c r="BV186" s="101" t="s">
        <v>9033</v>
      </c>
      <c r="BW186" s="101" t="s">
        <v>9034</v>
      </c>
      <c r="BX186" s="101" t="s">
        <v>9046</v>
      </c>
      <c r="BY186" s="101" t="s">
        <v>9036</v>
      </c>
      <c r="BZ186" s="101" t="s">
        <v>9047</v>
      </c>
      <c r="CA186" s="101" t="s">
        <v>9048</v>
      </c>
      <c r="CB186" s="102" t="s">
        <v>9039</v>
      </c>
      <c r="CC186" s="100" t="s">
        <v>8571</v>
      </c>
      <c r="CD186" s="101" t="s">
        <v>8572</v>
      </c>
      <c r="CE186" s="101" t="s">
        <v>8573</v>
      </c>
      <c r="CF186" s="101" t="s">
        <v>8574</v>
      </c>
      <c r="CG186" s="101" t="s">
        <v>8575</v>
      </c>
      <c r="CH186" s="101" t="s">
        <v>8576</v>
      </c>
      <c r="CI186" s="101" t="s">
        <v>8577</v>
      </c>
      <c r="CJ186" s="101" t="s">
        <v>8578</v>
      </c>
      <c r="CK186" s="101" t="s">
        <v>8579</v>
      </c>
      <c r="CL186" s="101" t="s">
        <v>8580</v>
      </c>
      <c r="CM186" s="101" t="s">
        <v>8581</v>
      </c>
      <c r="CN186" s="101" t="s">
        <v>8582</v>
      </c>
      <c r="CO186" s="101" t="s">
        <v>8583</v>
      </c>
      <c r="CP186" s="101" t="s">
        <v>8584</v>
      </c>
      <c r="CQ186" s="101" t="s">
        <v>8585</v>
      </c>
      <c r="CR186" s="107"/>
    </row>
    <row r="187">
      <c r="A187" s="103"/>
      <c r="B187" s="103"/>
      <c r="C187" s="103"/>
      <c r="D187" s="103"/>
      <c r="E187" s="103"/>
      <c r="F187" s="103"/>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1"/>
      <c r="AH187" s="101"/>
      <c r="AI187" s="101"/>
      <c r="AJ187" s="101"/>
      <c r="AK187" s="101"/>
      <c r="AL187" s="101"/>
      <c r="AM187" s="101"/>
      <c r="AN187" s="101"/>
      <c r="AO187" s="101"/>
      <c r="AP187" s="101"/>
      <c r="AQ187" s="101"/>
      <c r="AR187" s="101"/>
      <c r="AS187" s="101"/>
      <c r="AT187" s="101"/>
      <c r="AU187" s="101"/>
      <c r="AV187" s="106"/>
      <c r="AW187" s="100" t="s">
        <v>9049</v>
      </c>
      <c r="AX187" s="101" t="s">
        <v>9050</v>
      </c>
      <c r="AY187" s="101" t="s">
        <v>9051</v>
      </c>
      <c r="AZ187" s="101" t="s">
        <v>9052</v>
      </c>
      <c r="BA187" s="101" t="s">
        <v>9053</v>
      </c>
      <c r="BB187" s="101" t="s">
        <v>9054</v>
      </c>
      <c r="BC187" s="101" t="s">
        <v>9055</v>
      </c>
      <c r="BD187" s="101" t="s">
        <v>9056</v>
      </c>
      <c r="BE187" s="101" t="s">
        <v>9057</v>
      </c>
      <c r="BF187" s="101" t="s">
        <v>9058</v>
      </c>
      <c r="BG187" s="101" t="s">
        <v>9059</v>
      </c>
      <c r="BH187" s="101" t="s">
        <v>9060</v>
      </c>
      <c r="BI187" s="101" t="s">
        <v>9061</v>
      </c>
      <c r="BJ187" s="101" t="s">
        <v>9062</v>
      </c>
      <c r="BK187" s="101" t="s">
        <v>9063</v>
      </c>
      <c r="BL187" s="102" t="s">
        <v>9064</v>
      </c>
      <c r="BM187" s="100" t="s">
        <v>9049</v>
      </c>
      <c r="BN187" s="101" t="s">
        <v>9065</v>
      </c>
      <c r="BO187" s="101" t="s">
        <v>9051</v>
      </c>
      <c r="BP187" s="101" t="s">
        <v>9066</v>
      </c>
      <c r="BQ187" s="101" t="s">
        <v>9053</v>
      </c>
      <c r="BR187" s="101" t="s">
        <v>9054</v>
      </c>
      <c r="BS187" s="101" t="s">
        <v>9055</v>
      </c>
      <c r="BT187" s="101" t="s">
        <v>9067</v>
      </c>
      <c r="BU187" s="101" t="s">
        <v>9057</v>
      </c>
      <c r="BV187" s="101" t="s">
        <v>9068</v>
      </c>
      <c r="BW187" s="101" t="s">
        <v>9059</v>
      </c>
      <c r="BX187" s="101" t="s">
        <v>9069</v>
      </c>
      <c r="BY187" s="101" t="s">
        <v>9070</v>
      </c>
      <c r="BZ187" s="101" t="s">
        <v>9071</v>
      </c>
      <c r="CA187" s="101" t="s">
        <v>9063</v>
      </c>
      <c r="CB187" s="102" t="s">
        <v>9072</v>
      </c>
      <c r="CC187" s="105"/>
      <c r="CD187" s="101" t="s">
        <v>8609</v>
      </c>
      <c r="CE187" s="101" t="s">
        <v>8610</v>
      </c>
      <c r="CF187" s="101" t="s">
        <v>8611</v>
      </c>
      <c r="CG187" s="101" t="s">
        <v>8612</v>
      </c>
      <c r="CH187" s="101" t="s">
        <v>8613</v>
      </c>
      <c r="CI187" s="101" t="s">
        <v>8614</v>
      </c>
      <c r="CJ187" s="101" t="s">
        <v>8615</v>
      </c>
      <c r="CK187" s="101" t="s">
        <v>8616</v>
      </c>
      <c r="CL187" s="101" t="s">
        <v>8617</v>
      </c>
      <c r="CM187" s="101" t="s">
        <v>8618</v>
      </c>
      <c r="CN187" s="101" t="s">
        <v>8619</v>
      </c>
      <c r="CO187" s="101" t="s">
        <v>8620</v>
      </c>
      <c r="CP187" s="101" t="s">
        <v>8621</v>
      </c>
      <c r="CQ187" s="101" t="s">
        <v>8622</v>
      </c>
      <c r="CR187" s="102" t="s">
        <v>8623</v>
      </c>
    </row>
    <row r="188">
      <c r="A188" s="103"/>
      <c r="B188" s="103"/>
      <c r="C188" s="103"/>
      <c r="D188" s="103"/>
      <c r="E188" s="103"/>
      <c r="F188" s="103"/>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1"/>
      <c r="AH188" s="101"/>
      <c r="AI188" s="101"/>
      <c r="AJ188" s="101"/>
      <c r="AK188" s="101"/>
      <c r="AL188" s="101"/>
      <c r="AM188" s="101"/>
      <c r="AN188" s="101"/>
      <c r="AO188" s="101"/>
      <c r="AP188" s="101"/>
      <c r="AQ188" s="101"/>
      <c r="AR188" s="101"/>
      <c r="AS188" s="101"/>
      <c r="AT188" s="101"/>
      <c r="AU188" s="101"/>
      <c r="AV188" s="106"/>
      <c r="AW188" s="100" t="s">
        <v>9073</v>
      </c>
      <c r="AX188" s="101" t="s">
        <v>9074</v>
      </c>
      <c r="AY188" s="101" t="s">
        <v>9075</v>
      </c>
      <c r="AZ188" s="101" t="s">
        <v>9076</v>
      </c>
      <c r="BA188" s="101" t="s">
        <v>9077</v>
      </c>
      <c r="BB188" s="101" t="s">
        <v>9078</v>
      </c>
      <c r="BC188" s="101" t="s">
        <v>9079</v>
      </c>
      <c r="BD188" s="101" t="s">
        <v>9080</v>
      </c>
      <c r="BE188" s="101" t="s">
        <v>9081</v>
      </c>
      <c r="BF188" s="101" t="s">
        <v>9082</v>
      </c>
      <c r="BG188" s="101" t="s">
        <v>9083</v>
      </c>
      <c r="BH188" s="101" t="s">
        <v>9084</v>
      </c>
      <c r="BI188" s="101" t="s">
        <v>9085</v>
      </c>
      <c r="BJ188" s="101" t="s">
        <v>9086</v>
      </c>
      <c r="BK188" s="101" t="s">
        <v>9087</v>
      </c>
      <c r="BL188" s="102" t="s">
        <v>9088</v>
      </c>
      <c r="BM188" s="100" t="s">
        <v>9073</v>
      </c>
      <c r="BN188" s="101" t="s">
        <v>9074</v>
      </c>
      <c r="BO188" s="101" t="s">
        <v>9075</v>
      </c>
      <c r="BP188" s="101" t="s">
        <v>9089</v>
      </c>
      <c r="BQ188" s="101" t="s">
        <v>9077</v>
      </c>
      <c r="BR188" s="101" t="s">
        <v>9090</v>
      </c>
      <c r="BS188" s="101" t="s">
        <v>9091</v>
      </c>
      <c r="BT188" s="101" t="s">
        <v>9092</v>
      </c>
      <c r="BU188" s="101" t="s">
        <v>9093</v>
      </c>
      <c r="BV188" s="101" t="s">
        <v>9082</v>
      </c>
      <c r="BW188" s="101" t="s">
        <v>9083</v>
      </c>
      <c r="BX188" s="101" t="s">
        <v>9094</v>
      </c>
      <c r="BY188" s="101" t="s">
        <v>9095</v>
      </c>
      <c r="BZ188" s="101" t="s">
        <v>9096</v>
      </c>
      <c r="CA188" s="101" t="s">
        <v>9087</v>
      </c>
      <c r="CB188" s="102" t="s">
        <v>9097</v>
      </c>
      <c r="CC188" s="100" t="s">
        <v>8648</v>
      </c>
      <c r="CD188" s="101" t="s">
        <v>8649</v>
      </c>
      <c r="CE188" s="101" t="s">
        <v>8650</v>
      </c>
      <c r="CF188" s="101" t="s">
        <v>8651</v>
      </c>
      <c r="CG188" s="101" t="s">
        <v>8652</v>
      </c>
      <c r="CH188" s="101" t="s">
        <v>8653</v>
      </c>
      <c r="CI188" s="101" t="s">
        <v>8654</v>
      </c>
      <c r="CJ188" s="101" t="s">
        <v>8655</v>
      </c>
      <c r="CK188" s="101" t="s">
        <v>8656</v>
      </c>
      <c r="CL188" s="101" t="s">
        <v>8657</v>
      </c>
      <c r="CM188" s="101" t="s">
        <v>8658</v>
      </c>
      <c r="CN188" s="101" t="s">
        <v>8659</v>
      </c>
      <c r="CO188" s="101" t="s">
        <v>8660</v>
      </c>
      <c r="CP188" s="101" t="s">
        <v>8661</v>
      </c>
      <c r="CQ188" s="101" t="s">
        <v>8662</v>
      </c>
      <c r="CR188" s="102" t="s">
        <v>8663</v>
      </c>
    </row>
    <row r="189">
      <c r="A189" s="103"/>
      <c r="B189" s="103"/>
      <c r="C189" s="103"/>
      <c r="D189" s="103"/>
      <c r="E189" s="103"/>
      <c r="F189" s="103"/>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1"/>
      <c r="AH189" s="101"/>
      <c r="AI189" s="101"/>
      <c r="AJ189" s="101"/>
      <c r="AK189" s="101"/>
      <c r="AL189" s="101"/>
      <c r="AM189" s="101"/>
      <c r="AN189" s="101"/>
      <c r="AO189" s="101"/>
      <c r="AP189" s="101"/>
      <c r="AQ189" s="101"/>
      <c r="AR189" s="101"/>
      <c r="AS189" s="101"/>
      <c r="AT189" s="101"/>
      <c r="AU189" s="101"/>
      <c r="AV189" s="106"/>
      <c r="AW189" s="100" t="s">
        <v>9098</v>
      </c>
      <c r="AX189" s="101" t="s">
        <v>9099</v>
      </c>
      <c r="AY189" s="101" t="s">
        <v>9100</v>
      </c>
      <c r="AZ189" s="101" t="s">
        <v>9101</v>
      </c>
      <c r="BA189" s="101" t="s">
        <v>9102</v>
      </c>
      <c r="BB189" s="101" t="s">
        <v>9103</v>
      </c>
      <c r="BC189" s="101" t="s">
        <v>9104</v>
      </c>
      <c r="BD189" s="101" t="s">
        <v>9105</v>
      </c>
      <c r="BE189" s="101" t="s">
        <v>9106</v>
      </c>
      <c r="BF189" s="101" t="s">
        <v>9107</v>
      </c>
      <c r="BG189" s="101" t="s">
        <v>9108</v>
      </c>
      <c r="BH189" s="101" t="s">
        <v>9109</v>
      </c>
      <c r="BI189" s="101" t="s">
        <v>9110</v>
      </c>
      <c r="BJ189" s="101" t="s">
        <v>9111</v>
      </c>
      <c r="BK189" s="101" t="s">
        <v>9112</v>
      </c>
      <c r="BL189" s="102" t="s">
        <v>9113</v>
      </c>
      <c r="BM189" s="100" t="s">
        <v>9114</v>
      </c>
      <c r="BN189" s="101" t="s">
        <v>9115</v>
      </c>
      <c r="BO189" s="101" t="s">
        <v>9116</v>
      </c>
      <c r="BP189" s="101" t="s">
        <v>9117</v>
      </c>
      <c r="BQ189" s="101" t="s">
        <v>9118</v>
      </c>
      <c r="BR189" s="101" t="s">
        <v>9103</v>
      </c>
      <c r="BS189" s="101" t="s">
        <v>9104</v>
      </c>
      <c r="BT189" s="101" t="s">
        <v>9105</v>
      </c>
      <c r="BU189" s="101" t="s">
        <v>9119</v>
      </c>
      <c r="BV189" s="101" t="s">
        <v>9120</v>
      </c>
      <c r="BW189" s="101" t="s">
        <v>9108</v>
      </c>
      <c r="BX189" s="101" t="s">
        <v>9109</v>
      </c>
      <c r="BY189" s="101" t="s">
        <v>9121</v>
      </c>
      <c r="BZ189" s="101" t="s">
        <v>9111</v>
      </c>
      <c r="CA189" s="101" t="s">
        <v>9112</v>
      </c>
      <c r="CB189" s="102" t="s">
        <v>9113</v>
      </c>
      <c r="CC189" s="100" t="s">
        <v>8687</v>
      </c>
      <c r="CD189" s="101" t="s">
        <v>8688</v>
      </c>
      <c r="CE189" s="101" t="s">
        <v>8689</v>
      </c>
      <c r="CF189" s="101" t="s">
        <v>8690</v>
      </c>
      <c r="CG189" s="101" t="s">
        <v>8691</v>
      </c>
      <c r="CH189" s="101" t="s">
        <v>8692</v>
      </c>
      <c r="CI189" s="101" t="s">
        <v>8693</v>
      </c>
      <c r="CJ189" s="101" t="s">
        <v>8694</v>
      </c>
      <c r="CK189" s="101" t="s">
        <v>8695</v>
      </c>
      <c r="CL189" s="101" t="s">
        <v>8696</v>
      </c>
      <c r="CM189" s="101" t="s">
        <v>8697</v>
      </c>
      <c r="CN189" s="101" t="s">
        <v>8698</v>
      </c>
      <c r="CO189" s="101" t="s">
        <v>8699</v>
      </c>
      <c r="CP189" s="101" t="s">
        <v>8700</v>
      </c>
      <c r="CQ189" s="101" t="s">
        <v>8701</v>
      </c>
      <c r="CR189" s="102" t="s">
        <v>8702</v>
      </c>
    </row>
    <row r="190">
      <c r="A190" s="103"/>
      <c r="B190" s="103"/>
      <c r="C190" s="103"/>
      <c r="D190" s="103"/>
      <c r="E190" s="103"/>
      <c r="F190" s="103"/>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1"/>
      <c r="AH190" s="101"/>
      <c r="AI190" s="101"/>
      <c r="AJ190" s="101"/>
      <c r="AK190" s="101"/>
      <c r="AL190" s="101"/>
      <c r="AM190" s="101"/>
      <c r="AN190" s="101"/>
      <c r="AO190" s="101"/>
      <c r="AP190" s="101"/>
      <c r="AQ190" s="101"/>
      <c r="AR190" s="101"/>
      <c r="AS190" s="101"/>
      <c r="AT190" s="101"/>
      <c r="AU190" s="101"/>
      <c r="AV190" s="106"/>
      <c r="AW190" s="100" t="s">
        <v>9122</v>
      </c>
      <c r="AX190" s="101" t="s">
        <v>9123</v>
      </c>
      <c r="AY190" s="101" t="s">
        <v>9124</v>
      </c>
      <c r="AZ190" s="101" t="s">
        <v>9125</v>
      </c>
      <c r="BA190" s="101" t="s">
        <v>9126</v>
      </c>
      <c r="BB190" s="101" t="s">
        <v>9127</v>
      </c>
      <c r="BC190" s="101" t="s">
        <v>9128</v>
      </c>
      <c r="BD190" s="101" t="s">
        <v>9129</v>
      </c>
      <c r="BE190" s="101" t="s">
        <v>9130</v>
      </c>
      <c r="BF190" s="101" t="s">
        <v>9131</v>
      </c>
      <c r="BG190" s="101" t="s">
        <v>9132</v>
      </c>
      <c r="BH190" s="101" t="s">
        <v>9133</v>
      </c>
      <c r="BI190" s="101" t="s">
        <v>9134</v>
      </c>
      <c r="BJ190" s="101" t="s">
        <v>9135</v>
      </c>
      <c r="BK190" s="101" t="s">
        <v>9136</v>
      </c>
      <c r="BL190" s="102" t="s">
        <v>9137</v>
      </c>
      <c r="BM190" s="100" t="s">
        <v>9138</v>
      </c>
      <c r="BN190" s="101" t="s">
        <v>9123</v>
      </c>
      <c r="BO190" s="101" t="s">
        <v>9124</v>
      </c>
      <c r="BP190" s="101" t="s">
        <v>9125</v>
      </c>
      <c r="BQ190" s="101" t="s">
        <v>9139</v>
      </c>
      <c r="BR190" s="101" t="s">
        <v>9140</v>
      </c>
      <c r="BS190" s="101" t="s">
        <v>9128</v>
      </c>
      <c r="BT190" s="101" t="s">
        <v>9141</v>
      </c>
      <c r="BU190" s="101" t="s">
        <v>9142</v>
      </c>
      <c r="BV190" s="101" t="s">
        <v>9131</v>
      </c>
      <c r="BW190" s="101" t="s">
        <v>9143</v>
      </c>
      <c r="BX190" s="101" t="s">
        <v>9133</v>
      </c>
      <c r="BY190" s="101" t="s">
        <v>9134</v>
      </c>
      <c r="BZ190" s="101" t="s">
        <v>9144</v>
      </c>
      <c r="CA190" s="101" t="s">
        <v>9136</v>
      </c>
      <c r="CB190" s="102" t="s">
        <v>9137</v>
      </c>
      <c r="CC190" s="100" t="s">
        <v>8725</v>
      </c>
      <c r="CD190" s="101" t="s">
        <v>8726</v>
      </c>
      <c r="CE190" s="101" t="s">
        <v>8727</v>
      </c>
      <c r="CF190" s="101" t="s">
        <v>8728</v>
      </c>
      <c r="CG190" s="101" t="s">
        <v>8729</v>
      </c>
      <c r="CH190" s="101" t="s">
        <v>8730</v>
      </c>
      <c r="CI190" s="101" t="s">
        <v>8731</v>
      </c>
      <c r="CJ190" s="101" t="s">
        <v>8732</v>
      </c>
      <c r="CK190" s="101" t="s">
        <v>8733</v>
      </c>
      <c r="CL190" s="101" t="s">
        <v>8734</v>
      </c>
      <c r="CM190" s="101" t="s">
        <v>8735</v>
      </c>
      <c r="CN190" s="101" t="s">
        <v>8736</v>
      </c>
      <c r="CO190" s="101" t="s">
        <v>8737</v>
      </c>
      <c r="CP190" s="101" t="s">
        <v>8738</v>
      </c>
      <c r="CQ190" s="101" t="s">
        <v>8739</v>
      </c>
      <c r="CR190" s="102" t="s">
        <v>8740</v>
      </c>
    </row>
    <row r="191">
      <c r="A191" s="103"/>
      <c r="B191" s="103"/>
      <c r="C191" s="103"/>
      <c r="D191" s="103"/>
      <c r="E191" s="103"/>
      <c r="F191" s="103"/>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1"/>
      <c r="AH191" s="101"/>
      <c r="AI191" s="101"/>
      <c r="AJ191" s="101"/>
      <c r="AK191" s="101"/>
      <c r="AL191" s="101"/>
      <c r="AM191" s="101"/>
      <c r="AN191" s="101"/>
      <c r="AO191" s="101"/>
      <c r="AP191" s="101"/>
      <c r="AQ191" s="101"/>
      <c r="AR191" s="101"/>
      <c r="AS191" s="101"/>
      <c r="AT191" s="101"/>
      <c r="AU191" s="101"/>
      <c r="AV191" s="106"/>
      <c r="AW191" s="100" t="s">
        <v>9145</v>
      </c>
      <c r="AX191" s="101" t="s">
        <v>9146</v>
      </c>
      <c r="AY191" s="101" t="s">
        <v>9147</v>
      </c>
      <c r="AZ191" s="101" t="s">
        <v>9148</v>
      </c>
      <c r="BA191" s="101" t="s">
        <v>9149</v>
      </c>
      <c r="BB191" s="101" t="s">
        <v>9150</v>
      </c>
      <c r="BC191" s="101" t="s">
        <v>9151</v>
      </c>
      <c r="BD191" s="101" t="s">
        <v>9152</v>
      </c>
      <c r="BE191" s="101" t="s">
        <v>9153</v>
      </c>
      <c r="BF191" s="101" t="s">
        <v>9154</v>
      </c>
      <c r="BG191" s="101" t="s">
        <v>9155</v>
      </c>
      <c r="BH191" s="101" t="s">
        <v>9156</v>
      </c>
      <c r="BI191" s="101" t="s">
        <v>9157</v>
      </c>
      <c r="BJ191" s="101" t="s">
        <v>9158</v>
      </c>
      <c r="BK191" s="101" t="s">
        <v>9159</v>
      </c>
      <c r="BL191" s="102" t="s">
        <v>9160</v>
      </c>
      <c r="BM191" s="100" t="s">
        <v>9145</v>
      </c>
      <c r="BN191" s="101" t="s">
        <v>9161</v>
      </c>
      <c r="BO191" s="101" t="s">
        <v>9162</v>
      </c>
      <c r="BP191" s="101" t="s">
        <v>9148</v>
      </c>
      <c r="BQ191" s="101" t="s">
        <v>9149</v>
      </c>
      <c r="BR191" s="101" t="s">
        <v>9150</v>
      </c>
      <c r="BS191" s="101" t="s">
        <v>9151</v>
      </c>
      <c r="BT191" s="101" t="s">
        <v>9163</v>
      </c>
      <c r="BU191" s="101" t="s">
        <v>9164</v>
      </c>
      <c r="BV191" s="101" t="s">
        <v>9154</v>
      </c>
      <c r="BW191" s="101" t="s">
        <v>9155</v>
      </c>
      <c r="BX191" s="101" t="s">
        <v>9165</v>
      </c>
      <c r="BY191" s="101" t="s">
        <v>9157</v>
      </c>
      <c r="BZ191" s="101" t="s">
        <v>9158</v>
      </c>
      <c r="CA191" s="101" t="s">
        <v>9166</v>
      </c>
      <c r="CB191" s="102" t="s">
        <v>9167</v>
      </c>
      <c r="CC191" s="100" t="s">
        <v>8763</v>
      </c>
      <c r="CD191" s="101" t="s">
        <v>8764</v>
      </c>
      <c r="CE191" s="101" t="s">
        <v>8765</v>
      </c>
      <c r="CF191" s="101" t="s">
        <v>8766</v>
      </c>
      <c r="CG191" s="101" t="s">
        <v>8767</v>
      </c>
      <c r="CH191" s="101" t="s">
        <v>8768</v>
      </c>
      <c r="CI191" s="101" t="s">
        <v>8769</v>
      </c>
      <c r="CJ191" s="101" t="s">
        <v>8770</v>
      </c>
      <c r="CK191" s="101" t="s">
        <v>8771</v>
      </c>
      <c r="CL191" s="101" t="s">
        <v>8772</v>
      </c>
      <c r="CM191" s="101" t="s">
        <v>8773</v>
      </c>
      <c r="CN191" s="101" t="s">
        <v>8774</v>
      </c>
      <c r="CO191" s="101" t="s">
        <v>8775</v>
      </c>
      <c r="CP191" s="101" t="s">
        <v>8776</v>
      </c>
      <c r="CQ191" s="101" t="s">
        <v>8777</v>
      </c>
      <c r="CR191" s="102" t="s">
        <v>8778</v>
      </c>
    </row>
    <row r="192">
      <c r="A192" s="103"/>
      <c r="B192" s="103"/>
      <c r="C192" s="103"/>
      <c r="D192" s="103"/>
      <c r="E192" s="103"/>
      <c r="F192" s="103"/>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1"/>
      <c r="AH192" s="101"/>
      <c r="AI192" s="101"/>
      <c r="AJ192" s="101"/>
      <c r="AK192" s="101"/>
      <c r="AL192" s="101"/>
      <c r="AM192" s="101"/>
      <c r="AN192" s="101"/>
      <c r="AO192" s="101"/>
      <c r="AP192" s="101"/>
      <c r="AQ192" s="101"/>
      <c r="AR192" s="101"/>
      <c r="AS192" s="101"/>
      <c r="AT192" s="101"/>
      <c r="AU192" s="101"/>
      <c r="AV192" s="106"/>
      <c r="AW192" s="100" t="s">
        <v>9168</v>
      </c>
      <c r="AX192" s="101" t="s">
        <v>9169</v>
      </c>
      <c r="AY192" s="101" t="s">
        <v>9170</v>
      </c>
      <c r="AZ192" s="101" t="s">
        <v>9171</v>
      </c>
      <c r="BA192" s="101" t="s">
        <v>9172</v>
      </c>
      <c r="BB192" s="101" t="s">
        <v>9173</v>
      </c>
      <c r="BC192" s="101" t="s">
        <v>9174</v>
      </c>
      <c r="BD192" s="101" t="s">
        <v>9175</v>
      </c>
      <c r="BE192" s="101" t="s">
        <v>9176</v>
      </c>
      <c r="BF192" s="101" t="s">
        <v>9177</v>
      </c>
      <c r="BG192" s="101" t="s">
        <v>9178</v>
      </c>
      <c r="BH192" s="101" t="s">
        <v>9179</v>
      </c>
      <c r="BI192" s="101" t="s">
        <v>9180</v>
      </c>
      <c r="BJ192" s="101" t="s">
        <v>9181</v>
      </c>
      <c r="BK192" s="101" t="s">
        <v>9182</v>
      </c>
      <c r="BL192" s="102" t="s">
        <v>9183</v>
      </c>
      <c r="BM192" s="100" t="s">
        <v>9168</v>
      </c>
      <c r="BN192" s="101" t="s">
        <v>9169</v>
      </c>
      <c r="BO192" s="101" t="s">
        <v>9170</v>
      </c>
      <c r="BP192" s="101" t="s">
        <v>9171</v>
      </c>
      <c r="BQ192" s="101" t="s">
        <v>9172</v>
      </c>
      <c r="BR192" s="101" t="s">
        <v>9184</v>
      </c>
      <c r="BS192" s="101" t="s">
        <v>9174</v>
      </c>
      <c r="BT192" s="101" t="s">
        <v>9185</v>
      </c>
      <c r="BU192" s="101" t="s">
        <v>9176</v>
      </c>
      <c r="BV192" s="101" t="s">
        <v>9186</v>
      </c>
      <c r="BW192" s="101" t="s">
        <v>9178</v>
      </c>
      <c r="BX192" s="101" t="s">
        <v>9187</v>
      </c>
      <c r="BY192" s="101" t="s">
        <v>9188</v>
      </c>
      <c r="BZ192" s="101" t="s">
        <v>9189</v>
      </c>
      <c r="CA192" s="101" t="s">
        <v>9190</v>
      </c>
      <c r="CB192" s="102" t="s">
        <v>9183</v>
      </c>
      <c r="CC192" s="100" t="s">
        <v>8803</v>
      </c>
      <c r="CD192" s="101" t="s">
        <v>8804</v>
      </c>
      <c r="CE192" s="101" t="s">
        <v>8805</v>
      </c>
      <c r="CF192" s="101" t="s">
        <v>8806</v>
      </c>
      <c r="CG192" s="101" t="s">
        <v>8807</v>
      </c>
      <c r="CH192" s="101" t="s">
        <v>8808</v>
      </c>
      <c r="CI192" s="101" t="s">
        <v>8809</v>
      </c>
      <c r="CJ192" s="101" t="s">
        <v>8810</v>
      </c>
      <c r="CK192" s="101" t="s">
        <v>8811</v>
      </c>
      <c r="CL192" s="101" t="s">
        <v>8812</v>
      </c>
      <c r="CM192" s="101" t="s">
        <v>8813</v>
      </c>
      <c r="CN192" s="101" t="s">
        <v>8814</v>
      </c>
      <c r="CO192" s="101" t="s">
        <v>8815</v>
      </c>
      <c r="CP192" s="101" t="s">
        <v>8816</v>
      </c>
      <c r="CQ192" s="101" t="s">
        <v>8817</v>
      </c>
      <c r="CR192" s="107"/>
    </row>
    <row r="193">
      <c r="A193" s="103"/>
      <c r="B193" s="103"/>
      <c r="C193" s="103"/>
      <c r="D193" s="103"/>
      <c r="E193" s="103"/>
      <c r="F193" s="103"/>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1"/>
      <c r="AH193" s="101"/>
      <c r="AI193" s="101"/>
      <c r="AJ193" s="101"/>
      <c r="AK193" s="101"/>
      <c r="AL193" s="101"/>
      <c r="AM193" s="101"/>
      <c r="AN193" s="101"/>
      <c r="AO193" s="101"/>
      <c r="AP193" s="101"/>
      <c r="AQ193" s="101"/>
      <c r="AR193" s="101"/>
      <c r="AS193" s="101"/>
      <c r="AT193" s="101"/>
      <c r="AU193" s="101"/>
      <c r="AV193" s="106"/>
      <c r="AW193" s="110" t="s">
        <v>9191</v>
      </c>
      <c r="AX193" s="111" t="s">
        <v>9192</v>
      </c>
      <c r="AY193" s="111" t="s">
        <v>9193</v>
      </c>
      <c r="AZ193" s="111" t="s">
        <v>9194</v>
      </c>
      <c r="BA193" s="111" t="s">
        <v>9195</v>
      </c>
      <c r="BB193" s="111" t="s">
        <v>9196</v>
      </c>
      <c r="BC193" s="111" t="s">
        <v>9197</v>
      </c>
      <c r="BD193" s="111" t="s">
        <v>9198</v>
      </c>
      <c r="BE193" s="111" t="s">
        <v>9199</v>
      </c>
      <c r="BF193" s="111" t="s">
        <v>9200</v>
      </c>
      <c r="BG193" s="111" t="s">
        <v>9201</v>
      </c>
      <c r="BH193" s="111" t="s">
        <v>9202</v>
      </c>
      <c r="BI193" s="111" t="s">
        <v>9203</v>
      </c>
      <c r="BJ193" s="111" t="s">
        <v>9204</v>
      </c>
      <c r="BK193" s="111" t="s">
        <v>9205</v>
      </c>
      <c r="BL193" s="112" t="s">
        <v>9206</v>
      </c>
      <c r="BM193" s="110" t="s">
        <v>9207</v>
      </c>
      <c r="BN193" s="111" t="s">
        <v>9192</v>
      </c>
      <c r="BO193" s="111" t="s">
        <v>9208</v>
      </c>
      <c r="BP193" s="111" t="s">
        <v>9194</v>
      </c>
      <c r="BQ193" s="111" t="s">
        <v>9209</v>
      </c>
      <c r="BR193" s="111" t="s">
        <v>9196</v>
      </c>
      <c r="BS193" s="111" t="s">
        <v>9210</v>
      </c>
      <c r="BT193" s="111" t="s">
        <v>9198</v>
      </c>
      <c r="BU193" s="111" t="s">
        <v>9199</v>
      </c>
      <c r="BV193" s="111" t="s">
        <v>9200</v>
      </c>
      <c r="BW193" s="111" t="s">
        <v>9211</v>
      </c>
      <c r="BX193" s="111" t="s">
        <v>9212</v>
      </c>
      <c r="BY193" s="111" t="s">
        <v>9213</v>
      </c>
      <c r="BZ193" s="111" t="s">
        <v>9214</v>
      </c>
      <c r="CA193" s="111" t="s">
        <v>9215</v>
      </c>
      <c r="CB193" s="112" t="s">
        <v>9206</v>
      </c>
      <c r="CC193" s="110"/>
      <c r="CD193" s="111"/>
      <c r="CE193" s="111"/>
      <c r="CF193" s="111"/>
      <c r="CG193" s="111"/>
      <c r="CH193" s="111"/>
      <c r="CI193" s="111"/>
      <c r="CJ193" s="111"/>
      <c r="CK193" s="111"/>
      <c r="CL193" s="111"/>
      <c r="CM193" s="111"/>
      <c r="CN193" s="111"/>
      <c r="CO193" s="111"/>
      <c r="CP193" s="111"/>
      <c r="CQ193" s="111"/>
      <c r="CR193" s="115"/>
    </row>
    <row r="194">
      <c r="A194" s="103"/>
      <c r="B194" s="103"/>
      <c r="C194" s="103"/>
      <c r="D194" s="103"/>
      <c r="E194" s="103"/>
      <c r="F194" s="103"/>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1"/>
      <c r="AH194" s="101"/>
      <c r="AI194" s="101"/>
      <c r="AJ194" s="101"/>
      <c r="AK194" s="101"/>
      <c r="AL194" s="101"/>
      <c r="AM194" s="101"/>
      <c r="AN194" s="101"/>
      <c r="AO194" s="101"/>
      <c r="AP194" s="101"/>
      <c r="AQ194" s="101"/>
      <c r="AR194" s="101"/>
      <c r="AS194" s="101"/>
      <c r="AT194" s="101"/>
      <c r="AU194" s="101"/>
      <c r="AV194" s="106"/>
      <c r="AW194" s="99" t="s">
        <v>9216</v>
      </c>
      <c r="AX194" s="97" t="s">
        <v>9217</v>
      </c>
      <c r="AY194" s="97" t="s">
        <v>9218</v>
      </c>
      <c r="AZ194" s="97" t="s">
        <v>9219</v>
      </c>
      <c r="BA194" s="97" t="s">
        <v>9220</v>
      </c>
      <c r="BB194" s="97" t="s">
        <v>9221</v>
      </c>
      <c r="BC194" s="97" t="s">
        <v>9222</v>
      </c>
      <c r="BD194" s="97" t="s">
        <v>9223</v>
      </c>
      <c r="BE194" s="97" t="s">
        <v>9224</v>
      </c>
      <c r="BF194" s="97" t="s">
        <v>9225</v>
      </c>
      <c r="BG194" s="97" t="s">
        <v>9226</v>
      </c>
      <c r="BH194" s="97" t="s">
        <v>9227</v>
      </c>
      <c r="BI194" s="97" t="s">
        <v>9228</v>
      </c>
      <c r="BJ194" s="97" t="s">
        <v>9229</v>
      </c>
      <c r="BK194" s="97" t="s">
        <v>9230</v>
      </c>
      <c r="BL194" s="98" t="s">
        <v>9231</v>
      </c>
      <c r="BM194" s="99" t="s">
        <v>9216</v>
      </c>
      <c r="BN194" s="97" t="s">
        <v>9217</v>
      </c>
      <c r="BO194" s="97" t="s">
        <v>9232</v>
      </c>
      <c r="BP194" s="97" t="s">
        <v>9219</v>
      </c>
      <c r="BQ194" s="97" t="s">
        <v>9220</v>
      </c>
      <c r="BR194" s="97" t="s">
        <v>9233</v>
      </c>
      <c r="BS194" s="97" t="s">
        <v>9222</v>
      </c>
      <c r="BT194" s="97" t="s">
        <v>9234</v>
      </c>
      <c r="BU194" s="97" t="s">
        <v>9235</v>
      </c>
      <c r="BV194" s="97" t="s">
        <v>9225</v>
      </c>
      <c r="BW194" s="97" t="s">
        <v>9226</v>
      </c>
      <c r="BX194" s="97" t="s">
        <v>9227</v>
      </c>
      <c r="BY194" s="97" t="s">
        <v>9228</v>
      </c>
      <c r="BZ194" s="97" t="s">
        <v>9236</v>
      </c>
      <c r="CA194" s="97" t="s">
        <v>9237</v>
      </c>
      <c r="CB194" s="98" t="s">
        <v>9238</v>
      </c>
      <c r="CC194" s="99" t="s">
        <v>2636</v>
      </c>
      <c r="CD194" s="97" t="s">
        <v>2637</v>
      </c>
      <c r="CE194" s="97" t="s">
        <v>2638</v>
      </c>
      <c r="CF194" s="97" t="s">
        <v>2639</v>
      </c>
      <c r="CG194" s="97" t="s">
        <v>2640</v>
      </c>
      <c r="CH194" s="97" t="s">
        <v>2641</v>
      </c>
      <c r="CI194" s="97" t="s">
        <v>2642</v>
      </c>
      <c r="CJ194" s="97" t="s">
        <v>2643</v>
      </c>
      <c r="CK194" s="97" t="s">
        <v>2644</v>
      </c>
      <c r="CL194" s="97" t="s">
        <v>2645</v>
      </c>
      <c r="CM194" s="97" t="s">
        <v>2646</v>
      </c>
      <c r="CN194" s="97" t="s">
        <v>2647</v>
      </c>
      <c r="CO194" s="97" t="s">
        <v>2648</v>
      </c>
      <c r="CP194" s="97" t="s">
        <v>2649</v>
      </c>
      <c r="CQ194" s="97" t="s">
        <v>2650</v>
      </c>
      <c r="CR194" s="98" t="s">
        <v>2683</v>
      </c>
    </row>
    <row r="195">
      <c r="A195" s="103"/>
      <c r="B195" s="103"/>
      <c r="C195" s="103"/>
      <c r="D195" s="103"/>
      <c r="E195" s="103"/>
      <c r="F195" s="103"/>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1"/>
      <c r="AH195" s="101"/>
      <c r="AI195" s="101"/>
      <c r="AJ195" s="101"/>
      <c r="AK195" s="101"/>
      <c r="AL195" s="101"/>
      <c r="AM195" s="101"/>
      <c r="AN195" s="101"/>
      <c r="AO195" s="101"/>
      <c r="AP195" s="101"/>
      <c r="AQ195" s="101"/>
      <c r="AR195" s="101"/>
      <c r="AS195" s="101"/>
      <c r="AT195" s="101"/>
      <c r="AU195" s="101"/>
      <c r="AV195" s="106"/>
      <c r="AW195" s="100" t="s">
        <v>9239</v>
      </c>
      <c r="AX195" s="101" t="s">
        <v>9240</v>
      </c>
      <c r="AY195" s="101" t="s">
        <v>9241</v>
      </c>
      <c r="AZ195" s="101" t="s">
        <v>9242</v>
      </c>
      <c r="BA195" s="101" t="s">
        <v>9243</v>
      </c>
      <c r="BB195" s="101" t="s">
        <v>9244</v>
      </c>
      <c r="BC195" s="101" t="s">
        <v>9245</v>
      </c>
      <c r="BD195" s="101" t="s">
        <v>9246</v>
      </c>
      <c r="BE195" s="101" t="s">
        <v>9247</v>
      </c>
      <c r="BF195" s="101" t="s">
        <v>9248</v>
      </c>
      <c r="BG195" s="101" t="s">
        <v>9249</v>
      </c>
      <c r="BH195" s="101" t="s">
        <v>9250</v>
      </c>
      <c r="BI195" s="101" t="s">
        <v>9251</v>
      </c>
      <c r="BJ195" s="101" t="s">
        <v>9252</v>
      </c>
      <c r="BK195" s="101" t="s">
        <v>9253</v>
      </c>
      <c r="BL195" s="102" t="s">
        <v>9254</v>
      </c>
      <c r="BM195" s="100" t="s">
        <v>9239</v>
      </c>
      <c r="BN195" s="101" t="s">
        <v>9240</v>
      </c>
      <c r="BO195" s="101" t="s">
        <v>9255</v>
      </c>
      <c r="BP195" s="101" t="s">
        <v>9256</v>
      </c>
      <c r="BQ195" s="101" t="s">
        <v>9257</v>
      </c>
      <c r="BR195" s="101" t="s">
        <v>9258</v>
      </c>
      <c r="BS195" s="101" t="s">
        <v>9245</v>
      </c>
      <c r="BT195" s="101" t="s">
        <v>9259</v>
      </c>
      <c r="BU195" s="101" t="s">
        <v>9260</v>
      </c>
      <c r="BV195" s="101" t="s">
        <v>9248</v>
      </c>
      <c r="BW195" s="101" t="s">
        <v>9249</v>
      </c>
      <c r="BX195" s="101" t="s">
        <v>9250</v>
      </c>
      <c r="BY195" s="101" t="s">
        <v>9251</v>
      </c>
      <c r="BZ195" s="101" t="s">
        <v>9252</v>
      </c>
      <c r="CA195" s="101" t="s">
        <v>9261</v>
      </c>
      <c r="CB195" s="102" t="s">
        <v>9262</v>
      </c>
      <c r="CC195" s="100" t="s">
        <v>2684</v>
      </c>
      <c r="CD195" s="101" t="s">
        <v>2685</v>
      </c>
      <c r="CE195" s="101" t="s">
        <v>2686</v>
      </c>
      <c r="CF195" s="101"/>
      <c r="CG195" s="101"/>
      <c r="CH195" s="101"/>
      <c r="CI195" s="101"/>
      <c r="CJ195" s="101"/>
      <c r="CK195" s="101"/>
      <c r="CL195" s="101"/>
      <c r="CM195" s="101"/>
      <c r="CN195" s="101"/>
      <c r="CO195" s="101"/>
      <c r="CP195" s="101"/>
      <c r="CQ195" s="101"/>
      <c r="CR195" s="102"/>
    </row>
    <row r="196">
      <c r="A196" s="103"/>
      <c r="B196" s="103"/>
      <c r="C196" s="103"/>
      <c r="D196" s="103"/>
      <c r="E196" s="103"/>
      <c r="F196" s="103"/>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1"/>
      <c r="AH196" s="101"/>
      <c r="AI196" s="101"/>
      <c r="AJ196" s="101"/>
      <c r="AK196" s="101"/>
      <c r="AL196" s="101"/>
      <c r="AM196" s="101"/>
      <c r="AN196" s="101"/>
      <c r="AO196" s="101"/>
      <c r="AP196" s="101"/>
      <c r="AQ196" s="101"/>
      <c r="AR196" s="101"/>
      <c r="AS196" s="101"/>
      <c r="AT196" s="101"/>
      <c r="AU196" s="101"/>
      <c r="AV196" s="106"/>
      <c r="AW196" s="100" t="s">
        <v>9263</v>
      </c>
      <c r="AX196" s="101" t="s">
        <v>9264</v>
      </c>
      <c r="AY196" s="101" t="s">
        <v>9265</v>
      </c>
      <c r="AZ196" s="101" t="s">
        <v>9266</v>
      </c>
      <c r="BA196" s="101" t="s">
        <v>9267</v>
      </c>
      <c r="BB196" s="101" t="s">
        <v>9268</v>
      </c>
      <c r="BC196" s="101" t="s">
        <v>9269</v>
      </c>
      <c r="BD196" s="101" t="s">
        <v>9270</v>
      </c>
      <c r="BE196" s="101" t="s">
        <v>9271</v>
      </c>
      <c r="BF196" s="101" t="s">
        <v>9272</v>
      </c>
      <c r="BG196" s="101" t="s">
        <v>9273</v>
      </c>
      <c r="BH196" s="101" t="s">
        <v>9274</v>
      </c>
      <c r="BI196" s="101" t="s">
        <v>9275</v>
      </c>
      <c r="BJ196" s="101" t="s">
        <v>9276</v>
      </c>
      <c r="BK196" s="101" t="s">
        <v>9277</v>
      </c>
      <c r="BL196" s="102" t="s">
        <v>9278</v>
      </c>
      <c r="BM196" s="100" t="s">
        <v>9263</v>
      </c>
      <c r="BN196" s="101" t="s">
        <v>9279</v>
      </c>
      <c r="BO196" s="101" t="s">
        <v>9280</v>
      </c>
      <c r="BP196" s="101" t="s">
        <v>9266</v>
      </c>
      <c r="BQ196" s="101" t="s">
        <v>9267</v>
      </c>
      <c r="BR196" s="101" t="s">
        <v>9268</v>
      </c>
      <c r="BS196" s="101" t="s">
        <v>9281</v>
      </c>
      <c r="BT196" s="101" t="s">
        <v>9282</v>
      </c>
      <c r="BU196" s="101" t="s">
        <v>9271</v>
      </c>
      <c r="BV196" s="101" t="s">
        <v>9272</v>
      </c>
      <c r="BW196" s="101" t="s">
        <v>9283</v>
      </c>
      <c r="BX196" s="101" t="s">
        <v>9284</v>
      </c>
      <c r="BY196" s="101" t="s">
        <v>9285</v>
      </c>
      <c r="BZ196" s="101" t="s">
        <v>9286</v>
      </c>
      <c r="CA196" s="101" t="s">
        <v>9277</v>
      </c>
      <c r="CB196" s="102" t="s">
        <v>9278</v>
      </c>
      <c r="CC196" s="100" t="s">
        <v>2719</v>
      </c>
      <c r="CD196" s="101" t="s">
        <v>2720</v>
      </c>
      <c r="CE196" s="101" t="s">
        <v>2721</v>
      </c>
      <c r="CF196" s="101" t="s">
        <v>2722</v>
      </c>
      <c r="CG196" s="101" t="s">
        <v>2723</v>
      </c>
      <c r="CH196" s="101" t="s">
        <v>2724</v>
      </c>
      <c r="CI196" s="101" t="s">
        <v>2725</v>
      </c>
      <c r="CJ196" s="101" t="s">
        <v>2726</v>
      </c>
      <c r="CK196" s="101" t="s">
        <v>2727</v>
      </c>
      <c r="CL196" s="101" t="s">
        <v>2728</v>
      </c>
      <c r="CM196" s="101" t="s">
        <v>2729</v>
      </c>
      <c r="CN196" s="101" t="s">
        <v>2730</v>
      </c>
      <c r="CO196" s="101" t="s">
        <v>2731</v>
      </c>
      <c r="CP196" s="101" t="s">
        <v>2732</v>
      </c>
      <c r="CQ196" s="101" t="s">
        <v>2733</v>
      </c>
      <c r="CR196" s="102" t="s">
        <v>2734</v>
      </c>
    </row>
    <row r="197">
      <c r="A197" s="103"/>
      <c r="B197" s="103"/>
      <c r="C197" s="103"/>
      <c r="D197" s="103"/>
      <c r="E197" s="103"/>
      <c r="F197" s="103"/>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1"/>
      <c r="AH197" s="101"/>
      <c r="AI197" s="101"/>
      <c r="AJ197" s="101"/>
      <c r="AK197" s="101"/>
      <c r="AL197" s="101"/>
      <c r="AM197" s="101"/>
      <c r="AN197" s="101"/>
      <c r="AO197" s="101"/>
      <c r="AP197" s="101"/>
      <c r="AQ197" s="101"/>
      <c r="AR197" s="101"/>
      <c r="AS197" s="101"/>
      <c r="AT197" s="101"/>
      <c r="AU197" s="101"/>
      <c r="AV197" s="106"/>
      <c r="AW197" s="100" t="s">
        <v>9287</v>
      </c>
      <c r="AX197" s="101" t="s">
        <v>9288</v>
      </c>
      <c r="AY197" s="101" t="s">
        <v>9289</v>
      </c>
      <c r="AZ197" s="101" t="s">
        <v>9290</v>
      </c>
      <c r="BA197" s="101" t="s">
        <v>9291</v>
      </c>
      <c r="BB197" s="101" t="s">
        <v>9292</v>
      </c>
      <c r="BC197" s="101" t="s">
        <v>9293</v>
      </c>
      <c r="BD197" s="101" t="s">
        <v>9294</v>
      </c>
      <c r="BE197" s="101" t="s">
        <v>9295</v>
      </c>
      <c r="BF197" s="101" t="s">
        <v>9296</v>
      </c>
      <c r="BG197" s="101" t="s">
        <v>9297</v>
      </c>
      <c r="BH197" s="101" t="s">
        <v>9298</v>
      </c>
      <c r="BI197" s="101" t="s">
        <v>9299</v>
      </c>
      <c r="BJ197" s="101" t="s">
        <v>9300</v>
      </c>
      <c r="BK197" s="101" t="s">
        <v>9301</v>
      </c>
      <c r="BL197" s="102" t="s">
        <v>9302</v>
      </c>
      <c r="BM197" s="100" t="s">
        <v>9287</v>
      </c>
      <c r="BN197" s="101" t="s">
        <v>9288</v>
      </c>
      <c r="BO197" s="101" t="s">
        <v>9289</v>
      </c>
      <c r="BP197" s="101" t="s">
        <v>9290</v>
      </c>
      <c r="BQ197" s="101" t="s">
        <v>9303</v>
      </c>
      <c r="BR197" s="101" t="s">
        <v>9292</v>
      </c>
      <c r="BS197" s="101" t="s">
        <v>9293</v>
      </c>
      <c r="BT197" s="101" t="s">
        <v>9294</v>
      </c>
      <c r="BU197" s="101" t="s">
        <v>9304</v>
      </c>
      <c r="BV197" s="101" t="s">
        <v>9305</v>
      </c>
      <c r="BW197" s="101" t="s">
        <v>9306</v>
      </c>
      <c r="BX197" s="101" t="s">
        <v>9298</v>
      </c>
      <c r="BY197" s="101" t="s">
        <v>9307</v>
      </c>
      <c r="BZ197" s="101" t="s">
        <v>9300</v>
      </c>
      <c r="CA197" s="101" t="s">
        <v>9308</v>
      </c>
      <c r="CB197" s="102" t="s">
        <v>9302</v>
      </c>
      <c r="CC197" s="100" t="s">
        <v>2759</v>
      </c>
      <c r="CD197" s="101" t="s">
        <v>2760</v>
      </c>
      <c r="CE197" s="101" t="s">
        <v>2761</v>
      </c>
      <c r="CF197" s="101" t="s">
        <v>2762</v>
      </c>
      <c r="CG197" s="101" t="s">
        <v>2763</v>
      </c>
      <c r="CH197" s="101"/>
      <c r="CI197" s="101"/>
      <c r="CJ197" s="101"/>
      <c r="CK197" s="101"/>
      <c r="CL197" s="101"/>
      <c r="CM197" s="101"/>
      <c r="CN197" s="101"/>
      <c r="CO197" s="101"/>
      <c r="CP197" s="101"/>
      <c r="CQ197" s="101"/>
      <c r="CR197" s="102"/>
    </row>
    <row r="198">
      <c r="A198" s="103"/>
      <c r="B198" s="103"/>
      <c r="C198" s="103"/>
      <c r="D198" s="103"/>
      <c r="E198" s="103"/>
      <c r="F198" s="103"/>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1"/>
      <c r="AH198" s="101"/>
      <c r="AI198" s="101"/>
      <c r="AJ198" s="101"/>
      <c r="AK198" s="101"/>
      <c r="AL198" s="101"/>
      <c r="AM198" s="101"/>
      <c r="AN198" s="101"/>
      <c r="AO198" s="101"/>
      <c r="AP198" s="101"/>
      <c r="AQ198" s="101"/>
      <c r="AR198" s="101"/>
      <c r="AS198" s="101"/>
      <c r="AT198" s="101"/>
      <c r="AU198" s="101"/>
      <c r="AV198" s="106"/>
      <c r="AW198" s="100" t="s">
        <v>9309</v>
      </c>
      <c r="AX198" s="101" t="s">
        <v>9310</v>
      </c>
      <c r="AY198" s="101" t="s">
        <v>9311</v>
      </c>
      <c r="AZ198" s="101" t="s">
        <v>9312</v>
      </c>
      <c r="BA198" s="101" t="s">
        <v>9313</v>
      </c>
      <c r="BB198" s="101" t="s">
        <v>9314</v>
      </c>
      <c r="BC198" s="101" t="s">
        <v>9315</v>
      </c>
      <c r="BD198" s="101" t="s">
        <v>9316</v>
      </c>
      <c r="BE198" s="101" t="s">
        <v>9317</v>
      </c>
      <c r="BF198" s="101" t="s">
        <v>9318</v>
      </c>
      <c r="BG198" s="101" t="s">
        <v>9319</v>
      </c>
      <c r="BH198" s="101" t="s">
        <v>9320</v>
      </c>
      <c r="BI198" s="101" t="s">
        <v>9321</v>
      </c>
      <c r="BJ198" s="101" t="s">
        <v>9322</v>
      </c>
      <c r="BK198" s="101" t="s">
        <v>9323</v>
      </c>
      <c r="BL198" s="102" t="s">
        <v>9324</v>
      </c>
      <c r="BM198" s="100" t="s">
        <v>9325</v>
      </c>
      <c r="BN198" s="101" t="s">
        <v>9310</v>
      </c>
      <c r="BO198" s="101" t="s">
        <v>9311</v>
      </c>
      <c r="BP198" s="101" t="s">
        <v>9312</v>
      </c>
      <c r="BQ198" s="101" t="s">
        <v>9326</v>
      </c>
      <c r="BR198" s="101" t="s">
        <v>9327</v>
      </c>
      <c r="BS198" s="101" t="s">
        <v>9315</v>
      </c>
      <c r="BT198" s="101" t="s">
        <v>9316</v>
      </c>
      <c r="BU198" s="101" t="s">
        <v>9317</v>
      </c>
      <c r="BV198" s="101" t="s">
        <v>9328</v>
      </c>
      <c r="BW198" s="101" t="s">
        <v>9319</v>
      </c>
      <c r="BX198" s="101" t="s">
        <v>9329</v>
      </c>
      <c r="BY198" s="101" t="s">
        <v>9330</v>
      </c>
      <c r="BZ198" s="101" t="s">
        <v>9322</v>
      </c>
      <c r="CA198" s="101" t="s">
        <v>9331</v>
      </c>
      <c r="CB198" s="102" t="s">
        <v>9332</v>
      </c>
      <c r="CC198" s="100"/>
      <c r="CD198" s="101"/>
      <c r="CE198" s="101"/>
      <c r="CF198" s="101"/>
      <c r="CG198" s="101"/>
      <c r="CH198" s="101"/>
      <c r="CI198" s="101"/>
      <c r="CJ198" s="101"/>
      <c r="CK198" s="101"/>
      <c r="CL198" s="101"/>
      <c r="CM198" s="101"/>
      <c r="CN198" s="101"/>
      <c r="CO198" s="101"/>
      <c r="CP198" s="101"/>
      <c r="CQ198" s="101"/>
      <c r="CR198" s="102"/>
    </row>
    <row r="199">
      <c r="A199" s="103"/>
      <c r="B199" s="103"/>
      <c r="C199" s="103"/>
      <c r="D199" s="103"/>
      <c r="E199" s="103"/>
      <c r="F199" s="103"/>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1"/>
      <c r="AH199" s="101"/>
      <c r="AI199" s="101"/>
      <c r="AJ199" s="101"/>
      <c r="AK199" s="101"/>
      <c r="AL199" s="101"/>
      <c r="AM199" s="101"/>
      <c r="AN199" s="101"/>
      <c r="AO199" s="101"/>
      <c r="AP199" s="101"/>
      <c r="AQ199" s="101"/>
      <c r="AR199" s="101"/>
      <c r="AS199" s="101"/>
      <c r="AT199" s="101"/>
      <c r="AU199" s="101"/>
      <c r="AV199" s="106"/>
      <c r="AW199" s="100" t="s">
        <v>9333</v>
      </c>
      <c r="AX199" s="101" t="s">
        <v>9334</v>
      </c>
      <c r="AY199" s="101" t="s">
        <v>9335</v>
      </c>
      <c r="AZ199" s="101" t="s">
        <v>9336</v>
      </c>
      <c r="BA199" s="101" t="s">
        <v>9337</v>
      </c>
      <c r="BB199" s="101" t="s">
        <v>9338</v>
      </c>
      <c r="BC199" s="101" t="s">
        <v>9339</v>
      </c>
      <c r="BD199" s="101" t="s">
        <v>9340</v>
      </c>
      <c r="BE199" s="101" t="s">
        <v>9341</v>
      </c>
      <c r="BF199" s="101" t="s">
        <v>9342</v>
      </c>
      <c r="BG199" s="101" t="s">
        <v>9343</v>
      </c>
      <c r="BH199" s="101" t="s">
        <v>9344</v>
      </c>
      <c r="BI199" s="101" t="s">
        <v>9345</v>
      </c>
      <c r="BJ199" s="101" t="s">
        <v>9346</v>
      </c>
      <c r="BK199" s="101" t="s">
        <v>9347</v>
      </c>
      <c r="BL199" s="102" t="s">
        <v>9348</v>
      </c>
      <c r="BM199" s="100" t="s">
        <v>9333</v>
      </c>
      <c r="BN199" s="101" t="s">
        <v>9349</v>
      </c>
      <c r="BO199" s="101" t="s">
        <v>9350</v>
      </c>
      <c r="BP199" s="101" t="s">
        <v>9351</v>
      </c>
      <c r="BQ199" s="101" t="s">
        <v>9352</v>
      </c>
      <c r="BR199" s="101" t="s">
        <v>9353</v>
      </c>
      <c r="BS199" s="101" t="s">
        <v>9354</v>
      </c>
      <c r="BT199" s="101" t="s">
        <v>9355</v>
      </c>
      <c r="BU199" s="101" t="s">
        <v>9341</v>
      </c>
      <c r="BV199" s="101" t="s">
        <v>9356</v>
      </c>
      <c r="BW199" s="101" t="s">
        <v>9343</v>
      </c>
      <c r="BX199" s="101" t="s">
        <v>9357</v>
      </c>
      <c r="BY199" s="101" t="s">
        <v>9345</v>
      </c>
      <c r="BZ199" s="101" t="s">
        <v>9358</v>
      </c>
      <c r="CA199" s="101" t="s">
        <v>9359</v>
      </c>
      <c r="CB199" s="102" t="s">
        <v>9360</v>
      </c>
      <c r="CC199" s="100"/>
      <c r="CD199" s="101"/>
      <c r="CE199" s="101"/>
      <c r="CF199" s="101"/>
      <c r="CG199" s="101"/>
      <c r="CH199" s="101"/>
      <c r="CI199" s="101"/>
      <c r="CJ199" s="101"/>
      <c r="CK199" s="101"/>
      <c r="CL199" s="101"/>
      <c r="CM199" s="101"/>
      <c r="CN199" s="101"/>
      <c r="CO199" s="101"/>
      <c r="CP199" s="101"/>
      <c r="CQ199" s="101"/>
      <c r="CR199" s="102"/>
    </row>
    <row r="200">
      <c r="A200" s="103"/>
      <c r="B200" s="103"/>
      <c r="C200" s="103"/>
      <c r="D200" s="103"/>
      <c r="E200" s="103"/>
      <c r="F200" s="103"/>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1"/>
      <c r="AH200" s="101"/>
      <c r="AI200" s="101"/>
      <c r="AJ200" s="101"/>
      <c r="AK200" s="101"/>
      <c r="AL200" s="101"/>
      <c r="AM200" s="101"/>
      <c r="AN200" s="101"/>
      <c r="AO200" s="101"/>
      <c r="AP200" s="101"/>
      <c r="AQ200" s="101"/>
      <c r="AR200" s="101"/>
      <c r="AS200" s="101"/>
      <c r="AT200" s="101"/>
      <c r="AU200" s="101"/>
      <c r="AV200" s="106"/>
      <c r="AW200" s="100" t="s">
        <v>9361</v>
      </c>
      <c r="AX200" s="101" t="s">
        <v>9362</v>
      </c>
      <c r="AY200" s="101" t="s">
        <v>9363</v>
      </c>
      <c r="AZ200" s="101" t="s">
        <v>9364</v>
      </c>
      <c r="BA200" s="101" t="s">
        <v>9365</v>
      </c>
      <c r="BB200" s="101" t="s">
        <v>9366</v>
      </c>
      <c r="BC200" s="101" t="s">
        <v>9367</v>
      </c>
      <c r="BD200" s="101" t="s">
        <v>9368</v>
      </c>
      <c r="BE200" s="101" t="s">
        <v>9369</v>
      </c>
      <c r="BF200" s="101" t="s">
        <v>9370</v>
      </c>
      <c r="BG200" s="101" t="s">
        <v>9371</v>
      </c>
      <c r="BH200" s="101" t="s">
        <v>9372</v>
      </c>
      <c r="BI200" s="101" t="s">
        <v>9373</v>
      </c>
      <c r="BJ200" s="101" t="s">
        <v>9374</v>
      </c>
      <c r="BK200" s="101" t="s">
        <v>9375</v>
      </c>
      <c r="BL200" s="102" t="s">
        <v>9376</v>
      </c>
      <c r="BM200" s="100" t="s">
        <v>9361</v>
      </c>
      <c r="BN200" s="101" t="s">
        <v>9377</v>
      </c>
      <c r="BO200" s="101" t="s">
        <v>9378</v>
      </c>
      <c r="BP200" s="101" t="s">
        <v>9379</v>
      </c>
      <c r="BQ200" s="101" t="s">
        <v>9365</v>
      </c>
      <c r="BR200" s="101" t="s">
        <v>9366</v>
      </c>
      <c r="BS200" s="101" t="s">
        <v>9380</v>
      </c>
      <c r="BT200" s="101" t="s">
        <v>9368</v>
      </c>
      <c r="BU200" s="101" t="s">
        <v>9369</v>
      </c>
      <c r="BV200" s="101" t="s">
        <v>9381</v>
      </c>
      <c r="BW200" s="101" t="s">
        <v>9382</v>
      </c>
      <c r="BX200" s="101" t="s">
        <v>9383</v>
      </c>
      <c r="BY200" s="101" t="s">
        <v>9384</v>
      </c>
      <c r="BZ200" s="101" t="s">
        <v>9385</v>
      </c>
      <c r="CA200" s="101" t="s">
        <v>9386</v>
      </c>
      <c r="CB200" s="102" t="s">
        <v>9387</v>
      </c>
      <c r="CC200" s="100"/>
      <c r="CD200" s="101"/>
      <c r="CE200" s="101"/>
      <c r="CF200" s="101"/>
      <c r="CG200" s="101"/>
      <c r="CH200" s="101"/>
      <c r="CI200" s="101"/>
      <c r="CJ200" s="101"/>
      <c r="CK200" s="101"/>
      <c r="CL200" s="101"/>
      <c r="CM200" s="101"/>
      <c r="CN200" s="101"/>
      <c r="CO200" s="101"/>
      <c r="CP200" s="101"/>
      <c r="CQ200" s="101"/>
      <c r="CR200" s="102"/>
    </row>
    <row r="201">
      <c r="A201" s="103"/>
      <c r="B201" s="103"/>
      <c r="C201" s="103"/>
      <c r="D201" s="103"/>
      <c r="E201" s="103"/>
      <c r="F201" s="103"/>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1"/>
      <c r="AH201" s="101"/>
      <c r="AI201" s="101"/>
      <c r="AJ201" s="101"/>
      <c r="AK201" s="101"/>
      <c r="AL201" s="101"/>
      <c r="AM201" s="101"/>
      <c r="AN201" s="101"/>
      <c r="AO201" s="101"/>
      <c r="AP201" s="101"/>
      <c r="AQ201" s="101"/>
      <c r="AR201" s="101"/>
      <c r="AS201" s="101"/>
      <c r="AT201" s="101"/>
      <c r="AU201" s="101"/>
      <c r="AV201" s="106"/>
      <c r="AW201" s="100" t="s">
        <v>9388</v>
      </c>
      <c r="AX201" s="101" t="s">
        <v>9389</v>
      </c>
      <c r="AY201" s="101" t="s">
        <v>9390</v>
      </c>
      <c r="AZ201" s="101" t="s">
        <v>9391</v>
      </c>
      <c r="BA201" s="101" t="s">
        <v>9392</v>
      </c>
      <c r="BB201" s="101" t="s">
        <v>9393</v>
      </c>
      <c r="BC201" s="101" t="s">
        <v>9394</v>
      </c>
      <c r="BD201" s="101" t="s">
        <v>9395</v>
      </c>
      <c r="BE201" s="101" t="s">
        <v>9396</v>
      </c>
      <c r="BF201" s="101" t="s">
        <v>9397</v>
      </c>
      <c r="BG201" s="101" t="s">
        <v>9398</v>
      </c>
      <c r="BH201" s="101" t="s">
        <v>9399</v>
      </c>
      <c r="BI201" s="101" t="s">
        <v>9400</v>
      </c>
      <c r="BJ201" s="101" t="s">
        <v>9401</v>
      </c>
      <c r="BK201" s="101" t="s">
        <v>9402</v>
      </c>
      <c r="BL201" s="102" t="s">
        <v>9403</v>
      </c>
      <c r="BM201" s="100" t="s">
        <v>9404</v>
      </c>
      <c r="BN201" s="101" t="s">
        <v>9405</v>
      </c>
      <c r="BO201" s="101" t="s">
        <v>9406</v>
      </c>
      <c r="BP201" s="101" t="s">
        <v>9407</v>
      </c>
      <c r="BQ201" s="101" t="s">
        <v>9408</v>
      </c>
      <c r="BR201" s="101" t="s">
        <v>9393</v>
      </c>
      <c r="BS201" s="101" t="s">
        <v>9409</v>
      </c>
      <c r="BT201" s="101" t="s">
        <v>9395</v>
      </c>
      <c r="BU201" s="101" t="s">
        <v>9410</v>
      </c>
      <c r="BV201" s="101" t="s">
        <v>9411</v>
      </c>
      <c r="BW201" s="101" t="s">
        <v>9398</v>
      </c>
      <c r="BX201" s="101" t="s">
        <v>9412</v>
      </c>
      <c r="BY201" s="101" t="s">
        <v>9400</v>
      </c>
      <c r="BZ201" s="101" t="s">
        <v>9401</v>
      </c>
      <c r="CA201" s="101" t="s">
        <v>9413</v>
      </c>
      <c r="CB201" s="102" t="s">
        <v>9403</v>
      </c>
      <c r="CC201" s="100"/>
      <c r="CD201" s="101"/>
      <c r="CE201" s="101"/>
      <c r="CF201" s="101"/>
      <c r="CG201" s="101"/>
      <c r="CH201" s="101"/>
      <c r="CI201" s="101"/>
      <c r="CJ201" s="101"/>
      <c r="CK201" s="101"/>
      <c r="CL201" s="101"/>
      <c r="CM201" s="101"/>
      <c r="CN201" s="101"/>
      <c r="CO201" s="101"/>
      <c r="CP201" s="101"/>
      <c r="CQ201" s="101"/>
      <c r="CR201" s="102"/>
    </row>
    <row r="202">
      <c r="A202" s="103"/>
      <c r="B202" s="103"/>
      <c r="C202" s="103"/>
      <c r="D202" s="103"/>
      <c r="E202" s="103"/>
      <c r="F202" s="103"/>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1"/>
      <c r="AH202" s="101"/>
      <c r="AI202" s="101"/>
      <c r="AJ202" s="101"/>
      <c r="AK202" s="101"/>
      <c r="AL202" s="101"/>
      <c r="AM202" s="101"/>
      <c r="AN202" s="101"/>
      <c r="AO202" s="101"/>
      <c r="AP202" s="101"/>
      <c r="AQ202" s="101"/>
      <c r="AR202" s="101"/>
      <c r="AS202" s="101"/>
      <c r="AT202" s="101"/>
      <c r="AU202" s="101"/>
      <c r="AV202" s="106"/>
      <c r="AW202" s="100" t="s">
        <v>9414</v>
      </c>
      <c r="AX202" s="101" t="s">
        <v>9415</v>
      </c>
      <c r="AY202" s="101" t="s">
        <v>9416</v>
      </c>
      <c r="AZ202" s="101" t="s">
        <v>9417</v>
      </c>
      <c r="BA202" s="101" t="s">
        <v>9418</v>
      </c>
      <c r="BB202" s="101" t="s">
        <v>9419</v>
      </c>
      <c r="BC202" s="101" t="s">
        <v>9420</v>
      </c>
      <c r="BD202" s="101" t="s">
        <v>9421</v>
      </c>
      <c r="BE202" s="101" t="s">
        <v>9422</v>
      </c>
      <c r="BF202" s="101" t="s">
        <v>9423</v>
      </c>
      <c r="BG202" s="101" t="s">
        <v>9424</v>
      </c>
      <c r="BH202" s="101" t="s">
        <v>9425</v>
      </c>
      <c r="BI202" s="101" t="s">
        <v>9426</v>
      </c>
      <c r="BJ202" s="101" t="s">
        <v>9427</v>
      </c>
      <c r="BK202" s="101" t="s">
        <v>9428</v>
      </c>
      <c r="BL202" s="102" t="s">
        <v>9429</v>
      </c>
      <c r="BM202" s="100" t="s">
        <v>9430</v>
      </c>
      <c r="BN202" s="101" t="s">
        <v>9431</v>
      </c>
      <c r="BO202" s="101" t="s">
        <v>9432</v>
      </c>
      <c r="BP202" s="101" t="s">
        <v>9433</v>
      </c>
      <c r="BQ202" s="101" t="s">
        <v>9418</v>
      </c>
      <c r="BR202" s="101" t="s">
        <v>9434</v>
      </c>
      <c r="BS202" s="101" t="s">
        <v>9420</v>
      </c>
      <c r="BT202" s="101" t="s">
        <v>9435</v>
      </c>
      <c r="BU202" s="101" t="s">
        <v>9436</v>
      </c>
      <c r="BV202" s="101" t="s">
        <v>9437</v>
      </c>
      <c r="BW202" s="101" t="s">
        <v>9438</v>
      </c>
      <c r="BX202" s="101" t="s">
        <v>9425</v>
      </c>
      <c r="BY202" s="101" t="s">
        <v>9439</v>
      </c>
      <c r="BZ202" s="101" t="s">
        <v>9440</v>
      </c>
      <c r="CA202" s="101" t="s">
        <v>9428</v>
      </c>
      <c r="CB202" s="102" t="s">
        <v>9441</v>
      </c>
      <c r="CC202" s="100"/>
      <c r="CD202" s="101"/>
      <c r="CE202" s="101"/>
      <c r="CF202" s="101"/>
      <c r="CG202" s="101"/>
      <c r="CH202" s="101"/>
      <c r="CI202" s="101"/>
      <c r="CJ202" s="101"/>
      <c r="CK202" s="101"/>
      <c r="CL202" s="101"/>
      <c r="CM202" s="101"/>
      <c r="CN202" s="101"/>
      <c r="CO202" s="101"/>
      <c r="CP202" s="101"/>
      <c r="CQ202" s="101"/>
      <c r="CR202" s="102"/>
    </row>
    <row r="203">
      <c r="A203" s="103"/>
      <c r="B203" s="103"/>
      <c r="C203" s="103"/>
      <c r="D203" s="103"/>
      <c r="E203" s="103"/>
      <c r="F203" s="103"/>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1"/>
      <c r="AH203" s="101"/>
      <c r="AI203" s="101"/>
      <c r="AJ203" s="101"/>
      <c r="AK203" s="101"/>
      <c r="AL203" s="101"/>
      <c r="AM203" s="101"/>
      <c r="AN203" s="101"/>
      <c r="AO203" s="101"/>
      <c r="AP203" s="101"/>
      <c r="AQ203" s="101"/>
      <c r="AR203" s="101"/>
      <c r="AS203" s="101"/>
      <c r="AT203" s="101"/>
      <c r="AU203" s="101"/>
      <c r="AV203" s="106"/>
      <c r="AW203" s="100" t="s">
        <v>9442</v>
      </c>
      <c r="AX203" s="101" t="s">
        <v>9443</v>
      </c>
      <c r="AY203" s="101" t="s">
        <v>9444</v>
      </c>
      <c r="AZ203" s="101" t="s">
        <v>9445</v>
      </c>
      <c r="BA203" s="101" t="s">
        <v>9446</v>
      </c>
      <c r="BB203" s="101" t="s">
        <v>9447</v>
      </c>
      <c r="BC203" s="101" t="s">
        <v>9448</v>
      </c>
      <c r="BD203" s="101" t="s">
        <v>9449</v>
      </c>
      <c r="BE203" s="101" t="s">
        <v>9450</v>
      </c>
      <c r="BF203" s="101" t="s">
        <v>9451</v>
      </c>
      <c r="BG203" s="101" t="s">
        <v>9452</v>
      </c>
      <c r="BH203" s="101" t="s">
        <v>9453</v>
      </c>
      <c r="BI203" s="101" t="s">
        <v>9454</v>
      </c>
      <c r="BJ203" s="101" t="s">
        <v>9455</v>
      </c>
      <c r="BK203" s="101" t="s">
        <v>9456</v>
      </c>
      <c r="BL203" s="102" t="s">
        <v>9457</v>
      </c>
      <c r="BM203" s="100" t="s">
        <v>9458</v>
      </c>
      <c r="BN203" s="101" t="s">
        <v>9459</v>
      </c>
      <c r="BO203" s="101" t="s">
        <v>9460</v>
      </c>
      <c r="BP203" s="101" t="s">
        <v>9461</v>
      </c>
      <c r="BQ203" s="101" t="s">
        <v>9462</v>
      </c>
      <c r="BR203" s="101" t="s">
        <v>9447</v>
      </c>
      <c r="BS203" s="101" t="s">
        <v>9463</v>
      </c>
      <c r="BT203" s="101" t="s">
        <v>9449</v>
      </c>
      <c r="BU203" s="101" t="s">
        <v>9464</v>
      </c>
      <c r="BV203" s="101" t="s">
        <v>9465</v>
      </c>
      <c r="BW203" s="101" t="s">
        <v>9452</v>
      </c>
      <c r="BX203" s="101" t="s">
        <v>9466</v>
      </c>
      <c r="BY203" s="101" t="s">
        <v>9454</v>
      </c>
      <c r="BZ203" s="101" t="s">
        <v>9467</v>
      </c>
      <c r="CA203" s="101" t="s">
        <v>9468</v>
      </c>
      <c r="CB203" s="102" t="s">
        <v>9469</v>
      </c>
      <c r="CC203" s="100"/>
      <c r="CD203" s="101"/>
      <c r="CE203" s="101"/>
      <c r="CF203" s="101"/>
      <c r="CG203" s="101"/>
      <c r="CH203" s="101"/>
      <c r="CI203" s="101"/>
      <c r="CJ203" s="101"/>
      <c r="CK203" s="101"/>
      <c r="CL203" s="101"/>
      <c r="CM203" s="101"/>
      <c r="CN203" s="101"/>
      <c r="CO203" s="101"/>
      <c r="CP203" s="101"/>
      <c r="CQ203" s="101"/>
      <c r="CR203" s="102"/>
    </row>
    <row r="204">
      <c r="A204" s="103"/>
      <c r="B204" s="103"/>
      <c r="C204" s="103"/>
      <c r="D204" s="103"/>
      <c r="E204" s="103"/>
      <c r="F204" s="103"/>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1"/>
      <c r="AH204" s="101"/>
      <c r="AI204" s="101"/>
      <c r="AJ204" s="101"/>
      <c r="AK204" s="101"/>
      <c r="AL204" s="101"/>
      <c r="AM204" s="101"/>
      <c r="AN204" s="101"/>
      <c r="AO204" s="101"/>
      <c r="AP204" s="101"/>
      <c r="AQ204" s="101"/>
      <c r="AR204" s="101"/>
      <c r="AS204" s="101"/>
      <c r="AT204" s="101"/>
      <c r="AU204" s="101"/>
      <c r="AV204" s="106"/>
      <c r="AW204" s="100" t="s">
        <v>9470</v>
      </c>
      <c r="AX204" s="101" t="s">
        <v>9471</v>
      </c>
      <c r="AY204" s="101" t="s">
        <v>9472</v>
      </c>
      <c r="AZ204" s="101" t="s">
        <v>9473</v>
      </c>
      <c r="BA204" s="101" t="s">
        <v>9474</v>
      </c>
      <c r="BB204" s="101" t="s">
        <v>9475</v>
      </c>
      <c r="BC204" s="101" t="s">
        <v>9476</v>
      </c>
      <c r="BD204" s="101" t="s">
        <v>9477</v>
      </c>
      <c r="BE204" s="101" t="s">
        <v>9478</v>
      </c>
      <c r="BF204" s="101" t="s">
        <v>9479</v>
      </c>
      <c r="BG204" s="101" t="s">
        <v>9480</v>
      </c>
      <c r="BH204" s="101" t="s">
        <v>9481</v>
      </c>
      <c r="BI204" s="101" t="s">
        <v>9482</v>
      </c>
      <c r="BJ204" s="101" t="s">
        <v>9483</v>
      </c>
      <c r="BK204" s="101" t="s">
        <v>9484</v>
      </c>
      <c r="BL204" s="102" t="s">
        <v>9485</v>
      </c>
      <c r="BM204" s="100" t="s">
        <v>9470</v>
      </c>
      <c r="BN204" s="101" t="s">
        <v>9486</v>
      </c>
      <c r="BO204" s="101" t="s">
        <v>9487</v>
      </c>
      <c r="BP204" s="101" t="s">
        <v>9488</v>
      </c>
      <c r="BQ204" s="101" t="s">
        <v>9489</v>
      </c>
      <c r="BR204" s="101" t="s">
        <v>9490</v>
      </c>
      <c r="BS204" s="101" t="s">
        <v>9491</v>
      </c>
      <c r="BT204" s="101" t="s">
        <v>9492</v>
      </c>
      <c r="BU204" s="101" t="s">
        <v>9493</v>
      </c>
      <c r="BV204" s="101" t="s">
        <v>9479</v>
      </c>
      <c r="BW204" s="101" t="s">
        <v>9494</v>
      </c>
      <c r="BX204" s="101" t="s">
        <v>9495</v>
      </c>
      <c r="BY204" s="101" t="s">
        <v>9496</v>
      </c>
      <c r="BZ204" s="101" t="s">
        <v>9497</v>
      </c>
      <c r="CA204" s="101" t="s">
        <v>9498</v>
      </c>
      <c r="CB204" s="102" t="s">
        <v>9499</v>
      </c>
      <c r="CC204" s="100"/>
      <c r="CD204" s="101"/>
      <c r="CE204" s="101"/>
      <c r="CF204" s="101"/>
      <c r="CG204" s="101"/>
      <c r="CH204" s="101"/>
      <c r="CI204" s="101"/>
      <c r="CJ204" s="101"/>
      <c r="CK204" s="101"/>
      <c r="CL204" s="101"/>
      <c r="CM204" s="101"/>
      <c r="CN204" s="101"/>
      <c r="CO204" s="101"/>
      <c r="CP204" s="101"/>
      <c r="CQ204" s="101"/>
      <c r="CR204" s="102"/>
    </row>
    <row r="205">
      <c r="A205" s="103"/>
      <c r="B205" s="103"/>
      <c r="C205" s="103"/>
      <c r="D205" s="103"/>
      <c r="E205" s="103"/>
      <c r="F205" s="103"/>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1"/>
      <c r="AH205" s="101"/>
      <c r="AI205" s="101"/>
      <c r="AJ205" s="101"/>
      <c r="AK205" s="101"/>
      <c r="AL205" s="101"/>
      <c r="AM205" s="101"/>
      <c r="AN205" s="101"/>
      <c r="AO205" s="101"/>
      <c r="AP205" s="101"/>
      <c r="AQ205" s="101"/>
      <c r="AR205" s="101"/>
      <c r="AS205" s="101"/>
      <c r="AT205" s="101"/>
      <c r="AU205" s="101"/>
      <c r="AV205" s="106"/>
      <c r="AW205" s="100" t="s">
        <v>9500</v>
      </c>
      <c r="AX205" s="101" t="s">
        <v>9501</v>
      </c>
      <c r="AY205" s="101" t="s">
        <v>9502</v>
      </c>
      <c r="AZ205" s="101" t="s">
        <v>9503</v>
      </c>
      <c r="BA205" s="101" t="s">
        <v>9504</v>
      </c>
      <c r="BB205" s="101" t="s">
        <v>9505</v>
      </c>
      <c r="BC205" s="101" t="s">
        <v>9506</v>
      </c>
      <c r="BD205" s="101" t="s">
        <v>4751</v>
      </c>
      <c r="BE205" s="101" t="s">
        <v>3618</v>
      </c>
      <c r="BF205" s="101" t="s">
        <v>9507</v>
      </c>
      <c r="BG205" s="101" t="s">
        <v>9508</v>
      </c>
      <c r="BH205" s="101" t="s">
        <v>3633</v>
      </c>
      <c r="BI205" s="101" t="s">
        <v>9509</v>
      </c>
      <c r="BJ205" s="101" t="s">
        <v>9510</v>
      </c>
      <c r="BK205" s="101" t="s">
        <v>9511</v>
      </c>
      <c r="BL205" s="102" t="s">
        <v>4603</v>
      </c>
      <c r="BM205" s="100" t="s">
        <v>9512</v>
      </c>
      <c r="BN205" s="101" t="s">
        <v>9501</v>
      </c>
      <c r="BO205" s="101" t="s">
        <v>9513</v>
      </c>
      <c r="BP205" s="101" t="s">
        <v>9514</v>
      </c>
      <c r="BQ205" s="101" t="s">
        <v>9515</v>
      </c>
      <c r="BR205" s="101" t="s">
        <v>9516</v>
      </c>
      <c r="BS205" s="101" t="s">
        <v>9517</v>
      </c>
      <c r="BT205" s="101" t="s">
        <v>9518</v>
      </c>
      <c r="BU205" s="101" t="s">
        <v>3618</v>
      </c>
      <c r="BV205" s="101" t="s">
        <v>9507</v>
      </c>
      <c r="BW205" s="101" t="s">
        <v>9508</v>
      </c>
      <c r="BX205" s="101" t="s">
        <v>3633</v>
      </c>
      <c r="BY205" s="101" t="s">
        <v>9509</v>
      </c>
      <c r="BZ205" s="101" t="s">
        <v>9510</v>
      </c>
      <c r="CA205" s="101" t="s">
        <v>9511</v>
      </c>
      <c r="CB205" s="102" t="s">
        <v>4603</v>
      </c>
      <c r="CC205" s="100"/>
      <c r="CD205" s="101"/>
      <c r="CE205" s="101"/>
      <c r="CF205" s="101"/>
      <c r="CG205" s="101"/>
      <c r="CH205" s="101"/>
      <c r="CI205" s="101"/>
      <c r="CJ205" s="101"/>
      <c r="CK205" s="101"/>
      <c r="CL205" s="101"/>
      <c r="CM205" s="101"/>
      <c r="CN205" s="101"/>
      <c r="CO205" s="101"/>
      <c r="CP205" s="101"/>
      <c r="CQ205" s="101"/>
      <c r="CR205" s="102"/>
    </row>
    <row r="206">
      <c r="A206" s="103"/>
      <c r="B206" s="103"/>
      <c r="C206" s="103"/>
      <c r="D206" s="103"/>
      <c r="E206" s="103"/>
      <c r="F206" s="103"/>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1"/>
      <c r="AH206" s="101"/>
      <c r="AI206" s="101"/>
      <c r="AJ206" s="101"/>
      <c r="AK206" s="101"/>
      <c r="AL206" s="101"/>
      <c r="AM206" s="101"/>
      <c r="AN206" s="101"/>
      <c r="AO206" s="101"/>
      <c r="AP206" s="101"/>
      <c r="AQ206" s="101"/>
      <c r="AR206" s="101"/>
      <c r="AS206" s="101"/>
      <c r="AT206" s="101"/>
      <c r="AU206" s="101"/>
      <c r="AV206" s="106"/>
      <c r="AW206" s="100" t="s">
        <v>7428</v>
      </c>
      <c r="AX206" s="101" t="s">
        <v>9519</v>
      </c>
      <c r="AY206" s="101"/>
      <c r="AZ206" s="101" t="s">
        <v>3797</v>
      </c>
      <c r="BA206" s="101" t="s">
        <v>9520</v>
      </c>
      <c r="BB206" s="101" t="s">
        <v>9521</v>
      </c>
      <c r="BC206" s="101" t="s">
        <v>4598</v>
      </c>
      <c r="BD206" s="101" t="s">
        <v>9522</v>
      </c>
      <c r="BE206" s="101" t="s">
        <v>9523</v>
      </c>
      <c r="BF206" s="101" t="s">
        <v>3282</v>
      </c>
      <c r="BG206" s="101" t="s">
        <v>9524</v>
      </c>
      <c r="BH206" s="101" t="s">
        <v>9525</v>
      </c>
      <c r="BI206" s="101" t="s">
        <v>9526</v>
      </c>
      <c r="BJ206" s="101" t="s">
        <v>9527</v>
      </c>
      <c r="BK206" s="101" t="s">
        <v>9528</v>
      </c>
      <c r="BL206" s="102" t="s">
        <v>9529</v>
      </c>
      <c r="BM206" s="100" t="s">
        <v>9530</v>
      </c>
      <c r="BN206" s="101" t="s">
        <v>9519</v>
      </c>
      <c r="BO206" s="101"/>
      <c r="BP206" s="101" t="s">
        <v>9531</v>
      </c>
      <c r="BQ206" s="101" t="s">
        <v>9520</v>
      </c>
      <c r="BR206" s="101" t="s">
        <v>9521</v>
      </c>
      <c r="BS206" s="101" t="s">
        <v>4598</v>
      </c>
      <c r="BT206" s="101" t="s">
        <v>9522</v>
      </c>
      <c r="BU206" s="101" t="s">
        <v>9523</v>
      </c>
      <c r="BV206" s="101" t="s">
        <v>3282</v>
      </c>
      <c r="BW206" s="101" t="s">
        <v>9524</v>
      </c>
      <c r="BX206" s="101" t="s">
        <v>9525</v>
      </c>
      <c r="BY206" s="101" t="s">
        <v>9526</v>
      </c>
      <c r="BZ206" s="101" t="s">
        <v>9527</v>
      </c>
      <c r="CA206" s="101" t="s">
        <v>9528</v>
      </c>
      <c r="CB206" s="102" t="s">
        <v>9529</v>
      </c>
      <c r="CC206" s="100"/>
      <c r="CD206" s="101"/>
      <c r="CE206" s="101"/>
      <c r="CF206" s="101"/>
      <c r="CG206" s="101"/>
      <c r="CH206" s="101"/>
      <c r="CI206" s="101"/>
      <c r="CJ206" s="101"/>
      <c r="CK206" s="101"/>
      <c r="CL206" s="101"/>
      <c r="CM206" s="101"/>
      <c r="CN206" s="101"/>
      <c r="CO206" s="101"/>
      <c r="CP206" s="101"/>
      <c r="CQ206" s="101"/>
      <c r="CR206" s="102"/>
    </row>
    <row r="207">
      <c r="A207" s="103"/>
      <c r="B207" s="103"/>
      <c r="C207" s="103"/>
      <c r="D207" s="103"/>
      <c r="E207" s="103"/>
      <c r="F207" s="103"/>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1"/>
      <c r="AH207" s="101"/>
      <c r="AI207" s="101"/>
      <c r="AJ207" s="101"/>
      <c r="AK207" s="101"/>
      <c r="AL207" s="101"/>
      <c r="AM207" s="101"/>
      <c r="AN207" s="101"/>
      <c r="AO207" s="101"/>
      <c r="AP207" s="101"/>
      <c r="AQ207" s="101"/>
      <c r="AR207" s="101"/>
      <c r="AS207" s="101"/>
      <c r="AT207" s="101"/>
      <c r="AU207" s="101"/>
      <c r="AV207" s="106"/>
      <c r="AW207" s="100" t="s">
        <v>9532</v>
      </c>
      <c r="AX207" s="101" t="s">
        <v>9533</v>
      </c>
      <c r="AY207" s="101" t="s">
        <v>9534</v>
      </c>
      <c r="AZ207" s="101" t="s">
        <v>9535</v>
      </c>
      <c r="BA207" s="101" t="s">
        <v>9536</v>
      </c>
      <c r="BB207" s="101" t="s">
        <v>9537</v>
      </c>
      <c r="BC207" s="101" t="s">
        <v>9538</v>
      </c>
      <c r="BD207" s="101" t="s">
        <v>9539</v>
      </c>
      <c r="BE207" s="101" t="s">
        <v>4062</v>
      </c>
      <c r="BF207" s="101" t="s">
        <v>6880</v>
      </c>
      <c r="BG207" s="101" t="s">
        <v>9540</v>
      </c>
      <c r="BH207" s="101" t="s">
        <v>9541</v>
      </c>
      <c r="BI207" s="101" t="s">
        <v>6643</v>
      </c>
      <c r="BJ207" s="101" t="s">
        <v>9542</v>
      </c>
      <c r="BK207" s="101" t="s">
        <v>9543</v>
      </c>
      <c r="BL207" s="102" t="s">
        <v>9544</v>
      </c>
      <c r="BM207" s="100" t="s">
        <v>9532</v>
      </c>
      <c r="BN207" s="101" t="s">
        <v>9533</v>
      </c>
      <c r="BO207" s="101" t="s">
        <v>9534</v>
      </c>
      <c r="BP207" s="101" t="s">
        <v>9535</v>
      </c>
      <c r="BQ207" s="101" t="s">
        <v>9536</v>
      </c>
      <c r="BR207" s="101" t="s">
        <v>9537</v>
      </c>
      <c r="BS207" s="101" t="s">
        <v>9538</v>
      </c>
      <c r="BT207" s="101" t="s">
        <v>9539</v>
      </c>
      <c r="BU207" s="101" t="s">
        <v>4062</v>
      </c>
      <c r="BV207" s="101" t="s">
        <v>6880</v>
      </c>
      <c r="BW207" s="101" t="s">
        <v>9540</v>
      </c>
      <c r="BX207" s="101" t="s">
        <v>9545</v>
      </c>
      <c r="BY207" s="101" t="s">
        <v>6643</v>
      </c>
      <c r="BZ207" s="101" t="s">
        <v>9546</v>
      </c>
      <c r="CA207" s="101" t="s">
        <v>9543</v>
      </c>
      <c r="CB207" s="102" t="s">
        <v>9547</v>
      </c>
      <c r="CC207" s="100"/>
      <c r="CD207" s="101"/>
      <c r="CE207" s="101"/>
      <c r="CF207" s="101"/>
      <c r="CG207" s="101"/>
      <c r="CH207" s="101"/>
      <c r="CI207" s="101"/>
      <c r="CJ207" s="101"/>
      <c r="CK207" s="101"/>
      <c r="CL207" s="101"/>
      <c r="CM207" s="101"/>
      <c r="CN207" s="101"/>
      <c r="CO207" s="101"/>
      <c r="CP207" s="101"/>
      <c r="CQ207" s="101"/>
      <c r="CR207" s="102"/>
    </row>
    <row r="208">
      <c r="A208" s="103"/>
      <c r="B208" s="103"/>
      <c r="C208" s="103"/>
      <c r="D208" s="103"/>
      <c r="E208" s="103"/>
      <c r="F208" s="103"/>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1"/>
      <c r="AH208" s="101"/>
      <c r="AI208" s="101"/>
      <c r="AJ208" s="101"/>
      <c r="AK208" s="101"/>
      <c r="AL208" s="101"/>
      <c r="AM208" s="101"/>
      <c r="AN208" s="101"/>
      <c r="AO208" s="101"/>
      <c r="AP208" s="101"/>
      <c r="AQ208" s="101"/>
      <c r="AR208" s="101"/>
      <c r="AS208" s="101"/>
      <c r="AT208" s="101"/>
      <c r="AU208" s="101"/>
      <c r="AV208" s="106"/>
      <c r="AW208" s="100" t="s">
        <v>9548</v>
      </c>
      <c r="AX208" s="101" t="s">
        <v>9549</v>
      </c>
      <c r="AY208" s="101" t="s">
        <v>9550</v>
      </c>
      <c r="AZ208" s="101" t="s">
        <v>9551</v>
      </c>
      <c r="BA208" s="101" t="s">
        <v>9552</v>
      </c>
      <c r="BB208" s="101" t="s">
        <v>6719</v>
      </c>
      <c r="BC208" s="101" t="s">
        <v>9553</v>
      </c>
      <c r="BD208" s="101" t="s">
        <v>9554</v>
      </c>
      <c r="BE208" s="101" t="s">
        <v>9555</v>
      </c>
      <c r="BF208" s="101" t="s">
        <v>9556</v>
      </c>
      <c r="BG208" s="101" t="s">
        <v>3228</v>
      </c>
      <c r="BH208" s="101" t="s">
        <v>9557</v>
      </c>
      <c r="BI208" s="101" t="s">
        <v>9558</v>
      </c>
      <c r="BJ208" s="101" t="s">
        <v>9559</v>
      </c>
      <c r="BK208" s="101" t="s">
        <v>9560</v>
      </c>
      <c r="BL208" s="102" t="s">
        <v>9561</v>
      </c>
      <c r="BM208" s="100" t="s">
        <v>9548</v>
      </c>
      <c r="BN208" s="101" t="s">
        <v>9549</v>
      </c>
      <c r="BO208" s="101" t="s">
        <v>9550</v>
      </c>
      <c r="BP208" s="101" t="s">
        <v>9562</v>
      </c>
      <c r="BQ208" s="101" t="s">
        <v>9552</v>
      </c>
      <c r="BR208" s="101" t="s">
        <v>9563</v>
      </c>
      <c r="BS208" s="101" t="s">
        <v>9553</v>
      </c>
      <c r="BT208" s="101" t="s">
        <v>9554</v>
      </c>
      <c r="BU208" s="101" t="s">
        <v>9555</v>
      </c>
      <c r="BV208" s="101" t="s">
        <v>9564</v>
      </c>
      <c r="BW208" s="101" t="s">
        <v>9565</v>
      </c>
      <c r="BX208" s="101" t="s">
        <v>9557</v>
      </c>
      <c r="BY208" s="101" t="s">
        <v>9566</v>
      </c>
      <c r="BZ208" s="101" t="s">
        <v>9559</v>
      </c>
      <c r="CA208" s="101" t="s">
        <v>9560</v>
      </c>
      <c r="CB208" s="102" t="s">
        <v>9561</v>
      </c>
      <c r="CC208" s="100"/>
      <c r="CD208" s="101"/>
      <c r="CE208" s="101"/>
      <c r="CF208" s="101"/>
      <c r="CG208" s="101"/>
      <c r="CH208" s="101"/>
      <c r="CI208" s="101"/>
      <c r="CJ208" s="101"/>
      <c r="CK208" s="101"/>
      <c r="CL208" s="101"/>
      <c r="CM208" s="101"/>
      <c r="CN208" s="101"/>
      <c r="CO208" s="101"/>
      <c r="CP208" s="101"/>
      <c r="CQ208" s="101"/>
      <c r="CR208" s="102"/>
    </row>
    <row r="209">
      <c r="A209" s="103"/>
      <c r="B209" s="103"/>
      <c r="C209" s="103"/>
      <c r="D209" s="103"/>
      <c r="E209" s="103"/>
      <c r="F209" s="103"/>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1"/>
      <c r="AH209" s="101"/>
      <c r="AI209" s="101"/>
      <c r="AJ209" s="101"/>
      <c r="AK209" s="101"/>
      <c r="AL209" s="101"/>
      <c r="AM209" s="101"/>
      <c r="AN209" s="101"/>
      <c r="AO209" s="101"/>
      <c r="AP209" s="101"/>
      <c r="AQ209" s="101"/>
      <c r="AR209" s="101"/>
      <c r="AS209" s="101"/>
      <c r="AT209" s="101"/>
      <c r="AU209" s="101"/>
      <c r="AV209" s="106"/>
      <c r="AW209" s="110" t="s">
        <v>9567</v>
      </c>
      <c r="AX209" s="111" t="s">
        <v>9568</v>
      </c>
      <c r="AY209" s="111" t="s">
        <v>9569</v>
      </c>
      <c r="AZ209" s="111" t="s">
        <v>9570</v>
      </c>
      <c r="BA209" s="111" t="s">
        <v>9571</v>
      </c>
      <c r="BB209" s="111" t="s">
        <v>9572</v>
      </c>
      <c r="BC209" s="111" t="s">
        <v>9573</v>
      </c>
      <c r="BD209" s="111" t="s">
        <v>9574</v>
      </c>
      <c r="BE209" s="111" t="s">
        <v>9575</v>
      </c>
      <c r="BF209" s="111" t="s">
        <v>9576</v>
      </c>
      <c r="BG209" s="111" t="s">
        <v>9577</v>
      </c>
      <c r="BH209" s="111" t="s">
        <v>9578</v>
      </c>
      <c r="BI209" s="111" t="s">
        <v>9579</v>
      </c>
      <c r="BJ209" s="111" t="s">
        <v>9580</v>
      </c>
      <c r="BK209" s="111" t="s">
        <v>9581</v>
      </c>
      <c r="BL209" s="112" t="s">
        <v>9582</v>
      </c>
      <c r="BM209" s="110" t="s">
        <v>9583</v>
      </c>
      <c r="BN209" s="111" t="s">
        <v>9568</v>
      </c>
      <c r="BO209" s="111" t="s">
        <v>9569</v>
      </c>
      <c r="BP209" s="111" t="s">
        <v>9570</v>
      </c>
      <c r="BQ209" s="111" t="s">
        <v>9571</v>
      </c>
      <c r="BR209" s="111" t="s">
        <v>9572</v>
      </c>
      <c r="BS209" s="111" t="s">
        <v>9573</v>
      </c>
      <c r="BT209" s="111" t="s">
        <v>9574</v>
      </c>
      <c r="BU209" s="111" t="s">
        <v>9575</v>
      </c>
      <c r="BV209" s="111" t="s">
        <v>9576</v>
      </c>
      <c r="BW209" s="111" t="s">
        <v>9577</v>
      </c>
      <c r="BX209" s="111" t="s">
        <v>9578</v>
      </c>
      <c r="BY209" s="111" t="s">
        <v>9579</v>
      </c>
      <c r="BZ209" s="111" t="s">
        <v>9580</v>
      </c>
      <c r="CA209" s="111" t="s">
        <v>9581</v>
      </c>
      <c r="CB209" s="112" t="s">
        <v>9582</v>
      </c>
      <c r="CC209" s="110"/>
      <c r="CD209" s="111"/>
      <c r="CE209" s="111"/>
      <c r="CF209" s="111"/>
      <c r="CG209" s="111"/>
      <c r="CH209" s="111"/>
      <c r="CI209" s="111"/>
      <c r="CJ209" s="111"/>
      <c r="CK209" s="111"/>
      <c r="CL209" s="111"/>
      <c r="CM209" s="111"/>
      <c r="CN209" s="111"/>
      <c r="CO209" s="111"/>
      <c r="CP209" s="111"/>
      <c r="CQ209" s="111"/>
      <c r="CR209" s="112"/>
    </row>
    <row r="210">
      <c r="A210" s="103"/>
      <c r="B210" s="103"/>
      <c r="C210" s="103"/>
      <c r="D210" s="103"/>
      <c r="E210" s="103"/>
      <c r="F210" s="103"/>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1"/>
      <c r="AH210" s="101"/>
      <c r="AI210" s="101"/>
      <c r="AJ210" s="101"/>
      <c r="AK210" s="101"/>
      <c r="AL210" s="101"/>
      <c r="AM210" s="101"/>
      <c r="AN210" s="101"/>
      <c r="AO210" s="101"/>
      <c r="AP210" s="101"/>
      <c r="AQ210" s="101"/>
      <c r="AR210" s="101"/>
      <c r="AS210" s="101"/>
      <c r="AT210" s="101"/>
      <c r="AU210" s="101"/>
      <c r="AV210" s="106"/>
      <c r="AW210" s="99" t="s">
        <v>9584</v>
      </c>
      <c r="AX210" s="97" t="s">
        <v>9585</v>
      </c>
      <c r="AY210" s="97" t="s">
        <v>9586</v>
      </c>
      <c r="AZ210" s="97" t="s">
        <v>9587</v>
      </c>
      <c r="BA210" s="97" t="s">
        <v>9588</v>
      </c>
      <c r="BB210" s="97" t="s">
        <v>9589</v>
      </c>
      <c r="BC210" s="97" t="s">
        <v>9590</v>
      </c>
      <c r="BD210" s="97" t="s">
        <v>9591</v>
      </c>
      <c r="BE210" s="97" t="s">
        <v>9592</v>
      </c>
      <c r="BF210" s="97" t="s">
        <v>9593</v>
      </c>
      <c r="BG210" s="97" t="s">
        <v>9594</v>
      </c>
      <c r="BH210" s="97" t="s">
        <v>9595</v>
      </c>
      <c r="BI210" s="97" t="s">
        <v>5305</v>
      </c>
      <c r="BJ210" s="97" t="s">
        <v>3180</v>
      </c>
      <c r="BK210" s="97" t="s">
        <v>4026</v>
      </c>
      <c r="BL210" s="98" t="s">
        <v>9596</v>
      </c>
      <c r="BM210" s="99" t="s">
        <v>9584</v>
      </c>
      <c r="BN210" s="97" t="s">
        <v>9585</v>
      </c>
      <c r="BO210" s="97" t="s">
        <v>9586</v>
      </c>
      <c r="BP210" s="97" t="s">
        <v>9587</v>
      </c>
      <c r="BQ210" s="97" t="s">
        <v>9588</v>
      </c>
      <c r="BR210" s="97" t="s">
        <v>9597</v>
      </c>
      <c r="BS210" s="97" t="s">
        <v>9590</v>
      </c>
      <c r="BT210" s="97" t="s">
        <v>9591</v>
      </c>
      <c r="BU210" s="97" t="s">
        <v>9592</v>
      </c>
      <c r="BV210" s="97" t="s">
        <v>9593</v>
      </c>
      <c r="BW210" s="97" t="s">
        <v>9594</v>
      </c>
      <c r="BX210" s="97" t="s">
        <v>9595</v>
      </c>
      <c r="BY210" s="97" t="s">
        <v>9598</v>
      </c>
      <c r="BZ210" s="97" t="s">
        <v>9599</v>
      </c>
      <c r="CA210" s="97" t="s">
        <v>9600</v>
      </c>
      <c r="CB210" s="98" t="s">
        <v>9596</v>
      </c>
      <c r="CC210" s="101"/>
      <c r="CD210" s="101"/>
      <c r="CE210" s="101"/>
      <c r="CF210" s="101"/>
      <c r="CG210" s="101"/>
      <c r="CH210" s="101"/>
      <c r="CI210" s="101"/>
      <c r="CJ210" s="101"/>
      <c r="CK210" s="101"/>
      <c r="CL210" s="101"/>
      <c r="CM210" s="101"/>
      <c r="CN210" s="101"/>
      <c r="CO210" s="101"/>
      <c r="CP210" s="101"/>
      <c r="CQ210" s="101"/>
      <c r="CR210" s="101"/>
    </row>
    <row r="211">
      <c r="A211" s="103"/>
      <c r="B211" s="103"/>
      <c r="C211" s="103"/>
      <c r="D211" s="103"/>
      <c r="E211" s="103"/>
      <c r="F211" s="103"/>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1"/>
      <c r="AH211" s="101"/>
      <c r="AI211" s="101"/>
      <c r="AJ211" s="101"/>
      <c r="AK211" s="101"/>
      <c r="AL211" s="101"/>
      <c r="AM211" s="101"/>
      <c r="AN211" s="101"/>
      <c r="AO211" s="101"/>
      <c r="AP211" s="101"/>
      <c r="AQ211" s="101"/>
      <c r="AR211" s="101"/>
      <c r="AS211" s="101"/>
      <c r="AT211" s="101"/>
      <c r="AU211" s="101"/>
      <c r="AV211" s="106"/>
      <c r="AW211" s="100" t="s">
        <v>3350</v>
      </c>
      <c r="AX211" s="101" t="s">
        <v>9601</v>
      </c>
      <c r="AY211" s="101" t="s">
        <v>4571</v>
      </c>
      <c r="AZ211" s="101" t="s">
        <v>9602</v>
      </c>
      <c r="BA211" s="101" t="s">
        <v>9603</v>
      </c>
      <c r="BB211" s="101" t="s">
        <v>9604</v>
      </c>
      <c r="BC211" s="101" t="s">
        <v>5209</v>
      </c>
      <c r="BD211" s="101" t="s">
        <v>7427</v>
      </c>
      <c r="BE211" s="101" t="s">
        <v>9605</v>
      </c>
      <c r="BF211" s="101" t="s">
        <v>9606</v>
      </c>
      <c r="BG211" s="101" t="s">
        <v>4605</v>
      </c>
      <c r="BH211" s="101" t="s">
        <v>6082</v>
      </c>
      <c r="BI211" s="101" t="s">
        <v>9607</v>
      </c>
      <c r="BJ211" s="101" t="s">
        <v>6743</v>
      </c>
      <c r="BK211" s="101" t="s">
        <v>9608</v>
      </c>
      <c r="BL211" s="102" t="s">
        <v>9609</v>
      </c>
      <c r="BM211" s="100" t="s">
        <v>3350</v>
      </c>
      <c r="BN211" s="101" t="s">
        <v>9601</v>
      </c>
      <c r="BO211" s="101" t="s">
        <v>9610</v>
      </c>
      <c r="BP211" s="101" t="s">
        <v>9602</v>
      </c>
      <c r="BQ211" s="101" t="s">
        <v>9603</v>
      </c>
      <c r="BR211" s="101" t="s">
        <v>9611</v>
      </c>
      <c r="BS211" s="101" t="s">
        <v>9612</v>
      </c>
      <c r="BT211" s="101" t="s">
        <v>9613</v>
      </c>
      <c r="BU211" s="101" t="s">
        <v>9605</v>
      </c>
      <c r="BV211" s="101" t="s">
        <v>9606</v>
      </c>
      <c r="BW211" s="101" t="s">
        <v>4605</v>
      </c>
      <c r="BX211" s="101" t="s">
        <v>9614</v>
      </c>
      <c r="BY211" s="101" t="s">
        <v>9607</v>
      </c>
      <c r="BZ211" s="101" t="s">
        <v>6743</v>
      </c>
      <c r="CA211" s="101" t="s">
        <v>9608</v>
      </c>
      <c r="CB211" s="102" t="s">
        <v>9609</v>
      </c>
      <c r="CC211" s="101"/>
      <c r="CD211" s="101"/>
      <c r="CE211" s="101"/>
      <c r="CF211" s="101"/>
      <c r="CG211" s="101"/>
      <c r="CH211" s="101"/>
      <c r="CI211" s="101"/>
      <c r="CJ211" s="101"/>
      <c r="CK211" s="101"/>
      <c r="CL211" s="101"/>
      <c r="CM211" s="101"/>
      <c r="CN211" s="101"/>
      <c r="CO211" s="101"/>
      <c r="CP211" s="101"/>
      <c r="CQ211" s="101"/>
      <c r="CR211" s="101"/>
    </row>
    <row r="212">
      <c r="A212" s="103"/>
      <c r="B212" s="103"/>
      <c r="C212" s="103"/>
      <c r="D212" s="103"/>
      <c r="E212" s="103"/>
      <c r="F212" s="103"/>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1"/>
      <c r="AH212" s="101"/>
      <c r="AI212" s="101"/>
      <c r="AJ212" s="101"/>
      <c r="AK212" s="101"/>
      <c r="AL212" s="101"/>
      <c r="AM212" s="101"/>
      <c r="AN212" s="101"/>
      <c r="AO212" s="101"/>
      <c r="AP212" s="101"/>
      <c r="AQ212" s="101"/>
      <c r="AR212" s="101"/>
      <c r="AS212" s="101"/>
      <c r="AT212" s="101"/>
      <c r="AU212" s="101"/>
      <c r="AV212" s="106"/>
      <c r="AW212" s="100" t="s">
        <v>4166</v>
      </c>
      <c r="AX212" s="101" t="s">
        <v>9615</v>
      </c>
      <c r="AY212" s="101" t="s">
        <v>9616</v>
      </c>
      <c r="AZ212" s="101" t="s">
        <v>9617</v>
      </c>
      <c r="BA212" s="101" t="s">
        <v>9618</v>
      </c>
      <c r="BB212" s="101" t="s">
        <v>9619</v>
      </c>
      <c r="BC212" s="101" t="s">
        <v>9620</v>
      </c>
      <c r="BD212" s="101" t="s">
        <v>9621</v>
      </c>
      <c r="BE212" s="101" t="s">
        <v>9622</v>
      </c>
      <c r="BF212" s="101" t="s">
        <v>9623</v>
      </c>
      <c r="BG212" s="101" t="s">
        <v>4024</v>
      </c>
      <c r="BH212" s="101" t="s">
        <v>9624</v>
      </c>
      <c r="BI212" s="101" t="s">
        <v>8036</v>
      </c>
      <c r="BJ212" s="101" t="s">
        <v>9625</v>
      </c>
      <c r="BK212" s="101" t="s">
        <v>9626</v>
      </c>
      <c r="BL212" s="102" t="s">
        <v>9627</v>
      </c>
      <c r="BM212" s="100" t="s">
        <v>4166</v>
      </c>
      <c r="BN212" s="101" t="s">
        <v>9628</v>
      </c>
      <c r="BO212" s="101" t="s">
        <v>9616</v>
      </c>
      <c r="BP212" s="101" t="s">
        <v>9617</v>
      </c>
      <c r="BQ212" s="101" t="s">
        <v>9618</v>
      </c>
      <c r="BR212" s="101" t="s">
        <v>9619</v>
      </c>
      <c r="BS212" s="101" t="s">
        <v>9620</v>
      </c>
      <c r="BT212" s="101" t="s">
        <v>9621</v>
      </c>
      <c r="BU212" s="101" t="s">
        <v>9622</v>
      </c>
      <c r="BV212" s="101" t="s">
        <v>9623</v>
      </c>
      <c r="BW212" s="101" t="s">
        <v>4024</v>
      </c>
      <c r="BX212" s="101" t="s">
        <v>9624</v>
      </c>
      <c r="BY212" s="101" t="s">
        <v>8036</v>
      </c>
      <c r="BZ212" s="101" t="s">
        <v>9625</v>
      </c>
      <c r="CA212" s="101" t="s">
        <v>9626</v>
      </c>
      <c r="CB212" s="102" t="s">
        <v>9627</v>
      </c>
      <c r="CC212" s="101"/>
      <c r="CD212" s="101"/>
      <c r="CE212" s="101"/>
      <c r="CF212" s="101"/>
      <c r="CG212" s="101"/>
      <c r="CH212" s="101"/>
      <c r="CI212" s="101"/>
      <c r="CJ212" s="101"/>
      <c r="CK212" s="101"/>
      <c r="CL212" s="101"/>
      <c r="CM212" s="101"/>
      <c r="CN212" s="101"/>
      <c r="CO212" s="101"/>
      <c r="CP212" s="101"/>
      <c r="CQ212" s="101"/>
      <c r="CR212" s="101"/>
    </row>
    <row r="213">
      <c r="A213" s="103"/>
      <c r="B213" s="103"/>
      <c r="C213" s="103"/>
      <c r="D213" s="103"/>
      <c r="E213" s="103"/>
      <c r="F213" s="103"/>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1"/>
      <c r="AH213" s="101"/>
      <c r="AI213" s="101"/>
      <c r="AJ213" s="101"/>
      <c r="AK213" s="101"/>
      <c r="AL213" s="101"/>
      <c r="AM213" s="101"/>
      <c r="AN213" s="101"/>
      <c r="AO213" s="101"/>
      <c r="AP213" s="101"/>
      <c r="AQ213" s="101"/>
      <c r="AR213" s="101"/>
      <c r="AS213" s="101"/>
      <c r="AT213" s="101"/>
      <c r="AU213" s="101"/>
      <c r="AV213" s="106"/>
      <c r="AW213" s="100" t="s">
        <v>9629</v>
      </c>
      <c r="AX213" s="101" t="s">
        <v>9630</v>
      </c>
      <c r="AY213" s="101" t="s">
        <v>9631</v>
      </c>
      <c r="AZ213" s="101" t="s">
        <v>9632</v>
      </c>
      <c r="BA213" s="101" t="s">
        <v>9633</v>
      </c>
      <c r="BB213" s="101" t="s">
        <v>9634</v>
      </c>
      <c r="BC213" s="101" t="s">
        <v>9635</v>
      </c>
      <c r="BD213" s="101" t="s">
        <v>9636</v>
      </c>
      <c r="BE213" s="101" t="s">
        <v>9637</v>
      </c>
      <c r="BF213" s="101" t="s">
        <v>9638</v>
      </c>
      <c r="BG213" s="101" t="s">
        <v>7358</v>
      </c>
      <c r="BH213" s="101" t="s">
        <v>9639</v>
      </c>
      <c r="BI213" s="101" t="s">
        <v>9640</v>
      </c>
      <c r="BJ213" s="101" t="s">
        <v>9641</v>
      </c>
      <c r="BK213" s="101" t="s">
        <v>9642</v>
      </c>
      <c r="BL213" s="102" t="s">
        <v>9643</v>
      </c>
      <c r="BM213" s="100" t="s">
        <v>9629</v>
      </c>
      <c r="BN213" s="101" t="s">
        <v>9630</v>
      </c>
      <c r="BO213" s="101" t="s">
        <v>9631</v>
      </c>
      <c r="BP213" s="101" t="s">
        <v>9632</v>
      </c>
      <c r="BQ213" s="101" t="s">
        <v>9633</v>
      </c>
      <c r="BR213" s="101" t="s">
        <v>9634</v>
      </c>
      <c r="BS213" s="101" t="s">
        <v>9635</v>
      </c>
      <c r="BT213" s="101" t="s">
        <v>9636</v>
      </c>
      <c r="BU213" s="101" t="s">
        <v>9637</v>
      </c>
      <c r="BV213" s="101" t="s">
        <v>9638</v>
      </c>
      <c r="BW213" s="101" t="s">
        <v>9644</v>
      </c>
      <c r="BX213" s="101" t="s">
        <v>9639</v>
      </c>
      <c r="BY213" s="101" t="s">
        <v>9645</v>
      </c>
      <c r="BZ213" s="101" t="s">
        <v>9646</v>
      </c>
      <c r="CA213" s="101" t="s">
        <v>9642</v>
      </c>
      <c r="CB213" s="102" t="s">
        <v>9643</v>
      </c>
      <c r="CC213" s="101"/>
      <c r="CD213" s="101"/>
      <c r="CE213" s="101"/>
      <c r="CF213" s="101"/>
      <c r="CG213" s="101"/>
      <c r="CH213" s="101"/>
      <c r="CI213" s="101"/>
      <c r="CJ213" s="101"/>
      <c r="CK213" s="101"/>
      <c r="CL213" s="101"/>
      <c r="CM213" s="101"/>
      <c r="CN213" s="101"/>
      <c r="CO213" s="101"/>
      <c r="CP213" s="101"/>
      <c r="CQ213" s="101"/>
      <c r="CR213" s="101"/>
    </row>
    <row r="214">
      <c r="A214" s="103"/>
      <c r="B214" s="103"/>
      <c r="C214" s="103"/>
      <c r="D214" s="103"/>
      <c r="E214" s="103"/>
      <c r="F214" s="103"/>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1"/>
      <c r="AH214" s="101"/>
      <c r="AI214" s="101"/>
      <c r="AJ214" s="101"/>
      <c r="AK214" s="101"/>
      <c r="AL214" s="101"/>
      <c r="AM214" s="101"/>
      <c r="AN214" s="101"/>
      <c r="AO214" s="101"/>
      <c r="AP214" s="101"/>
      <c r="AQ214" s="101"/>
      <c r="AR214" s="101"/>
      <c r="AS214" s="101"/>
      <c r="AT214" s="101"/>
      <c r="AU214" s="101"/>
      <c r="AV214" s="106"/>
      <c r="AW214" s="100" t="s">
        <v>9647</v>
      </c>
      <c r="AX214" s="101" t="s">
        <v>9648</v>
      </c>
      <c r="AY214" s="101" t="s">
        <v>9649</v>
      </c>
      <c r="AZ214" s="101" t="s">
        <v>9650</v>
      </c>
      <c r="BA214" s="101" t="s">
        <v>9651</v>
      </c>
      <c r="BB214" s="101" t="s">
        <v>9652</v>
      </c>
      <c r="BC214" s="101" t="s">
        <v>9653</v>
      </c>
      <c r="BD214" s="101" t="s">
        <v>9654</v>
      </c>
      <c r="BE214" s="101" t="s">
        <v>9655</v>
      </c>
      <c r="BF214" s="101" t="s">
        <v>9656</v>
      </c>
      <c r="BG214" s="101" t="s">
        <v>9657</v>
      </c>
      <c r="BH214" s="101" t="s">
        <v>9658</v>
      </c>
      <c r="BI214" s="101" t="s">
        <v>9659</v>
      </c>
      <c r="BJ214" s="101" t="s">
        <v>9660</v>
      </c>
      <c r="BK214" s="101" t="s">
        <v>9661</v>
      </c>
      <c r="BL214" s="102" t="s">
        <v>9662</v>
      </c>
      <c r="BM214" s="100" t="s">
        <v>9647</v>
      </c>
      <c r="BN214" s="101" t="s">
        <v>9648</v>
      </c>
      <c r="BO214" s="101" t="s">
        <v>9649</v>
      </c>
      <c r="BP214" s="101" t="s">
        <v>9663</v>
      </c>
      <c r="BQ214" s="101" t="s">
        <v>9664</v>
      </c>
      <c r="BR214" s="101" t="s">
        <v>9652</v>
      </c>
      <c r="BS214" s="101" t="s">
        <v>9653</v>
      </c>
      <c r="BT214" s="101" t="s">
        <v>9654</v>
      </c>
      <c r="BU214" s="101" t="s">
        <v>9655</v>
      </c>
      <c r="BV214" s="101" t="s">
        <v>9665</v>
      </c>
      <c r="BW214" s="101" t="s">
        <v>9657</v>
      </c>
      <c r="BX214" s="101" t="s">
        <v>9666</v>
      </c>
      <c r="BY214" s="101" t="s">
        <v>9659</v>
      </c>
      <c r="BZ214" s="101" t="s">
        <v>9660</v>
      </c>
      <c r="CA214" s="101" t="s">
        <v>9661</v>
      </c>
      <c r="CB214" s="102" t="s">
        <v>9662</v>
      </c>
      <c r="CC214" s="101"/>
      <c r="CD214" s="101"/>
      <c r="CE214" s="101"/>
      <c r="CF214" s="101"/>
      <c r="CG214" s="101"/>
      <c r="CH214" s="101"/>
      <c r="CI214" s="101"/>
      <c r="CJ214" s="101"/>
      <c r="CK214" s="101"/>
      <c r="CL214" s="101"/>
      <c r="CM214" s="101"/>
      <c r="CN214" s="101"/>
      <c r="CO214" s="101"/>
      <c r="CP214" s="101"/>
      <c r="CQ214" s="101"/>
      <c r="CR214" s="101"/>
    </row>
    <row r="215">
      <c r="A215" s="103"/>
      <c r="B215" s="103"/>
      <c r="C215" s="103"/>
      <c r="D215" s="103"/>
      <c r="E215" s="103"/>
      <c r="F215" s="103"/>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1"/>
      <c r="AH215" s="101"/>
      <c r="AI215" s="101"/>
      <c r="AJ215" s="101"/>
      <c r="AK215" s="101"/>
      <c r="AL215" s="101"/>
      <c r="AM215" s="101"/>
      <c r="AN215" s="101"/>
      <c r="AO215" s="101"/>
      <c r="AP215" s="101"/>
      <c r="AQ215" s="101"/>
      <c r="AR215" s="101"/>
      <c r="AS215" s="101"/>
      <c r="AT215" s="101"/>
      <c r="AU215" s="101"/>
      <c r="AV215" s="106"/>
      <c r="AW215" s="100" t="s">
        <v>9667</v>
      </c>
      <c r="AX215" s="101" t="s">
        <v>4507</v>
      </c>
      <c r="AY215" s="101" t="s">
        <v>9668</v>
      </c>
      <c r="AZ215" s="101" t="s">
        <v>9669</v>
      </c>
      <c r="BA215" s="101" t="s">
        <v>9670</v>
      </c>
      <c r="BB215" s="101" t="s">
        <v>9671</v>
      </c>
      <c r="BC215" s="101" t="s">
        <v>9672</v>
      </c>
      <c r="BD215" s="101" t="s">
        <v>9673</v>
      </c>
      <c r="BE215" s="101" t="s">
        <v>9674</v>
      </c>
      <c r="BF215" s="101" t="s">
        <v>9675</v>
      </c>
      <c r="BG215" s="101" t="s">
        <v>9676</v>
      </c>
      <c r="BH215" s="101" t="s">
        <v>9677</v>
      </c>
      <c r="BI215" s="101" t="s">
        <v>9678</v>
      </c>
      <c r="BJ215" s="101" t="s">
        <v>9679</v>
      </c>
      <c r="BK215" s="101" t="s">
        <v>5178</v>
      </c>
      <c r="BL215" s="102" t="s">
        <v>9680</v>
      </c>
      <c r="BM215" s="100" t="s">
        <v>9667</v>
      </c>
      <c r="BN215" s="101" t="s">
        <v>9681</v>
      </c>
      <c r="BO215" s="101" t="s">
        <v>9668</v>
      </c>
      <c r="BP215" s="101" t="s">
        <v>9669</v>
      </c>
      <c r="BQ215" s="101" t="s">
        <v>9670</v>
      </c>
      <c r="BR215" s="101" t="s">
        <v>9671</v>
      </c>
      <c r="BS215" s="101" t="s">
        <v>9672</v>
      </c>
      <c r="BT215" s="101" t="s">
        <v>9673</v>
      </c>
      <c r="BU215" s="101" t="s">
        <v>9674</v>
      </c>
      <c r="BV215" s="101" t="s">
        <v>9675</v>
      </c>
      <c r="BW215" s="101" t="s">
        <v>9676</v>
      </c>
      <c r="BX215" s="101" t="s">
        <v>9677</v>
      </c>
      <c r="BY215" s="101" t="s">
        <v>9678</v>
      </c>
      <c r="BZ215" s="101" t="s">
        <v>9679</v>
      </c>
      <c r="CA215" s="101" t="s">
        <v>9682</v>
      </c>
      <c r="CB215" s="102" t="s">
        <v>9680</v>
      </c>
      <c r="CC215" s="101"/>
      <c r="CD215" s="101"/>
      <c r="CE215" s="101"/>
      <c r="CF215" s="101"/>
      <c r="CG215" s="101"/>
      <c r="CH215" s="101"/>
      <c r="CI215" s="101"/>
      <c r="CJ215" s="101"/>
      <c r="CK215" s="101"/>
      <c r="CL215" s="101"/>
      <c r="CM215" s="101"/>
      <c r="CN215" s="101"/>
      <c r="CO215" s="101"/>
      <c r="CP215" s="101"/>
      <c r="CQ215" s="101"/>
      <c r="CR215" s="101"/>
    </row>
    <row r="216">
      <c r="A216" s="103"/>
      <c r="B216" s="103"/>
      <c r="C216" s="103"/>
      <c r="D216" s="103"/>
      <c r="E216" s="103"/>
      <c r="F216" s="103"/>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1"/>
      <c r="AH216" s="101"/>
      <c r="AI216" s="101"/>
      <c r="AJ216" s="101"/>
      <c r="AK216" s="101"/>
      <c r="AL216" s="101"/>
      <c r="AM216" s="101"/>
      <c r="AN216" s="101"/>
      <c r="AO216" s="101"/>
      <c r="AP216" s="101"/>
      <c r="AQ216" s="101"/>
      <c r="AR216" s="101"/>
      <c r="AS216" s="101"/>
      <c r="AT216" s="101"/>
      <c r="AU216" s="101"/>
      <c r="AV216" s="106"/>
      <c r="AW216" s="100" t="s">
        <v>9683</v>
      </c>
      <c r="AX216" s="101" t="s">
        <v>9684</v>
      </c>
      <c r="AY216" s="101" t="s">
        <v>9685</v>
      </c>
      <c r="AZ216" s="101" t="s">
        <v>9686</v>
      </c>
      <c r="BA216" s="101" t="s">
        <v>9687</v>
      </c>
      <c r="BB216" s="101" t="s">
        <v>9688</v>
      </c>
      <c r="BC216" s="101" t="s">
        <v>9689</v>
      </c>
      <c r="BD216" s="101" t="s">
        <v>9690</v>
      </c>
      <c r="BE216" s="101" t="s">
        <v>9691</v>
      </c>
      <c r="BF216" s="101" t="s">
        <v>9692</v>
      </c>
      <c r="BG216" s="101" t="s">
        <v>9693</v>
      </c>
      <c r="BH216" s="101" t="s">
        <v>9694</v>
      </c>
      <c r="BI216" s="101" t="s">
        <v>9695</v>
      </c>
      <c r="BJ216" s="101" t="s">
        <v>9696</v>
      </c>
      <c r="BK216" s="101" t="s">
        <v>9697</v>
      </c>
      <c r="BL216" s="102" t="s">
        <v>9698</v>
      </c>
      <c r="BM216" s="100" t="s">
        <v>9683</v>
      </c>
      <c r="BN216" s="101" t="s">
        <v>9684</v>
      </c>
      <c r="BO216" s="101" t="s">
        <v>9685</v>
      </c>
      <c r="BP216" s="101" t="s">
        <v>9686</v>
      </c>
      <c r="BQ216" s="101" t="s">
        <v>9687</v>
      </c>
      <c r="BR216" s="101" t="s">
        <v>9688</v>
      </c>
      <c r="BS216" s="101" t="s">
        <v>9689</v>
      </c>
      <c r="BT216" s="101" t="s">
        <v>9690</v>
      </c>
      <c r="BU216" s="101" t="s">
        <v>9691</v>
      </c>
      <c r="BV216" s="101" t="s">
        <v>9692</v>
      </c>
      <c r="BW216" s="101" t="s">
        <v>9693</v>
      </c>
      <c r="BX216" s="101" t="s">
        <v>9699</v>
      </c>
      <c r="BY216" s="101" t="s">
        <v>9695</v>
      </c>
      <c r="BZ216" s="101" t="s">
        <v>9696</v>
      </c>
      <c r="CA216" s="101" t="s">
        <v>9697</v>
      </c>
      <c r="CB216" s="102" t="s">
        <v>9698</v>
      </c>
      <c r="CC216" s="101"/>
      <c r="CD216" s="101"/>
      <c r="CE216" s="101"/>
      <c r="CF216" s="101"/>
      <c r="CG216" s="101"/>
      <c r="CH216" s="101"/>
      <c r="CI216" s="101"/>
      <c r="CJ216" s="101"/>
      <c r="CK216" s="101"/>
      <c r="CL216" s="101"/>
      <c r="CM216" s="101"/>
      <c r="CN216" s="101"/>
      <c r="CO216" s="101"/>
      <c r="CP216" s="101"/>
      <c r="CQ216" s="101"/>
      <c r="CR216" s="101"/>
    </row>
    <row r="217">
      <c r="A217" s="103"/>
      <c r="B217" s="103"/>
      <c r="C217" s="103"/>
      <c r="D217" s="103"/>
      <c r="E217" s="103"/>
      <c r="F217" s="103"/>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1"/>
      <c r="AH217" s="101"/>
      <c r="AI217" s="101"/>
      <c r="AJ217" s="101"/>
      <c r="AK217" s="101"/>
      <c r="AL217" s="101"/>
      <c r="AM217" s="101"/>
      <c r="AN217" s="101"/>
      <c r="AO217" s="101"/>
      <c r="AP217" s="101"/>
      <c r="AQ217" s="101"/>
      <c r="AR217" s="101"/>
      <c r="AS217" s="101"/>
      <c r="AT217" s="101"/>
      <c r="AU217" s="101"/>
      <c r="AV217" s="106"/>
      <c r="AW217" s="100" t="s">
        <v>9700</v>
      </c>
      <c r="AX217" s="101" t="s">
        <v>9701</v>
      </c>
      <c r="AY217" s="101" t="s">
        <v>9702</v>
      </c>
      <c r="AZ217" s="101" t="s">
        <v>9703</v>
      </c>
      <c r="BA217" s="101" t="s">
        <v>9704</v>
      </c>
      <c r="BB217" s="101" t="s">
        <v>9705</v>
      </c>
      <c r="BC217" s="101" t="s">
        <v>9706</v>
      </c>
      <c r="BD217" s="101" t="s">
        <v>9707</v>
      </c>
      <c r="BE217" s="101" t="s">
        <v>5942</v>
      </c>
      <c r="BF217" s="101" t="s">
        <v>9708</v>
      </c>
      <c r="BG217" s="101" t="s">
        <v>4573</v>
      </c>
      <c r="BH217" s="101" t="s">
        <v>9709</v>
      </c>
      <c r="BI217" s="101" t="s">
        <v>9710</v>
      </c>
      <c r="BJ217" s="101" t="s">
        <v>9711</v>
      </c>
      <c r="BK217" s="101" t="s">
        <v>9712</v>
      </c>
      <c r="BL217" s="102" t="s">
        <v>5748</v>
      </c>
      <c r="BM217" s="100" t="s">
        <v>9700</v>
      </c>
      <c r="BN217" s="101" t="s">
        <v>9701</v>
      </c>
      <c r="BO217" s="101" t="s">
        <v>9702</v>
      </c>
      <c r="BP217" s="101" t="s">
        <v>9703</v>
      </c>
      <c r="BQ217" s="101" t="s">
        <v>9704</v>
      </c>
      <c r="BR217" s="101" t="s">
        <v>9705</v>
      </c>
      <c r="BS217" s="101" t="s">
        <v>9706</v>
      </c>
      <c r="BT217" s="101" t="s">
        <v>9707</v>
      </c>
      <c r="BU217" s="101" t="s">
        <v>9713</v>
      </c>
      <c r="BV217" s="101" t="s">
        <v>9708</v>
      </c>
      <c r="BW217" s="101" t="s">
        <v>9714</v>
      </c>
      <c r="BX217" s="101" t="s">
        <v>9709</v>
      </c>
      <c r="BY217" s="101" t="s">
        <v>9710</v>
      </c>
      <c r="BZ217" s="101" t="s">
        <v>9715</v>
      </c>
      <c r="CA217" s="101" t="s">
        <v>9712</v>
      </c>
      <c r="CB217" s="102" t="s">
        <v>9716</v>
      </c>
      <c r="CC217" s="101"/>
      <c r="CD217" s="101"/>
      <c r="CE217" s="101"/>
      <c r="CF217" s="101"/>
      <c r="CG217" s="101"/>
      <c r="CH217" s="101"/>
      <c r="CI217" s="101"/>
      <c r="CJ217" s="101"/>
      <c r="CK217" s="101"/>
      <c r="CL217" s="101"/>
      <c r="CM217" s="101"/>
      <c r="CN217" s="101"/>
      <c r="CO217" s="101"/>
      <c r="CP217" s="101"/>
      <c r="CQ217" s="101"/>
      <c r="CR217" s="101"/>
    </row>
    <row r="218">
      <c r="A218" s="103"/>
      <c r="B218" s="103"/>
      <c r="C218" s="103"/>
      <c r="D218" s="103"/>
      <c r="E218" s="103"/>
      <c r="F218" s="103"/>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1"/>
      <c r="AH218" s="101"/>
      <c r="AI218" s="101"/>
      <c r="AJ218" s="101"/>
      <c r="AK218" s="101"/>
      <c r="AL218" s="101"/>
      <c r="AM218" s="101"/>
      <c r="AN218" s="101"/>
      <c r="AO218" s="101"/>
      <c r="AP218" s="101"/>
      <c r="AQ218" s="101"/>
      <c r="AR218" s="101"/>
      <c r="AS218" s="101"/>
      <c r="AT218" s="101"/>
      <c r="AU218" s="101"/>
      <c r="AV218" s="106"/>
      <c r="AW218" s="100" t="s">
        <v>9717</v>
      </c>
      <c r="AX218" s="101" t="s">
        <v>3945</v>
      </c>
      <c r="AY218" s="101" t="s">
        <v>9718</v>
      </c>
      <c r="AZ218" s="101" t="s">
        <v>9719</v>
      </c>
      <c r="BA218" s="101" t="s">
        <v>9720</v>
      </c>
      <c r="BB218" s="101" t="s">
        <v>9721</v>
      </c>
      <c r="BC218" s="101" t="s">
        <v>9722</v>
      </c>
      <c r="BD218" s="101" t="s">
        <v>9723</v>
      </c>
      <c r="BE218" s="101" t="s">
        <v>9724</v>
      </c>
      <c r="BF218" s="101" t="s">
        <v>9725</v>
      </c>
      <c r="BG218" s="101" t="s">
        <v>9726</v>
      </c>
      <c r="BH218" s="101" t="s">
        <v>9727</v>
      </c>
      <c r="BI218" s="101" t="s">
        <v>9728</v>
      </c>
      <c r="BJ218" s="101" t="s">
        <v>9729</v>
      </c>
      <c r="BK218" s="101" t="s">
        <v>9730</v>
      </c>
      <c r="BL218" s="102" t="s">
        <v>9731</v>
      </c>
      <c r="BM218" s="100" t="s">
        <v>9717</v>
      </c>
      <c r="BN218" s="101" t="s">
        <v>9732</v>
      </c>
      <c r="BO218" s="101" t="s">
        <v>9718</v>
      </c>
      <c r="BP218" s="101" t="s">
        <v>9719</v>
      </c>
      <c r="BQ218" s="101" t="s">
        <v>9720</v>
      </c>
      <c r="BR218" s="101" t="s">
        <v>9721</v>
      </c>
      <c r="BS218" s="101" t="s">
        <v>9733</v>
      </c>
      <c r="BT218" s="101" t="s">
        <v>9723</v>
      </c>
      <c r="BU218" s="101" t="s">
        <v>9724</v>
      </c>
      <c r="BV218" s="101" t="s">
        <v>9725</v>
      </c>
      <c r="BW218" s="101" t="s">
        <v>9726</v>
      </c>
      <c r="BX218" s="101" t="s">
        <v>9727</v>
      </c>
      <c r="BY218" s="101" t="s">
        <v>9728</v>
      </c>
      <c r="BZ218" s="101" t="s">
        <v>9729</v>
      </c>
      <c r="CA218" s="101" t="s">
        <v>9730</v>
      </c>
      <c r="CB218" s="102" t="s">
        <v>9734</v>
      </c>
      <c r="CC218" s="101"/>
      <c r="CD218" s="101"/>
      <c r="CE218" s="101"/>
      <c r="CF218" s="101"/>
      <c r="CG218" s="101"/>
      <c r="CH218" s="101"/>
      <c r="CI218" s="101"/>
      <c r="CJ218" s="101"/>
      <c r="CK218" s="101"/>
      <c r="CL218" s="101"/>
      <c r="CM218" s="101"/>
      <c r="CN218" s="101"/>
      <c r="CO218" s="101"/>
      <c r="CP218" s="101"/>
      <c r="CQ218" s="101"/>
      <c r="CR218" s="101"/>
    </row>
    <row r="219">
      <c r="A219" s="103"/>
      <c r="B219" s="103"/>
      <c r="C219" s="103"/>
      <c r="D219" s="103"/>
      <c r="E219" s="103"/>
      <c r="F219" s="103"/>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1"/>
      <c r="AH219" s="101"/>
      <c r="AI219" s="101"/>
      <c r="AJ219" s="101"/>
      <c r="AK219" s="101"/>
      <c r="AL219" s="101"/>
      <c r="AM219" s="101"/>
      <c r="AN219" s="101"/>
      <c r="AO219" s="101"/>
      <c r="AP219" s="101"/>
      <c r="AQ219" s="101"/>
      <c r="AR219" s="101"/>
      <c r="AS219" s="101"/>
      <c r="AT219" s="101"/>
      <c r="AU219" s="101"/>
      <c r="AV219" s="106"/>
      <c r="AW219" s="100" t="s">
        <v>9735</v>
      </c>
      <c r="AX219" s="101" t="s">
        <v>9736</v>
      </c>
      <c r="AY219" s="101" t="s">
        <v>9737</v>
      </c>
      <c r="AZ219" s="101" t="s">
        <v>9738</v>
      </c>
      <c r="BA219" s="101" t="s">
        <v>9346</v>
      </c>
      <c r="BB219" s="101" t="s">
        <v>9739</v>
      </c>
      <c r="BC219" s="101" t="s">
        <v>9740</v>
      </c>
      <c r="BD219" s="101" t="s">
        <v>9741</v>
      </c>
      <c r="BE219" s="101" t="s">
        <v>9742</v>
      </c>
      <c r="BF219" s="101" t="s">
        <v>9743</v>
      </c>
      <c r="BG219" s="101" t="s">
        <v>9744</v>
      </c>
      <c r="BH219" s="101" t="s">
        <v>9745</v>
      </c>
      <c r="BI219" s="101" t="s">
        <v>9746</v>
      </c>
      <c r="BJ219" s="101" t="s">
        <v>9747</v>
      </c>
      <c r="BK219" s="101" t="s">
        <v>9748</v>
      </c>
      <c r="BL219" s="102" t="s">
        <v>9749</v>
      </c>
      <c r="BM219" s="100" t="s">
        <v>9750</v>
      </c>
      <c r="BN219" s="101" t="s">
        <v>9736</v>
      </c>
      <c r="BO219" s="101" t="s">
        <v>9737</v>
      </c>
      <c r="BP219" s="101" t="s">
        <v>9738</v>
      </c>
      <c r="BQ219" s="101" t="s">
        <v>9346</v>
      </c>
      <c r="BR219" s="101" t="s">
        <v>9739</v>
      </c>
      <c r="BS219" s="101" t="s">
        <v>9740</v>
      </c>
      <c r="BT219" s="101" t="s">
        <v>9741</v>
      </c>
      <c r="BU219" s="101" t="s">
        <v>9742</v>
      </c>
      <c r="BV219" s="101" t="s">
        <v>9751</v>
      </c>
      <c r="BW219" s="101" t="s">
        <v>9744</v>
      </c>
      <c r="BX219" s="101" t="s">
        <v>9745</v>
      </c>
      <c r="BY219" s="101" t="s">
        <v>9746</v>
      </c>
      <c r="BZ219" s="101" t="s">
        <v>9747</v>
      </c>
      <c r="CA219" s="101" t="s">
        <v>9748</v>
      </c>
      <c r="CB219" s="102" t="s">
        <v>9749</v>
      </c>
      <c r="CC219" s="101"/>
      <c r="CD219" s="101"/>
      <c r="CE219" s="101"/>
      <c r="CF219" s="101"/>
      <c r="CG219" s="101"/>
      <c r="CH219" s="101"/>
      <c r="CI219" s="101"/>
      <c r="CJ219" s="101"/>
      <c r="CK219" s="101"/>
      <c r="CL219" s="101"/>
      <c r="CM219" s="101"/>
      <c r="CN219" s="101"/>
      <c r="CO219" s="101"/>
      <c r="CP219" s="101"/>
      <c r="CQ219" s="101"/>
      <c r="CR219" s="101"/>
    </row>
    <row r="220">
      <c r="A220" s="103"/>
      <c r="B220" s="103"/>
      <c r="C220" s="103"/>
      <c r="D220" s="103"/>
      <c r="E220" s="103"/>
      <c r="F220" s="103"/>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1"/>
      <c r="AH220" s="101"/>
      <c r="AI220" s="101"/>
      <c r="AJ220" s="101"/>
      <c r="AK220" s="101"/>
      <c r="AL220" s="101"/>
      <c r="AM220" s="101"/>
      <c r="AN220" s="101"/>
      <c r="AO220" s="101"/>
      <c r="AP220" s="101"/>
      <c r="AQ220" s="101"/>
      <c r="AR220" s="101"/>
      <c r="AS220" s="101"/>
      <c r="AT220" s="101"/>
      <c r="AU220" s="101"/>
      <c r="AV220" s="106"/>
      <c r="AW220" s="100" t="s">
        <v>9752</v>
      </c>
      <c r="AX220" s="101" t="s">
        <v>9753</v>
      </c>
      <c r="AY220" s="101" t="s">
        <v>9754</v>
      </c>
      <c r="AZ220" s="101" t="s">
        <v>9755</v>
      </c>
      <c r="BA220" s="101" t="s">
        <v>9204</v>
      </c>
      <c r="BB220" s="101" t="s">
        <v>9756</v>
      </c>
      <c r="BC220" s="101" t="s">
        <v>9757</v>
      </c>
      <c r="BD220" s="101" t="s">
        <v>9758</v>
      </c>
      <c r="BE220" s="101" t="s">
        <v>9759</v>
      </c>
      <c r="BF220" s="101" t="s">
        <v>9760</v>
      </c>
      <c r="BG220" s="101" t="s">
        <v>9761</v>
      </c>
      <c r="BH220" s="101" t="s">
        <v>9762</v>
      </c>
      <c r="BI220" s="101" t="s">
        <v>9763</v>
      </c>
      <c r="BJ220" s="101" t="s">
        <v>9764</v>
      </c>
      <c r="BK220" s="101" t="s">
        <v>9765</v>
      </c>
      <c r="BL220" s="102" t="s">
        <v>9766</v>
      </c>
      <c r="BM220" s="100" t="s">
        <v>9752</v>
      </c>
      <c r="BN220" s="101" t="s">
        <v>9753</v>
      </c>
      <c r="BO220" s="101" t="s">
        <v>9754</v>
      </c>
      <c r="BP220" s="101" t="s">
        <v>9755</v>
      </c>
      <c r="BQ220" s="101" t="s">
        <v>9204</v>
      </c>
      <c r="BR220" s="101" t="s">
        <v>9756</v>
      </c>
      <c r="BS220" s="101" t="s">
        <v>9757</v>
      </c>
      <c r="BT220" s="101" t="s">
        <v>9758</v>
      </c>
      <c r="BU220" s="101" t="s">
        <v>9759</v>
      </c>
      <c r="BV220" s="101" t="s">
        <v>9760</v>
      </c>
      <c r="BW220" s="101" t="s">
        <v>9761</v>
      </c>
      <c r="BX220" s="101" t="s">
        <v>9767</v>
      </c>
      <c r="BY220" s="101" t="s">
        <v>9763</v>
      </c>
      <c r="BZ220" s="101" t="s">
        <v>9764</v>
      </c>
      <c r="CA220" s="101" t="s">
        <v>9765</v>
      </c>
      <c r="CB220" s="102" t="s">
        <v>9766</v>
      </c>
      <c r="CC220" s="101"/>
      <c r="CD220" s="101"/>
      <c r="CE220" s="101"/>
      <c r="CF220" s="101"/>
      <c r="CG220" s="101"/>
      <c r="CH220" s="101"/>
      <c r="CI220" s="101"/>
      <c r="CJ220" s="101"/>
      <c r="CK220" s="101"/>
      <c r="CL220" s="101"/>
      <c r="CM220" s="101"/>
      <c r="CN220" s="101"/>
      <c r="CO220" s="101"/>
      <c r="CP220" s="101"/>
      <c r="CQ220" s="101"/>
      <c r="CR220" s="101"/>
    </row>
    <row r="221">
      <c r="A221" s="103"/>
      <c r="B221" s="103"/>
      <c r="C221" s="103"/>
      <c r="D221" s="103"/>
      <c r="E221" s="103"/>
      <c r="F221" s="103"/>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1"/>
      <c r="AH221" s="101"/>
      <c r="AI221" s="101"/>
      <c r="AJ221" s="101"/>
      <c r="AK221" s="101"/>
      <c r="AL221" s="101"/>
      <c r="AM221" s="101"/>
      <c r="AN221" s="101"/>
      <c r="AO221" s="101"/>
      <c r="AP221" s="101"/>
      <c r="AQ221" s="101"/>
      <c r="AR221" s="101"/>
      <c r="AS221" s="101"/>
      <c r="AT221" s="101"/>
      <c r="AU221" s="101"/>
      <c r="AV221" s="106"/>
      <c r="AW221" s="100" t="s">
        <v>9768</v>
      </c>
      <c r="AX221" s="101" t="s">
        <v>9769</v>
      </c>
      <c r="AY221" s="101" t="s">
        <v>9770</v>
      </c>
      <c r="AZ221" s="101" t="s">
        <v>9771</v>
      </c>
      <c r="BA221" s="101" t="s">
        <v>9772</v>
      </c>
      <c r="BB221" s="101" t="s">
        <v>5278</v>
      </c>
      <c r="BC221" s="101" t="s">
        <v>9773</v>
      </c>
      <c r="BD221" s="101" t="s">
        <v>9774</v>
      </c>
      <c r="BE221" s="101" t="s">
        <v>9775</v>
      </c>
      <c r="BF221" s="101" t="s">
        <v>9776</v>
      </c>
      <c r="BG221" s="101" t="s">
        <v>9777</v>
      </c>
      <c r="BH221" s="101" t="s">
        <v>9778</v>
      </c>
      <c r="BI221" s="101" t="s">
        <v>9779</v>
      </c>
      <c r="BJ221" s="101" t="s">
        <v>9780</v>
      </c>
      <c r="BK221" s="101" t="s">
        <v>9781</v>
      </c>
      <c r="BL221" s="102" t="s">
        <v>9782</v>
      </c>
      <c r="BM221" s="100" t="s">
        <v>9768</v>
      </c>
      <c r="BN221" s="101" t="s">
        <v>9769</v>
      </c>
      <c r="BO221" s="101" t="s">
        <v>9783</v>
      </c>
      <c r="BP221" s="101" t="s">
        <v>9771</v>
      </c>
      <c r="BQ221" s="101" t="s">
        <v>9772</v>
      </c>
      <c r="BR221" s="101" t="s">
        <v>9784</v>
      </c>
      <c r="BS221" s="101" t="s">
        <v>9773</v>
      </c>
      <c r="BT221" s="101" t="s">
        <v>9774</v>
      </c>
      <c r="BU221" s="101" t="s">
        <v>9775</v>
      </c>
      <c r="BV221" s="101" t="s">
        <v>9776</v>
      </c>
      <c r="BW221" s="101" t="s">
        <v>9777</v>
      </c>
      <c r="BX221" s="101" t="s">
        <v>9785</v>
      </c>
      <c r="BY221" s="101" t="s">
        <v>9779</v>
      </c>
      <c r="BZ221" s="101" t="s">
        <v>9780</v>
      </c>
      <c r="CA221" s="101" t="s">
        <v>9781</v>
      </c>
      <c r="CB221" s="102" t="s">
        <v>9782</v>
      </c>
      <c r="CC221" s="101"/>
      <c r="CD221" s="101"/>
      <c r="CE221" s="101"/>
      <c r="CF221" s="101"/>
      <c r="CG221" s="101"/>
      <c r="CH221" s="101"/>
      <c r="CI221" s="101"/>
      <c r="CJ221" s="101"/>
      <c r="CK221" s="101"/>
      <c r="CL221" s="101"/>
      <c r="CM221" s="101"/>
      <c r="CN221" s="101"/>
      <c r="CO221" s="101"/>
      <c r="CP221" s="101"/>
      <c r="CQ221" s="101"/>
      <c r="CR221" s="101"/>
    </row>
    <row r="222">
      <c r="A222" s="103"/>
      <c r="B222" s="103"/>
      <c r="C222" s="103"/>
      <c r="D222" s="103"/>
      <c r="E222" s="103"/>
      <c r="F222" s="103"/>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1"/>
      <c r="AH222" s="101"/>
      <c r="AI222" s="101"/>
      <c r="AJ222" s="101"/>
      <c r="AK222" s="101"/>
      <c r="AL222" s="101"/>
      <c r="AM222" s="101"/>
      <c r="AN222" s="101"/>
      <c r="AO222" s="101"/>
      <c r="AP222" s="101"/>
      <c r="AQ222" s="101"/>
      <c r="AR222" s="101"/>
      <c r="AS222" s="101"/>
      <c r="AT222" s="101"/>
      <c r="AU222" s="101"/>
      <c r="AV222" s="106"/>
      <c r="AW222" s="100" t="s">
        <v>9786</v>
      </c>
      <c r="AX222" s="101" t="s">
        <v>9787</v>
      </c>
      <c r="AY222" s="101" t="s">
        <v>9788</v>
      </c>
      <c r="AZ222" s="101" t="s">
        <v>9789</v>
      </c>
      <c r="BA222" s="101" t="s">
        <v>9790</v>
      </c>
      <c r="BB222" s="101" t="s">
        <v>9791</v>
      </c>
      <c r="BC222" s="101" t="s">
        <v>9792</v>
      </c>
      <c r="BD222" s="101" t="s">
        <v>9793</v>
      </c>
      <c r="BE222" s="101" t="s">
        <v>9794</v>
      </c>
      <c r="BF222" s="101" t="s">
        <v>9795</v>
      </c>
      <c r="BG222" s="101" t="s">
        <v>9796</v>
      </c>
      <c r="BH222" s="101" t="s">
        <v>9797</v>
      </c>
      <c r="BI222" s="101" t="s">
        <v>9798</v>
      </c>
      <c r="BJ222" s="101" t="s">
        <v>9799</v>
      </c>
      <c r="BK222" s="101" t="s">
        <v>9800</v>
      </c>
      <c r="BL222" s="102" t="s">
        <v>9801</v>
      </c>
      <c r="BM222" s="100" t="s">
        <v>9786</v>
      </c>
      <c r="BN222" s="101" t="s">
        <v>9787</v>
      </c>
      <c r="BO222" s="101" t="s">
        <v>9788</v>
      </c>
      <c r="BP222" s="101" t="s">
        <v>9789</v>
      </c>
      <c r="BQ222" s="101" t="s">
        <v>9790</v>
      </c>
      <c r="BR222" s="101" t="s">
        <v>9791</v>
      </c>
      <c r="BS222" s="101" t="s">
        <v>9792</v>
      </c>
      <c r="BT222" s="101" t="s">
        <v>9793</v>
      </c>
      <c r="BU222" s="101" t="s">
        <v>9794</v>
      </c>
      <c r="BV222" s="101" t="s">
        <v>9795</v>
      </c>
      <c r="BW222" s="101" t="s">
        <v>9796</v>
      </c>
      <c r="BX222" s="101" t="s">
        <v>9797</v>
      </c>
      <c r="BY222" s="101" t="s">
        <v>9798</v>
      </c>
      <c r="BZ222" s="101" t="s">
        <v>9799</v>
      </c>
      <c r="CA222" s="101" t="s">
        <v>9800</v>
      </c>
      <c r="CB222" s="102" t="s">
        <v>9802</v>
      </c>
      <c r="CC222" s="101"/>
      <c r="CD222" s="101"/>
      <c r="CE222" s="101"/>
      <c r="CF222" s="101"/>
      <c r="CG222" s="101"/>
      <c r="CH222" s="101"/>
      <c r="CI222" s="101"/>
      <c r="CJ222" s="101"/>
      <c r="CK222" s="101"/>
      <c r="CL222" s="101"/>
      <c r="CM222" s="101"/>
      <c r="CN222" s="101"/>
      <c r="CO222" s="101"/>
      <c r="CP222" s="101"/>
      <c r="CQ222" s="101"/>
      <c r="CR222" s="101"/>
    </row>
    <row r="223">
      <c r="A223" s="103"/>
      <c r="B223" s="103"/>
      <c r="C223" s="103"/>
      <c r="D223" s="103"/>
      <c r="E223" s="103"/>
      <c r="F223" s="103"/>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1"/>
      <c r="AH223" s="101"/>
      <c r="AI223" s="101"/>
      <c r="AJ223" s="101"/>
      <c r="AK223" s="101"/>
      <c r="AL223" s="101"/>
      <c r="AM223" s="101"/>
      <c r="AN223" s="101"/>
      <c r="AO223" s="101"/>
      <c r="AP223" s="101"/>
      <c r="AQ223" s="101"/>
      <c r="AR223" s="101"/>
      <c r="AS223" s="101"/>
      <c r="AT223" s="101"/>
      <c r="AU223" s="101"/>
      <c r="AV223" s="106"/>
      <c r="AW223" s="100" t="s">
        <v>9803</v>
      </c>
      <c r="AX223" s="101" t="s">
        <v>9804</v>
      </c>
      <c r="AY223" s="101" t="s">
        <v>9805</v>
      </c>
      <c r="AZ223" s="101" t="s">
        <v>9806</v>
      </c>
      <c r="BA223" s="101" t="s">
        <v>9807</v>
      </c>
      <c r="BB223" s="101" t="s">
        <v>9808</v>
      </c>
      <c r="BC223" s="101" t="s">
        <v>9809</v>
      </c>
      <c r="BD223" s="101" t="s">
        <v>9810</v>
      </c>
      <c r="BE223" s="101" t="s">
        <v>7926</v>
      </c>
      <c r="BF223" s="101" t="s">
        <v>9811</v>
      </c>
      <c r="BG223" s="101" t="s">
        <v>9812</v>
      </c>
      <c r="BH223" s="101" t="s">
        <v>9813</v>
      </c>
      <c r="BI223" s="101" t="s">
        <v>9814</v>
      </c>
      <c r="BJ223" s="101" t="s">
        <v>9815</v>
      </c>
      <c r="BK223" s="101" t="s">
        <v>9816</v>
      </c>
      <c r="BL223" s="102" t="s">
        <v>9817</v>
      </c>
      <c r="BM223" s="100" t="s">
        <v>9818</v>
      </c>
      <c r="BN223" s="101" t="s">
        <v>9804</v>
      </c>
      <c r="BO223" s="101" t="s">
        <v>9805</v>
      </c>
      <c r="BP223" s="101" t="s">
        <v>9806</v>
      </c>
      <c r="BQ223" s="101" t="s">
        <v>9807</v>
      </c>
      <c r="BR223" s="101" t="s">
        <v>9819</v>
      </c>
      <c r="BS223" s="101" t="s">
        <v>9809</v>
      </c>
      <c r="BT223" s="101" t="s">
        <v>9810</v>
      </c>
      <c r="BU223" s="101" t="s">
        <v>9820</v>
      </c>
      <c r="BV223" s="101" t="s">
        <v>9811</v>
      </c>
      <c r="BW223" s="101" t="s">
        <v>9812</v>
      </c>
      <c r="BX223" s="101" t="s">
        <v>9813</v>
      </c>
      <c r="BY223" s="101" t="s">
        <v>9814</v>
      </c>
      <c r="BZ223" s="101" t="s">
        <v>9815</v>
      </c>
      <c r="CA223" s="101" t="s">
        <v>9816</v>
      </c>
      <c r="CB223" s="102" t="s">
        <v>9817</v>
      </c>
      <c r="CC223" s="101"/>
      <c r="CD223" s="101"/>
      <c r="CE223" s="101"/>
      <c r="CF223" s="101"/>
      <c r="CG223" s="101"/>
      <c r="CH223" s="101"/>
      <c r="CI223" s="101"/>
      <c r="CJ223" s="101"/>
      <c r="CK223" s="101"/>
      <c r="CL223" s="101"/>
      <c r="CM223" s="101"/>
      <c r="CN223" s="101"/>
      <c r="CO223" s="101"/>
      <c r="CP223" s="101"/>
      <c r="CQ223" s="101"/>
      <c r="CR223" s="101"/>
    </row>
    <row r="224">
      <c r="A224" s="103"/>
      <c r="B224" s="103"/>
      <c r="C224" s="103"/>
      <c r="D224" s="103"/>
      <c r="E224" s="103"/>
      <c r="F224" s="103"/>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1"/>
      <c r="AH224" s="101"/>
      <c r="AI224" s="101"/>
      <c r="AJ224" s="101"/>
      <c r="AK224" s="101"/>
      <c r="AL224" s="101"/>
      <c r="AM224" s="101"/>
      <c r="AN224" s="101"/>
      <c r="AO224" s="101"/>
      <c r="AP224" s="101"/>
      <c r="AQ224" s="101"/>
      <c r="AR224" s="101"/>
      <c r="AS224" s="101"/>
      <c r="AT224" s="101"/>
      <c r="AU224" s="101"/>
      <c r="AV224" s="106"/>
      <c r="AW224" s="100" t="s">
        <v>9821</v>
      </c>
      <c r="AX224" s="101" t="s">
        <v>9822</v>
      </c>
      <c r="AY224" s="101" t="s">
        <v>9823</v>
      </c>
      <c r="AZ224" s="101" t="s">
        <v>9824</v>
      </c>
      <c r="BA224" s="101" t="s">
        <v>9825</v>
      </c>
      <c r="BB224" s="101" t="s">
        <v>9826</v>
      </c>
      <c r="BC224" s="101" t="s">
        <v>6878</v>
      </c>
      <c r="BD224" s="101" t="s">
        <v>9827</v>
      </c>
      <c r="BE224" s="101" t="s">
        <v>3544</v>
      </c>
      <c r="BF224" s="101" t="s">
        <v>9828</v>
      </c>
      <c r="BG224" s="101" t="s">
        <v>5412</v>
      </c>
      <c r="BH224" s="101" t="s">
        <v>5873</v>
      </c>
      <c r="BI224" s="101" t="s">
        <v>4136</v>
      </c>
      <c r="BJ224" s="101" t="s">
        <v>9829</v>
      </c>
      <c r="BK224" s="101" t="s">
        <v>9830</v>
      </c>
      <c r="BL224" s="102" t="s">
        <v>5210</v>
      </c>
      <c r="BM224" s="100" t="s">
        <v>9821</v>
      </c>
      <c r="BN224" s="101" t="s">
        <v>9822</v>
      </c>
      <c r="BO224" s="101" t="s">
        <v>9823</v>
      </c>
      <c r="BP224" s="101" t="s">
        <v>9831</v>
      </c>
      <c r="BQ224" s="101" t="s">
        <v>9825</v>
      </c>
      <c r="BR224" s="101" t="s">
        <v>9832</v>
      </c>
      <c r="BS224" s="101" t="s">
        <v>9833</v>
      </c>
      <c r="BT224" s="101" t="s">
        <v>9827</v>
      </c>
      <c r="BU224" s="101" t="s">
        <v>3544</v>
      </c>
      <c r="BV224" s="101" t="s">
        <v>9828</v>
      </c>
      <c r="BW224" s="101" t="s">
        <v>9834</v>
      </c>
      <c r="BX224" s="101" t="s">
        <v>9835</v>
      </c>
      <c r="BY224" s="101" t="s">
        <v>9836</v>
      </c>
      <c r="BZ224" s="101" t="s">
        <v>9829</v>
      </c>
      <c r="CA224" s="101" t="s">
        <v>9830</v>
      </c>
      <c r="CB224" s="102" t="s">
        <v>9837</v>
      </c>
      <c r="CC224" s="101"/>
      <c r="CD224" s="101"/>
      <c r="CE224" s="101"/>
      <c r="CF224" s="101"/>
      <c r="CG224" s="101"/>
      <c r="CH224" s="101"/>
      <c r="CI224" s="101"/>
      <c r="CJ224" s="101"/>
      <c r="CK224" s="101"/>
      <c r="CL224" s="101"/>
      <c r="CM224" s="101"/>
      <c r="CN224" s="101"/>
      <c r="CO224" s="101"/>
      <c r="CP224" s="101"/>
      <c r="CQ224" s="101"/>
      <c r="CR224" s="101"/>
    </row>
    <row r="225">
      <c r="A225" s="103"/>
      <c r="B225" s="103"/>
      <c r="C225" s="103"/>
      <c r="D225" s="103"/>
      <c r="E225" s="103"/>
      <c r="F225" s="103"/>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1"/>
      <c r="AH225" s="101"/>
      <c r="AI225" s="101"/>
      <c r="AJ225" s="101"/>
      <c r="AK225" s="101"/>
      <c r="AL225" s="101"/>
      <c r="AM225" s="101"/>
      <c r="AN225" s="101"/>
      <c r="AO225" s="101"/>
      <c r="AP225" s="101"/>
      <c r="AQ225" s="101"/>
      <c r="AR225" s="101"/>
      <c r="AS225" s="101"/>
      <c r="AT225" s="101"/>
      <c r="AU225" s="101"/>
      <c r="AV225" s="106"/>
      <c r="AW225" s="110" t="s">
        <v>4670</v>
      </c>
      <c r="AX225" s="111" t="s">
        <v>9838</v>
      </c>
      <c r="AY225" s="111" t="s">
        <v>9839</v>
      </c>
      <c r="AZ225" s="111" t="s">
        <v>9840</v>
      </c>
      <c r="BA225" s="111" t="s">
        <v>9841</v>
      </c>
      <c r="BB225" s="111" t="s">
        <v>9842</v>
      </c>
      <c r="BC225" s="111" t="s">
        <v>5442</v>
      </c>
      <c r="BD225" s="111" t="s">
        <v>9843</v>
      </c>
      <c r="BE225" s="111" t="s">
        <v>9844</v>
      </c>
      <c r="BF225" s="111" t="s">
        <v>4711</v>
      </c>
      <c r="BG225" s="111" t="s">
        <v>9845</v>
      </c>
      <c r="BH225" s="111" t="s">
        <v>9846</v>
      </c>
      <c r="BI225" s="111" t="s">
        <v>9847</v>
      </c>
      <c r="BJ225" s="111" t="s">
        <v>9848</v>
      </c>
      <c r="BK225" s="111" t="s">
        <v>4532</v>
      </c>
      <c r="BL225" s="112" t="s">
        <v>9849</v>
      </c>
      <c r="BM225" s="110" t="s">
        <v>9850</v>
      </c>
      <c r="BN225" s="111" t="s">
        <v>9851</v>
      </c>
      <c r="BO225" s="111" t="s">
        <v>9839</v>
      </c>
      <c r="BP225" s="111" t="s">
        <v>9840</v>
      </c>
      <c r="BQ225" s="111" t="s">
        <v>9841</v>
      </c>
      <c r="BR225" s="111" t="s">
        <v>9852</v>
      </c>
      <c r="BS225" s="111" t="s">
        <v>9853</v>
      </c>
      <c r="BT225" s="111" t="s">
        <v>9854</v>
      </c>
      <c r="BU225" s="111" t="s">
        <v>9844</v>
      </c>
      <c r="BV225" s="111" t="s">
        <v>9855</v>
      </c>
      <c r="BW225" s="111" t="s">
        <v>9845</v>
      </c>
      <c r="BX225" s="111" t="s">
        <v>9846</v>
      </c>
      <c r="BY225" s="111" t="s">
        <v>9856</v>
      </c>
      <c r="BZ225" s="111" t="s">
        <v>9857</v>
      </c>
      <c r="CA225" s="111" t="s">
        <v>9858</v>
      </c>
      <c r="CB225" s="112" t="s">
        <v>9849</v>
      </c>
      <c r="CC225" s="101"/>
      <c r="CD225" s="101"/>
      <c r="CE225" s="101"/>
      <c r="CF225" s="101"/>
      <c r="CG225" s="101"/>
      <c r="CH225" s="101"/>
      <c r="CI225" s="101"/>
      <c r="CJ225" s="101"/>
      <c r="CK225" s="101"/>
      <c r="CL225" s="101"/>
      <c r="CM225" s="101"/>
      <c r="CN225" s="101"/>
      <c r="CO225" s="101"/>
      <c r="CP225" s="101"/>
      <c r="CQ225" s="101"/>
      <c r="CR225" s="101"/>
    </row>
    <row r="226">
      <c r="A226" s="103"/>
      <c r="B226" s="103"/>
      <c r="C226" s="103"/>
      <c r="D226" s="103"/>
      <c r="E226" s="103"/>
      <c r="F226" s="103"/>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1"/>
      <c r="AH226" s="101"/>
      <c r="AI226" s="101"/>
      <c r="AJ226" s="101"/>
      <c r="AK226" s="101"/>
      <c r="AL226" s="101"/>
      <c r="AM226" s="101"/>
      <c r="AN226" s="101"/>
      <c r="AO226" s="101"/>
      <c r="AP226" s="101"/>
      <c r="AQ226" s="101"/>
      <c r="AR226" s="101"/>
      <c r="AS226" s="101"/>
      <c r="AT226" s="101"/>
      <c r="AU226" s="101"/>
      <c r="AV226" s="106"/>
      <c r="AW226" s="99" t="s">
        <v>9859</v>
      </c>
      <c r="AX226" s="97" t="s">
        <v>3346</v>
      </c>
      <c r="AY226" s="97" t="s">
        <v>9860</v>
      </c>
      <c r="AZ226" s="97" t="s">
        <v>9861</v>
      </c>
      <c r="BA226" s="97" t="s">
        <v>9862</v>
      </c>
      <c r="BB226" s="97" t="s">
        <v>9863</v>
      </c>
      <c r="BC226" s="97" t="s">
        <v>9864</v>
      </c>
      <c r="BD226" s="97" t="s">
        <v>9865</v>
      </c>
      <c r="BE226" s="97" t="s">
        <v>9866</v>
      </c>
      <c r="BF226" s="97" t="s">
        <v>9867</v>
      </c>
      <c r="BG226" s="97" t="s">
        <v>9868</v>
      </c>
      <c r="BH226" s="97" t="s">
        <v>9869</v>
      </c>
      <c r="BI226" s="97" t="s">
        <v>9870</v>
      </c>
      <c r="BJ226" s="97" t="s">
        <v>9871</v>
      </c>
      <c r="BK226" s="97" t="s">
        <v>9872</v>
      </c>
      <c r="BL226" s="98" t="s">
        <v>9873</v>
      </c>
      <c r="BM226" s="99" t="s">
        <v>9874</v>
      </c>
      <c r="BN226" s="97" t="s">
        <v>9875</v>
      </c>
      <c r="BO226" s="97" t="s">
        <v>9860</v>
      </c>
      <c r="BP226" s="97" t="s">
        <v>9861</v>
      </c>
      <c r="BQ226" s="97" t="s">
        <v>9862</v>
      </c>
      <c r="BR226" s="97" t="s">
        <v>9876</v>
      </c>
      <c r="BS226" s="97" t="s">
        <v>9864</v>
      </c>
      <c r="BT226" s="97" t="s">
        <v>9865</v>
      </c>
      <c r="BU226" s="97" t="s">
        <v>9866</v>
      </c>
      <c r="BV226" s="97" t="s">
        <v>9877</v>
      </c>
      <c r="BW226" s="97" t="s">
        <v>9868</v>
      </c>
      <c r="BX226" s="97" t="s">
        <v>9878</v>
      </c>
      <c r="BY226" s="97" t="s">
        <v>9879</v>
      </c>
      <c r="BZ226" s="97" t="s">
        <v>9871</v>
      </c>
      <c r="CA226" s="97" t="s">
        <v>9872</v>
      </c>
      <c r="CB226" s="98" t="s">
        <v>9873</v>
      </c>
      <c r="CC226" s="101"/>
      <c r="CD226" s="101"/>
      <c r="CE226" s="101"/>
      <c r="CF226" s="101"/>
      <c r="CG226" s="101"/>
      <c r="CH226" s="101"/>
      <c r="CI226" s="101"/>
      <c r="CJ226" s="101"/>
      <c r="CK226" s="101"/>
      <c r="CL226" s="101"/>
      <c r="CM226" s="101"/>
      <c r="CN226" s="101"/>
      <c r="CO226" s="101"/>
      <c r="CP226" s="101"/>
      <c r="CQ226" s="101"/>
      <c r="CR226" s="101"/>
    </row>
    <row r="227">
      <c r="A227" s="103"/>
      <c r="B227" s="103"/>
      <c r="C227" s="103"/>
      <c r="D227" s="103"/>
      <c r="E227" s="103"/>
      <c r="F227" s="103"/>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1"/>
      <c r="AH227" s="101"/>
      <c r="AI227" s="101"/>
      <c r="AJ227" s="101"/>
      <c r="AK227" s="101"/>
      <c r="AL227" s="101"/>
      <c r="AM227" s="101"/>
      <c r="AN227" s="101"/>
      <c r="AO227" s="101"/>
      <c r="AP227" s="101"/>
      <c r="AQ227" s="101"/>
      <c r="AR227" s="101"/>
      <c r="AS227" s="101"/>
      <c r="AT227" s="101"/>
      <c r="AU227" s="101"/>
      <c r="AV227" s="106"/>
      <c r="AW227" s="100" t="s">
        <v>9880</v>
      </c>
      <c r="AX227" s="101" t="s">
        <v>9881</v>
      </c>
      <c r="AY227" s="101" t="s">
        <v>7431</v>
      </c>
      <c r="AZ227" s="101" t="s">
        <v>5204</v>
      </c>
      <c r="BA227" s="101" t="s">
        <v>9882</v>
      </c>
      <c r="BB227" s="101" t="s">
        <v>9883</v>
      </c>
      <c r="BC227" s="101" t="s">
        <v>9884</v>
      </c>
      <c r="BD227" s="101" t="s">
        <v>9885</v>
      </c>
      <c r="BE227" s="101" t="s">
        <v>9886</v>
      </c>
      <c r="BF227" s="101" t="s">
        <v>9887</v>
      </c>
      <c r="BG227" s="101" t="s">
        <v>9888</v>
      </c>
      <c r="BH227" s="101" t="s">
        <v>9889</v>
      </c>
      <c r="BI227" s="101" t="s">
        <v>9890</v>
      </c>
      <c r="BJ227" s="101" t="s">
        <v>9891</v>
      </c>
      <c r="BK227" s="101" t="s">
        <v>9892</v>
      </c>
      <c r="BL227" s="102" t="s">
        <v>9893</v>
      </c>
      <c r="BM227" s="100" t="s">
        <v>9880</v>
      </c>
      <c r="BN227" s="101" t="s">
        <v>9894</v>
      </c>
      <c r="BO227" s="101" t="s">
        <v>9895</v>
      </c>
      <c r="BP227" s="101" t="s">
        <v>9896</v>
      </c>
      <c r="BQ227" s="101" t="s">
        <v>9897</v>
      </c>
      <c r="BR227" s="101" t="s">
        <v>9883</v>
      </c>
      <c r="BS227" s="101" t="s">
        <v>9884</v>
      </c>
      <c r="BT227" s="101" t="s">
        <v>9885</v>
      </c>
      <c r="BU227" s="101" t="s">
        <v>9886</v>
      </c>
      <c r="BV227" s="101" t="s">
        <v>9887</v>
      </c>
      <c r="BW227" s="101" t="s">
        <v>9888</v>
      </c>
      <c r="BX227" s="101" t="s">
        <v>9898</v>
      </c>
      <c r="BY227" s="101" t="s">
        <v>9899</v>
      </c>
      <c r="BZ227" s="101" t="s">
        <v>9891</v>
      </c>
      <c r="CA227" s="101" t="s">
        <v>9892</v>
      </c>
      <c r="CB227" s="102" t="s">
        <v>9893</v>
      </c>
      <c r="CC227" s="101"/>
      <c r="CD227" s="101"/>
      <c r="CE227" s="101"/>
      <c r="CF227" s="101"/>
      <c r="CG227" s="101"/>
      <c r="CH227" s="101"/>
      <c r="CI227" s="101"/>
      <c r="CJ227" s="101"/>
      <c r="CK227" s="101"/>
      <c r="CL227" s="101"/>
      <c r="CM227" s="101"/>
      <c r="CN227" s="101"/>
      <c r="CO227" s="101"/>
      <c r="CP227" s="101"/>
      <c r="CQ227" s="101"/>
      <c r="CR227" s="101"/>
    </row>
    <row r="228">
      <c r="A228" s="103"/>
      <c r="B228" s="103"/>
      <c r="C228" s="103"/>
      <c r="D228" s="103"/>
      <c r="E228" s="103"/>
      <c r="F228" s="103"/>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1"/>
      <c r="AH228" s="101"/>
      <c r="AI228" s="101"/>
      <c r="AJ228" s="101"/>
      <c r="AK228" s="101"/>
      <c r="AL228" s="101"/>
      <c r="AM228" s="101"/>
      <c r="AN228" s="101"/>
      <c r="AO228" s="101"/>
      <c r="AP228" s="101"/>
      <c r="AQ228" s="101"/>
      <c r="AR228" s="101"/>
      <c r="AS228" s="101"/>
      <c r="AT228" s="101"/>
      <c r="AU228" s="101"/>
      <c r="AV228" s="106"/>
      <c r="AW228" s="100" t="s">
        <v>9900</v>
      </c>
      <c r="AX228" s="101" t="s">
        <v>9901</v>
      </c>
      <c r="AY228" s="101" t="s">
        <v>9902</v>
      </c>
      <c r="AZ228" s="101" t="s">
        <v>9903</v>
      </c>
      <c r="BA228" s="101" t="s">
        <v>9904</v>
      </c>
      <c r="BB228" s="101" t="s">
        <v>9905</v>
      </c>
      <c r="BC228" s="101" t="s">
        <v>9906</v>
      </c>
      <c r="BD228" s="101" t="s">
        <v>9907</v>
      </c>
      <c r="BE228" s="101" t="s">
        <v>9908</v>
      </c>
      <c r="BF228" s="101" t="s">
        <v>9909</v>
      </c>
      <c r="BG228" s="101" t="s">
        <v>9910</v>
      </c>
      <c r="BH228" s="101" t="s">
        <v>9911</v>
      </c>
      <c r="BI228" s="101" t="s">
        <v>9528</v>
      </c>
      <c r="BJ228" s="101" t="s">
        <v>9912</v>
      </c>
      <c r="BK228" s="101" t="s">
        <v>9913</v>
      </c>
      <c r="BL228" s="102" t="s">
        <v>9914</v>
      </c>
      <c r="BM228" s="100" t="s">
        <v>9900</v>
      </c>
      <c r="BN228" s="101" t="s">
        <v>9901</v>
      </c>
      <c r="BO228" s="101" t="s">
        <v>9902</v>
      </c>
      <c r="BP228" s="101" t="s">
        <v>9903</v>
      </c>
      <c r="BQ228" s="101" t="s">
        <v>9904</v>
      </c>
      <c r="BR228" s="101" t="s">
        <v>9905</v>
      </c>
      <c r="BS228" s="101" t="s">
        <v>9906</v>
      </c>
      <c r="BT228" s="101" t="s">
        <v>9907</v>
      </c>
      <c r="BU228" s="101" t="s">
        <v>9908</v>
      </c>
      <c r="BV228" s="101" t="s">
        <v>9909</v>
      </c>
      <c r="BW228" s="101" t="s">
        <v>9910</v>
      </c>
      <c r="BX228" s="101" t="s">
        <v>9911</v>
      </c>
      <c r="BY228" s="101" t="s">
        <v>9915</v>
      </c>
      <c r="BZ228" s="101" t="s">
        <v>9912</v>
      </c>
      <c r="CA228" s="101" t="s">
        <v>9916</v>
      </c>
      <c r="CB228" s="102" t="s">
        <v>9917</v>
      </c>
      <c r="CC228" s="101"/>
      <c r="CD228" s="101"/>
      <c r="CE228" s="101"/>
      <c r="CF228" s="101"/>
      <c r="CG228" s="101"/>
      <c r="CH228" s="101"/>
      <c r="CI228" s="101"/>
      <c r="CJ228" s="101"/>
      <c r="CK228" s="101"/>
      <c r="CL228" s="101"/>
      <c r="CM228" s="101"/>
      <c r="CN228" s="101"/>
      <c r="CO228" s="101"/>
      <c r="CP228" s="101"/>
      <c r="CQ228" s="101"/>
      <c r="CR228" s="101"/>
    </row>
    <row r="229">
      <c r="A229" s="103"/>
      <c r="B229" s="103"/>
      <c r="C229" s="103"/>
      <c r="D229" s="103"/>
      <c r="E229" s="103"/>
      <c r="F229" s="103"/>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1"/>
      <c r="AH229" s="101"/>
      <c r="AI229" s="101"/>
      <c r="AJ229" s="101"/>
      <c r="AK229" s="101"/>
      <c r="AL229" s="101"/>
      <c r="AM229" s="101"/>
      <c r="AN229" s="101"/>
      <c r="AO229" s="101"/>
      <c r="AP229" s="101"/>
      <c r="AQ229" s="101"/>
      <c r="AR229" s="101"/>
      <c r="AS229" s="101"/>
      <c r="AT229" s="101"/>
      <c r="AU229" s="101"/>
      <c r="AV229" s="106"/>
      <c r="AW229" s="100" t="s">
        <v>9918</v>
      </c>
      <c r="AX229" s="101" t="s">
        <v>9919</v>
      </c>
      <c r="AY229" s="101" t="s">
        <v>9920</v>
      </c>
      <c r="AZ229" s="101" t="s">
        <v>9921</v>
      </c>
      <c r="BA229" s="101" t="s">
        <v>9922</v>
      </c>
      <c r="BB229" s="101" t="s">
        <v>9923</v>
      </c>
      <c r="BC229" s="101" t="s">
        <v>9924</v>
      </c>
      <c r="BD229" s="101" t="s">
        <v>4017</v>
      </c>
      <c r="BE229" s="101" t="s">
        <v>9925</v>
      </c>
      <c r="BF229" s="101" t="s">
        <v>9926</v>
      </c>
      <c r="BG229" s="101" t="s">
        <v>6764</v>
      </c>
      <c r="BH229" s="101" t="s">
        <v>9927</v>
      </c>
      <c r="BI229" s="101" t="s">
        <v>9928</v>
      </c>
      <c r="BJ229" s="101" t="s">
        <v>9929</v>
      </c>
      <c r="BK229" s="101" t="s">
        <v>9930</v>
      </c>
      <c r="BL229" s="102" t="s">
        <v>9931</v>
      </c>
      <c r="BM229" s="100" t="s">
        <v>9918</v>
      </c>
      <c r="BN229" s="101" t="s">
        <v>9919</v>
      </c>
      <c r="BO229" s="101" t="s">
        <v>9920</v>
      </c>
      <c r="BP229" s="101" t="s">
        <v>9921</v>
      </c>
      <c r="BQ229" s="101" t="s">
        <v>9922</v>
      </c>
      <c r="BR229" s="101" t="s">
        <v>9932</v>
      </c>
      <c r="BS229" s="101" t="s">
        <v>9924</v>
      </c>
      <c r="BT229" s="101" t="s">
        <v>9933</v>
      </c>
      <c r="BU229" s="101" t="s">
        <v>9925</v>
      </c>
      <c r="BV229" s="101" t="s">
        <v>9926</v>
      </c>
      <c r="BW229" s="101" t="s">
        <v>9934</v>
      </c>
      <c r="BX229" s="101" t="s">
        <v>9927</v>
      </c>
      <c r="BY229" s="101" t="s">
        <v>9928</v>
      </c>
      <c r="BZ229" s="101" t="s">
        <v>9929</v>
      </c>
      <c r="CA229" s="101" t="s">
        <v>9930</v>
      </c>
      <c r="CB229" s="102" t="s">
        <v>9931</v>
      </c>
      <c r="CC229" s="101"/>
      <c r="CD229" s="101"/>
      <c r="CE229" s="101"/>
      <c r="CF229" s="101"/>
      <c r="CG229" s="101"/>
      <c r="CH229" s="101"/>
      <c r="CI229" s="101"/>
      <c r="CJ229" s="101"/>
      <c r="CK229" s="101"/>
      <c r="CL229" s="101"/>
      <c r="CM229" s="101"/>
      <c r="CN229" s="101"/>
      <c r="CO229" s="101"/>
      <c r="CP229" s="101"/>
      <c r="CQ229" s="101"/>
      <c r="CR229" s="101"/>
    </row>
    <row r="230">
      <c r="A230" s="103"/>
      <c r="B230" s="103"/>
      <c r="C230" s="103"/>
      <c r="D230" s="103"/>
      <c r="E230" s="103"/>
      <c r="F230" s="103"/>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1"/>
      <c r="AH230" s="101"/>
      <c r="AI230" s="101"/>
      <c r="AJ230" s="101"/>
      <c r="AK230" s="101"/>
      <c r="AL230" s="101"/>
      <c r="AM230" s="101"/>
      <c r="AN230" s="101"/>
      <c r="AO230" s="101"/>
      <c r="AP230" s="101"/>
      <c r="AQ230" s="101"/>
      <c r="AR230" s="101"/>
      <c r="AS230" s="101"/>
      <c r="AT230" s="101"/>
      <c r="AU230" s="101"/>
      <c r="AV230" s="106"/>
      <c r="AW230" s="100" t="s">
        <v>9935</v>
      </c>
      <c r="AX230" s="101" t="s">
        <v>9936</v>
      </c>
      <c r="AY230" s="101" t="s">
        <v>9937</v>
      </c>
      <c r="AZ230" s="101" t="s">
        <v>9938</v>
      </c>
      <c r="BA230" s="101" t="s">
        <v>9939</v>
      </c>
      <c r="BB230" s="101" t="s">
        <v>9940</v>
      </c>
      <c r="BC230" s="101" t="s">
        <v>9941</v>
      </c>
      <c r="BD230" s="101" t="s">
        <v>9942</v>
      </c>
      <c r="BE230" s="101" t="s">
        <v>9943</v>
      </c>
      <c r="BF230" s="101" t="s">
        <v>9944</v>
      </c>
      <c r="BG230" s="101" t="s">
        <v>9945</v>
      </c>
      <c r="BH230" s="101" t="s">
        <v>9946</v>
      </c>
      <c r="BI230" s="101" t="s">
        <v>9947</v>
      </c>
      <c r="BJ230" s="101" t="s">
        <v>3276</v>
      </c>
      <c r="BK230" s="101" t="s">
        <v>9948</v>
      </c>
      <c r="BL230" s="102" t="s">
        <v>9949</v>
      </c>
      <c r="BM230" s="100" t="s">
        <v>9935</v>
      </c>
      <c r="BN230" s="101" t="s">
        <v>9936</v>
      </c>
      <c r="BO230" s="101" t="s">
        <v>9950</v>
      </c>
      <c r="BP230" s="101" t="s">
        <v>9938</v>
      </c>
      <c r="BQ230" s="101" t="s">
        <v>9939</v>
      </c>
      <c r="BR230" s="101" t="s">
        <v>9940</v>
      </c>
      <c r="BS230" s="101" t="s">
        <v>9941</v>
      </c>
      <c r="BT230" s="101" t="s">
        <v>9951</v>
      </c>
      <c r="BU230" s="101" t="s">
        <v>9943</v>
      </c>
      <c r="BV230" s="101" t="s">
        <v>9944</v>
      </c>
      <c r="BW230" s="101" t="s">
        <v>9945</v>
      </c>
      <c r="BX230" s="101" t="s">
        <v>9946</v>
      </c>
      <c r="BY230" s="101" t="s">
        <v>9947</v>
      </c>
      <c r="BZ230" s="101" t="s">
        <v>9952</v>
      </c>
      <c r="CA230" s="101" t="s">
        <v>9948</v>
      </c>
      <c r="CB230" s="102" t="s">
        <v>9953</v>
      </c>
      <c r="CC230" s="101"/>
      <c r="CD230" s="101"/>
      <c r="CE230" s="101"/>
      <c r="CF230" s="101"/>
      <c r="CG230" s="101"/>
      <c r="CH230" s="101"/>
      <c r="CI230" s="101"/>
      <c r="CJ230" s="101"/>
      <c r="CK230" s="101"/>
      <c r="CL230" s="101"/>
      <c r="CM230" s="101"/>
      <c r="CN230" s="101"/>
      <c r="CO230" s="101"/>
      <c r="CP230" s="101"/>
      <c r="CQ230" s="101"/>
      <c r="CR230" s="101"/>
    </row>
    <row r="231">
      <c r="A231" s="103"/>
      <c r="B231" s="103"/>
      <c r="C231" s="103"/>
      <c r="D231" s="103"/>
      <c r="E231" s="103"/>
      <c r="F231" s="103"/>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1"/>
      <c r="AH231" s="101"/>
      <c r="AI231" s="101"/>
      <c r="AJ231" s="101"/>
      <c r="AK231" s="101"/>
      <c r="AL231" s="101"/>
      <c r="AM231" s="101"/>
      <c r="AN231" s="101"/>
      <c r="AO231" s="101"/>
      <c r="AP231" s="101"/>
      <c r="AQ231" s="101"/>
      <c r="AR231" s="101"/>
      <c r="AS231" s="101"/>
      <c r="AT231" s="101"/>
      <c r="AU231" s="101"/>
      <c r="AV231" s="106"/>
      <c r="AW231" s="100" t="s">
        <v>9954</v>
      </c>
      <c r="AX231" s="101" t="s">
        <v>9955</v>
      </c>
      <c r="AY231" s="101" t="s">
        <v>9956</v>
      </c>
      <c r="AZ231" s="101" t="s">
        <v>9957</v>
      </c>
      <c r="BA231" s="101" t="s">
        <v>9958</v>
      </c>
      <c r="BB231" s="101" t="s">
        <v>9959</v>
      </c>
      <c r="BC231" s="101" t="s">
        <v>9960</v>
      </c>
      <c r="BD231" s="101" t="s">
        <v>9961</v>
      </c>
      <c r="BE231" s="101" t="s">
        <v>9962</v>
      </c>
      <c r="BF231" s="101" t="s">
        <v>9963</v>
      </c>
      <c r="BG231" s="101" t="s">
        <v>9964</v>
      </c>
      <c r="BH231" s="101" t="s">
        <v>9965</v>
      </c>
      <c r="BI231" s="101" t="s">
        <v>9966</v>
      </c>
      <c r="BJ231" s="101" t="s">
        <v>9967</v>
      </c>
      <c r="BK231" s="101" t="s">
        <v>9968</v>
      </c>
      <c r="BL231" s="102" t="s">
        <v>9969</v>
      </c>
      <c r="BM231" s="100" t="s">
        <v>9954</v>
      </c>
      <c r="BN231" s="101" t="s">
        <v>9955</v>
      </c>
      <c r="BO231" s="101" t="s">
        <v>9956</v>
      </c>
      <c r="BP231" s="101" t="s">
        <v>9957</v>
      </c>
      <c r="BQ231" s="101" t="s">
        <v>9958</v>
      </c>
      <c r="BR231" s="101" t="s">
        <v>9970</v>
      </c>
      <c r="BS231" s="101" t="s">
        <v>9960</v>
      </c>
      <c r="BT231" s="101" t="s">
        <v>9961</v>
      </c>
      <c r="BU231" s="101" t="s">
        <v>9962</v>
      </c>
      <c r="BV231" s="101" t="s">
        <v>9971</v>
      </c>
      <c r="BW231" s="101" t="s">
        <v>9964</v>
      </c>
      <c r="BX231" s="101" t="s">
        <v>9965</v>
      </c>
      <c r="BY231" s="101" t="s">
        <v>9966</v>
      </c>
      <c r="BZ231" s="101" t="s">
        <v>9967</v>
      </c>
      <c r="CA231" s="101" t="s">
        <v>9968</v>
      </c>
      <c r="CB231" s="102" t="s">
        <v>9969</v>
      </c>
      <c r="CC231" s="101"/>
      <c r="CD231" s="101"/>
      <c r="CE231" s="101"/>
      <c r="CF231" s="101"/>
      <c r="CG231" s="101"/>
      <c r="CH231" s="101"/>
      <c r="CI231" s="101"/>
      <c r="CJ231" s="101"/>
      <c r="CK231" s="101"/>
      <c r="CL231" s="101"/>
      <c r="CM231" s="101"/>
      <c r="CN231" s="101"/>
      <c r="CO231" s="101"/>
      <c r="CP231" s="101"/>
      <c r="CQ231" s="101"/>
      <c r="CR231" s="101"/>
    </row>
    <row r="232">
      <c r="A232" s="103"/>
      <c r="B232" s="103"/>
      <c r="C232" s="103"/>
      <c r="D232" s="103"/>
      <c r="E232" s="103"/>
      <c r="F232" s="103"/>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1"/>
      <c r="AH232" s="101"/>
      <c r="AI232" s="101"/>
      <c r="AJ232" s="101"/>
      <c r="AK232" s="101"/>
      <c r="AL232" s="101"/>
      <c r="AM232" s="101"/>
      <c r="AN232" s="101"/>
      <c r="AO232" s="101"/>
      <c r="AP232" s="101"/>
      <c r="AQ232" s="101"/>
      <c r="AR232" s="101"/>
      <c r="AS232" s="101"/>
      <c r="AT232" s="101"/>
      <c r="AU232" s="101"/>
      <c r="AV232" s="106"/>
      <c r="AW232" s="100" t="s">
        <v>9972</v>
      </c>
      <c r="AX232" s="101" t="s">
        <v>9973</v>
      </c>
      <c r="AY232" s="101" t="s">
        <v>9974</v>
      </c>
      <c r="AZ232" s="101" t="s">
        <v>9975</v>
      </c>
      <c r="BA232" s="101" t="s">
        <v>9976</v>
      </c>
      <c r="BB232" s="101" t="s">
        <v>9977</v>
      </c>
      <c r="BC232" s="101" t="s">
        <v>9978</v>
      </c>
      <c r="BD232" s="101" t="s">
        <v>9979</v>
      </c>
      <c r="BE232" s="101" t="s">
        <v>9980</v>
      </c>
      <c r="BF232" s="101" t="s">
        <v>9981</v>
      </c>
      <c r="BG232" s="101" t="s">
        <v>9982</v>
      </c>
      <c r="BH232" s="101" t="s">
        <v>9983</v>
      </c>
      <c r="BI232" s="101" t="s">
        <v>9984</v>
      </c>
      <c r="BJ232" s="101" t="s">
        <v>9985</v>
      </c>
      <c r="BK232" s="101" t="s">
        <v>9986</v>
      </c>
      <c r="BL232" s="102" t="s">
        <v>6387</v>
      </c>
      <c r="BM232" s="100" t="s">
        <v>9972</v>
      </c>
      <c r="BN232" s="101" t="s">
        <v>9973</v>
      </c>
      <c r="BO232" s="101" t="s">
        <v>9974</v>
      </c>
      <c r="BP232" s="101" t="s">
        <v>9975</v>
      </c>
      <c r="BQ232" s="101" t="s">
        <v>9976</v>
      </c>
      <c r="BR232" s="101" t="s">
        <v>9977</v>
      </c>
      <c r="BS232" s="101" t="s">
        <v>9978</v>
      </c>
      <c r="BT232" s="101" t="s">
        <v>9979</v>
      </c>
      <c r="BU232" s="101" t="s">
        <v>9980</v>
      </c>
      <c r="BV232" s="101" t="s">
        <v>9987</v>
      </c>
      <c r="BW232" s="101" t="s">
        <v>9982</v>
      </c>
      <c r="BX232" s="101" t="s">
        <v>9983</v>
      </c>
      <c r="BY232" s="101" t="s">
        <v>9984</v>
      </c>
      <c r="BZ232" s="101" t="s">
        <v>9985</v>
      </c>
      <c r="CA232" s="101" t="s">
        <v>9986</v>
      </c>
      <c r="CB232" s="102" t="s">
        <v>9988</v>
      </c>
      <c r="CC232" s="101"/>
      <c r="CD232" s="101"/>
      <c r="CE232" s="101"/>
      <c r="CF232" s="101"/>
      <c r="CG232" s="101"/>
      <c r="CH232" s="101"/>
      <c r="CI232" s="101"/>
      <c r="CJ232" s="101"/>
      <c r="CK232" s="101"/>
      <c r="CL232" s="101"/>
      <c r="CM232" s="101"/>
      <c r="CN232" s="101"/>
      <c r="CO232" s="101"/>
      <c r="CP232" s="101"/>
      <c r="CQ232" s="101"/>
      <c r="CR232" s="101"/>
    </row>
    <row r="233">
      <c r="A233" s="103"/>
      <c r="B233" s="103"/>
      <c r="C233" s="103"/>
      <c r="D233" s="103"/>
      <c r="E233" s="103"/>
      <c r="F233" s="103"/>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1"/>
      <c r="AH233" s="101"/>
      <c r="AI233" s="101"/>
      <c r="AJ233" s="101"/>
      <c r="AK233" s="101"/>
      <c r="AL233" s="101"/>
      <c r="AM233" s="101"/>
      <c r="AN233" s="101"/>
      <c r="AO233" s="101"/>
      <c r="AP233" s="101"/>
      <c r="AQ233" s="101"/>
      <c r="AR233" s="101"/>
      <c r="AS233" s="101"/>
      <c r="AT233" s="101"/>
      <c r="AU233" s="101"/>
      <c r="AV233" s="106"/>
      <c r="AW233" s="100" t="s">
        <v>9989</v>
      </c>
      <c r="AX233" s="101" t="s">
        <v>9990</v>
      </c>
      <c r="AY233" s="101" t="s">
        <v>9991</v>
      </c>
      <c r="AZ233" s="101" t="s">
        <v>9992</v>
      </c>
      <c r="BA233" s="101" t="s">
        <v>4249</v>
      </c>
      <c r="BB233" s="101" t="s">
        <v>4314</v>
      </c>
      <c r="BC233" s="101" t="s">
        <v>6923</v>
      </c>
      <c r="BD233" s="101" t="s">
        <v>4504</v>
      </c>
      <c r="BE233" s="101" t="s">
        <v>3618</v>
      </c>
      <c r="BF233" s="101" t="s">
        <v>9993</v>
      </c>
      <c r="BG233" s="101" t="s">
        <v>8703</v>
      </c>
      <c r="BH233" s="101" t="s">
        <v>7233</v>
      </c>
      <c r="BI233" s="101" t="s">
        <v>5836</v>
      </c>
      <c r="BJ233" s="101" t="s">
        <v>9994</v>
      </c>
      <c r="BK233" s="101" t="s">
        <v>9995</v>
      </c>
      <c r="BL233" s="102" t="s">
        <v>9996</v>
      </c>
      <c r="BM233" s="100" t="s">
        <v>9989</v>
      </c>
      <c r="BN233" s="101" t="s">
        <v>9997</v>
      </c>
      <c r="BO233" s="101" t="s">
        <v>9991</v>
      </c>
      <c r="BP233" s="101" t="s">
        <v>9992</v>
      </c>
      <c r="BQ233" s="101" t="s">
        <v>9998</v>
      </c>
      <c r="BR233" s="101" t="s">
        <v>4314</v>
      </c>
      <c r="BS233" s="101" t="s">
        <v>9999</v>
      </c>
      <c r="BT233" s="101" t="s">
        <v>10000</v>
      </c>
      <c r="BU233" s="101" t="s">
        <v>10001</v>
      </c>
      <c r="BV233" s="101" t="s">
        <v>9993</v>
      </c>
      <c r="BW233" s="101" t="s">
        <v>10002</v>
      </c>
      <c r="BX233" s="101" t="s">
        <v>10003</v>
      </c>
      <c r="BY233" s="101" t="s">
        <v>10004</v>
      </c>
      <c r="BZ233" s="101" t="s">
        <v>9994</v>
      </c>
      <c r="CA233" s="101" t="s">
        <v>9995</v>
      </c>
      <c r="CB233" s="102" t="s">
        <v>9996</v>
      </c>
      <c r="CC233" s="101"/>
      <c r="CD233" s="101"/>
      <c r="CE233" s="101"/>
      <c r="CF233" s="101"/>
      <c r="CG233" s="101"/>
      <c r="CH233" s="101"/>
      <c r="CI233" s="101"/>
      <c r="CJ233" s="101"/>
      <c r="CK233" s="101"/>
      <c r="CL233" s="101"/>
      <c r="CM233" s="101"/>
      <c r="CN233" s="101"/>
      <c r="CO233" s="101"/>
      <c r="CP233" s="101"/>
      <c r="CQ233" s="101"/>
      <c r="CR233" s="101"/>
    </row>
    <row r="234">
      <c r="A234" s="103"/>
      <c r="B234" s="103"/>
      <c r="C234" s="103"/>
      <c r="D234" s="103"/>
      <c r="E234" s="103"/>
      <c r="F234" s="103"/>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1"/>
      <c r="AH234" s="101"/>
      <c r="AI234" s="101"/>
      <c r="AJ234" s="101"/>
      <c r="AK234" s="101"/>
      <c r="AL234" s="101"/>
      <c r="AM234" s="101"/>
      <c r="AN234" s="101"/>
      <c r="AO234" s="101"/>
      <c r="AP234" s="101"/>
      <c r="AQ234" s="101"/>
      <c r="AR234" s="101"/>
      <c r="AS234" s="101"/>
      <c r="AT234" s="101"/>
      <c r="AU234" s="101"/>
      <c r="AV234" s="106"/>
      <c r="AW234" s="100" t="s">
        <v>10005</v>
      </c>
      <c r="AX234" s="101" t="s">
        <v>4082</v>
      </c>
      <c r="AY234" s="101" t="s">
        <v>10006</v>
      </c>
      <c r="AZ234" s="101" t="s">
        <v>10007</v>
      </c>
      <c r="BA234" s="101" t="s">
        <v>10008</v>
      </c>
      <c r="BB234" s="101" t="s">
        <v>10009</v>
      </c>
      <c r="BC234" s="101" t="s">
        <v>10010</v>
      </c>
      <c r="BD234" s="101" t="s">
        <v>10011</v>
      </c>
      <c r="BE234" s="101" t="s">
        <v>10012</v>
      </c>
      <c r="BF234" s="101" t="s">
        <v>10013</v>
      </c>
      <c r="BG234" s="101" t="s">
        <v>10014</v>
      </c>
      <c r="BH234" s="101" t="s">
        <v>10015</v>
      </c>
      <c r="BI234" s="101" t="s">
        <v>10016</v>
      </c>
      <c r="BJ234" s="101" t="s">
        <v>10017</v>
      </c>
      <c r="BK234" s="101" t="s">
        <v>10018</v>
      </c>
      <c r="BL234" s="102" t="s">
        <v>10019</v>
      </c>
      <c r="BM234" s="100" t="s">
        <v>10005</v>
      </c>
      <c r="BN234" s="101" t="s">
        <v>10020</v>
      </c>
      <c r="BO234" s="101" t="s">
        <v>10006</v>
      </c>
      <c r="BP234" s="101" t="s">
        <v>10007</v>
      </c>
      <c r="BQ234" s="101" t="s">
        <v>10021</v>
      </c>
      <c r="BR234" s="101" t="s">
        <v>10022</v>
      </c>
      <c r="BS234" s="101" t="s">
        <v>10023</v>
      </c>
      <c r="BT234" s="101" t="s">
        <v>10011</v>
      </c>
      <c r="BU234" s="101" t="s">
        <v>10012</v>
      </c>
      <c r="BV234" s="101" t="s">
        <v>10013</v>
      </c>
      <c r="BW234" s="101" t="s">
        <v>10024</v>
      </c>
      <c r="BX234" s="101" t="s">
        <v>10015</v>
      </c>
      <c r="BY234" s="101" t="s">
        <v>10016</v>
      </c>
      <c r="BZ234" s="101" t="s">
        <v>10017</v>
      </c>
      <c r="CA234" s="101" t="s">
        <v>10018</v>
      </c>
      <c r="CB234" s="102" t="s">
        <v>10019</v>
      </c>
      <c r="CC234" s="101"/>
      <c r="CD234" s="101"/>
      <c r="CE234" s="101"/>
      <c r="CF234" s="101"/>
      <c r="CG234" s="101"/>
      <c r="CH234" s="101"/>
      <c r="CI234" s="101"/>
      <c r="CJ234" s="101"/>
      <c r="CK234" s="101"/>
      <c r="CL234" s="101"/>
      <c r="CM234" s="101"/>
      <c r="CN234" s="101"/>
      <c r="CO234" s="101"/>
      <c r="CP234" s="101"/>
      <c r="CQ234" s="101"/>
      <c r="CR234" s="101"/>
    </row>
    <row r="235">
      <c r="A235" s="103"/>
      <c r="B235" s="103"/>
      <c r="C235" s="103"/>
      <c r="D235" s="103"/>
      <c r="E235" s="103"/>
      <c r="F235" s="103"/>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1"/>
      <c r="AH235" s="101"/>
      <c r="AI235" s="101"/>
      <c r="AJ235" s="101"/>
      <c r="AK235" s="101"/>
      <c r="AL235" s="101"/>
      <c r="AM235" s="101"/>
      <c r="AN235" s="101"/>
      <c r="AO235" s="101"/>
      <c r="AP235" s="101"/>
      <c r="AQ235" s="101"/>
      <c r="AR235" s="101"/>
      <c r="AS235" s="101"/>
      <c r="AT235" s="101"/>
      <c r="AU235" s="101"/>
      <c r="AV235" s="106"/>
      <c r="AW235" s="100" t="s">
        <v>10025</v>
      </c>
      <c r="AX235" s="101" t="s">
        <v>10026</v>
      </c>
      <c r="AY235" s="101" t="s">
        <v>10027</v>
      </c>
      <c r="AZ235" s="101" t="s">
        <v>10028</v>
      </c>
      <c r="BA235" s="101" t="s">
        <v>10029</v>
      </c>
      <c r="BB235" s="101" t="s">
        <v>10030</v>
      </c>
      <c r="BC235" s="101" t="s">
        <v>10031</v>
      </c>
      <c r="BD235" s="101" t="s">
        <v>10032</v>
      </c>
      <c r="BE235" s="101" t="s">
        <v>10033</v>
      </c>
      <c r="BF235" s="101" t="s">
        <v>10034</v>
      </c>
      <c r="BG235" s="101" t="s">
        <v>10035</v>
      </c>
      <c r="BH235" s="101" t="s">
        <v>10036</v>
      </c>
      <c r="BI235" s="101" t="s">
        <v>10037</v>
      </c>
      <c r="BJ235" s="101" t="s">
        <v>10038</v>
      </c>
      <c r="BK235" s="101" t="s">
        <v>10039</v>
      </c>
      <c r="BL235" s="102" t="s">
        <v>10040</v>
      </c>
      <c r="BM235" s="100" t="s">
        <v>10041</v>
      </c>
      <c r="BN235" s="101" t="s">
        <v>10026</v>
      </c>
      <c r="BO235" s="101" t="s">
        <v>10027</v>
      </c>
      <c r="BP235" s="101" t="s">
        <v>10042</v>
      </c>
      <c r="BQ235" s="101" t="s">
        <v>10029</v>
      </c>
      <c r="BR235" s="101" t="s">
        <v>10030</v>
      </c>
      <c r="BS235" s="101" t="s">
        <v>10043</v>
      </c>
      <c r="BT235" s="101" t="s">
        <v>10032</v>
      </c>
      <c r="BU235" s="101" t="s">
        <v>10033</v>
      </c>
      <c r="BV235" s="101" t="s">
        <v>10044</v>
      </c>
      <c r="BW235" s="101" t="s">
        <v>10035</v>
      </c>
      <c r="BX235" s="101" t="s">
        <v>10036</v>
      </c>
      <c r="BY235" s="101" t="s">
        <v>10037</v>
      </c>
      <c r="BZ235" s="101" t="s">
        <v>10038</v>
      </c>
      <c r="CA235" s="101" t="s">
        <v>10045</v>
      </c>
      <c r="CB235" s="102" t="s">
        <v>10040</v>
      </c>
      <c r="CC235" s="101"/>
      <c r="CD235" s="101"/>
      <c r="CE235" s="101"/>
      <c r="CF235" s="101"/>
      <c r="CG235" s="101"/>
      <c r="CH235" s="101"/>
      <c r="CI235" s="101"/>
      <c r="CJ235" s="101"/>
      <c r="CK235" s="101"/>
      <c r="CL235" s="101"/>
      <c r="CM235" s="101"/>
      <c r="CN235" s="101"/>
      <c r="CO235" s="101"/>
      <c r="CP235" s="101"/>
      <c r="CQ235" s="101"/>
      <c r="CR235" s="101"/>
    </row>
    <row r="236">
      <c r="A236" s="103"/>
      <c r="B236" s="103"/>
      <c r="C236" s="103"/>
      <c r="D236" s="103"/>
      <c r="E236" s="103"/>
      <c r="F236" s="103"/>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1"/>
      <c r="AH236" s="101"/>
      <c r="AI236" s="101"/>
      <c r="AJ236" s="101"/>
      <c r="AK236" s="101"/>
      <c r="AL236" s="101"/>
      <c r="AM236" s="101"/>
      <c r="AN236" s="101"/>
      <c r="AO236" s="101"/>
      <c r="AP236" s="101"/>
      <c r="AQ236" s="101"/>
      <c r="AR236" s="101"/>
      <c r="AS236" s="101"/>
      <c r="AT236" s="101"/>
      <c r="AU236" s="101"/>
      <c r="AV236" s="106"/>
      <c r="AW236" s="100" t="s">
        <v>10046</v>
      </c>
      <c r="AX236" s="101" t="s">
        <v>10047</v>
      </c>
      <c r="AY236" s="101" t="s">
        <v>10048</v>
      </c>
      <c r="AZ236" s="101" t="s">
        <v>10049</v>
      </c>
      <c r="BA236" s="101" t="s">
        <v>10050</v>
      </c>
      <c r="BB236" s="101" t="s">
        <v>10051</v>
      </c>
      <c r="BC236" s="101" t="s">
        <v>10052</v>
      </c>
      <c r="BD236" s="101" t="s">
        <v>10053</v>
      </c>
      <c r="BE236" s="101" t="s">
        <v>10054</v>
      </c>
      <c r="BF236" s="101" t="s">
        <v>10055</v>
      </c>
      <c r="BG236" s="101" t="s">
        <v>10056</v>
      </c>
      <c r="BH236" s="101" t="s">
        <v>10057</v>
      </c>
      <c r="BI236" s="101" t="s">
        <v>10058</v>
      </c>
      <c r="BJ236" s="101" t="s">
        <v>10059</v>
      </c>
      <c r="BK236" s="101" t="s">
        <v>10060</v>
      </c>
      <c r="BL236" s="102" t="s">
        <v>10061</v>
      </c>
      <c r="BM236" s="100" t="s">
        <v>10046</v>
      </c>
      <c r="BN236" s="101" t="s">
        <v>10047</v>
      </c>
      <c r="BO236" s="101" t="s">
        <v>10048</v>
      </c>
      <c r="BP236" s="101" t="s">
        <v>10049</v>
      </c>
      <c r="BQ236" s="101" t="s">
        <v>10050</v>
      </c>
      <c r="BR236" s="101" t="s">
        <v>10051</v>
      </c>
      <c r="BS236" s="101" t="s">
        <v>10052</v>
      </c>
      <c r="BT236" s="101" t="s">
        <v>10053</v>
      </c>
      <c r="BU236" s="101" t="s">
        <v>10054</v>
      </c>
      <c r="BV236" s="101" t="s">
        <v>10055</v>
      </c>
      <c r="BW236" s="101" t="s">
        <v>10056</v>
      </c>
      <c r="BX236" s="101" t="s">
        <v>10057</v>
      </c>
      <c r="BY236" s="101" t="s">
        <v>10058</v>
      </c>
      <c r="BZ236" s="101" t="s">
        <v>10059</v>
      </c>
      <c r="CA236" s="101" t="s">
        <v>10060</v>
      </c>
      <c r="CB236" s="102" t="s">
        <v>10061</v>
      </c>
      <c r="CC236" s="101"/>
      <c r="CD236" s="101"/>
      <c r="CE236" s="101"/>
      <c r="CF236" s="101"/>
      <c r="CG236" s="101"/>
      <c r="CH236" s="101"/>
      <c r="CI236" s="101"/>
      <c r="CJ236" s="101"/>
      <c r="CK236" s="101"/>
      <c r="CL236" s="101"/>
      <c r="CM236" s="101"/>
      <c r="CN236" s="101"/>
      <c r="CO236" s="101"/>
      <c r="CP236" s="101"/>
      <c r="CQ236" s="101"/>
      <c r="CR236" s="101"/>
    </row>
    <row r="237">
      <c r="A237" s="103"/>
      <c r="B237" s="103"/>
      <c r="C237" s="103"/>
      <c r="D237" s="103"/>
      <c r="E237" s="103"/>
      <c r="F237" s="103"/>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1"/>
      <c r="AH237" s="101"/>
      <c r="AI237" s="101"/>
      <c r="AJ237" s="101"/>
      <c r="AK237" s="101"/>
      <c r="AL237" s="101"/>
      <c r="AM237" s="101"/>
      <c r="AN237" s="101"/>
      <c r="AO237" s="101"/>
      <c r="AP237" s="101"/>
      <c r="AQ237" s="101"/>
      <c r="AR237" s="101"/>
      <c r="AS237" s="101"/>
      <c r="AT237" s="101"/>
      <c r="AU237" s="101"/>
      <c r="AV237" s="106"/>
      <c r="AW237" s="100" t="s">
        <v>10062</v>
      </c>
      <c r="AX237" s="101" t="s">
        <v>10063</v>
      </c>
      <c r="AY237" s="101" t="s">
        <v>10064</v>
      </c>
      <c r="AZ237" s="101" t="s">
        <v>10065</v>
      </c>
      <c r="BA237" s="101" t="s">
        <v>10066</v>
      </c>
      <c r="BB237" s="101" t="s">
        <v>10067</v>
      </c>
      <c r="BC237" s="101" t="s">
        <v>10068</v>
      </c>
      <c r="BD237" s="101" t="s">
        <v>10069</v>
      </c>
      <c r="BE237" s="101" t="s">
        <v>10070</v>
      </c>
      <c r="BF237" s="101" t="s">
        <v>10071</v>
      </c>
      <c r="BG237" s="101" t="s">
        <v>10072</v>
      </c>
      <c r="BH237" s="101" t="s">
        <v>10073</v>
      </c>
      <c r="BI237" s="101" t="s">
        <v>10074</v>
      </c>
      <c r="BJ237" s="101" t="s">
        <v>10075</v>
      </c>
      <c r="BK237" s="101" t="s">
        <v>10076</v>
      </c>
      <c r="BL237" s="102" t="s">
        <v>10077</v>
      </c>
      <c r="BM237" s="100" t="s">
        <v>10062</v>
      </c>
      <c r="BN237" s="101" t="s">
        <v>10063</v>
      </c>
      <c r="BO237" s="101" t="s">
        <v>10064</v>
      </c>
      <c r="BP237" s="101" t="s">
        <v>10078</v>
      </c>
      <c r="BQ237" s="101" t="s">
        <v>10079</v>
      </c>
      <c r="BR237" s="101" t="s">
        <v>10067</v>
      </c>
      <c r="BS237" s="101" t="s">
        <v>10068</v>
      </c>
      <c r="BT237" s="101" t="s">
        <v>10069</v>
      </c>
      <c r="BU237" s="101" t="s">
        <v>10070</v>
      </c>
      <c r="BV237" s="101" t="s">
        <v>10071</v>
      </c>
      <c r="BW237" s="101" t="s">
        <v>10072</v>
      </c>
      <c r="BX237" s="101" t="s">
        <v>10073</v>
      </c>
      <c r="BY237" s="101" t="s">
        <v>10074</v>
      </c>
      <c r="BZ237" s="101" t="s">
        <v>10080</v>
      </c>
      <c r="CA237" s="101" t="s">
        <v>10076</v>
      </c>
      <c r="CB237" s="102" t="s">
        <v>10077</v>
      </c>
      <c r="CC237" s="101"/>
      <c r="CD237" s="101"/>
      <c r="CE237" s="101"/>
      <c r="CF237" s="101"/>
      <c r="CG237" s="101"/>
      <c r="CH237" s="101"/>
      <c r="CI237" s="101"/>
      <c r="CJ237" s="101"/>
      <c r="CK237" s="101"/>
      <c r="CL237" s="101"/>
      <c r="CM237" s="101"/>
      <c r="CN237" s="101"/>
      <c r="CO237" s="101"/>
      <c r="CP237" s="101"/>
      <c r="CQ237" s="101"/>
      <c r="CR237" s="101"/>
    </row>
    <row r="238">
      <c r="A238" s="103"/>
      <c r="B238" s="103"/>
      <c r="C238" s="103"/>
      <c r="D238" s="103"/>
      <c r="E238" s="103"/>
      <c r="F238" s="103"/>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1"/>
      <c r="AH238" s="101"/>
      <c r="AI238" s="101"/>
      <c r="AJ238" s="101"/>
      <c r="AK238" s="101"/>
      <c r="AL238" s="101"/>
      <c r="AM238" s="101"/>
      <c r="AN238" s="101"/>
      <c r="AO238" s="101"/>
      <c r="AP238" s="101"/>
      <c r="AQ238" s="101"/>
      <c r="AR238" s="101"/>
      <c r="AS238" s="101"/>
      <c r="AT238" s="101"/>
      <c r="AU238" s="101"/>
      <c r="AV238" s="106"/>
      <c r="AW238" s="100" t="s">
        <v>10081</v>
      </c>
      <c r="AX238" s="101" t="s">
        <v>10082</v>
      </c>
      <c r="AY238" s="101" t="s">
        <v>10083</v>
      </c>
      <c r="AZ238" s="101" t="s">
        <v>10084</v>
      </c>
      <c r="BA238" s="101" t="s">
        <v>10085</v>
      </c>
      <c r="BB238" s="101" t="s">
        <v>10086</v>
      </c>
      <c r="BC238" s="101" t="s">
        <v>10087</v>
      </c>
      <c r="BD238" s="101" t="s">
        <v>10088</v>
      </c>
      <c r="BE238" s="101" t="s">
        <v>10089</v>
      </c>
      <c r="BF238" s="101" t="s">
        <v>10090</v>
      </c>
      <c r="BG238" s="101" t="s">
        <v>10091</v>
      </c>
      <c r="BH238" s="101" t="s">
        <v>10092</v>
      </c>
      <c r="BI238" s="101" t="s">
        <v>10093</v>
      </c>
      <c r="BJ238" s="101" t="s">
        <v>10094</v>
      </c>
      <c r="BK238" s="101" t="s">
        <v>10095</v>
      </c>
      <c r="BL238" s="102" t="s">
        <v>10096</v>
      </c>
      <c r="BM238" s="100" t="s">
        <v>10097</v>
      </c>
      <c r="BN238" s="101" t="s">
        <v>10082</v>
      </c>
      <c r="BO238" s="101" t="s">
        <v>10083</v>
      </c>
      <c r="BP238" s="101" t="s">
        <v>10084</v>
      </c>
      <c r="BQ238" s="101" t="s">
        <v>10098</v>
      </c>
      <c r="BR238" s="101" t="s">
        <v>10086</v>
      </c>
      <c r="BS238" s="101" t="s">
        <v>10087</v>
      </c>
      <c r="BT238" s="101" t="s">
        <v>10088</v>
      </c>
      <c r="BU238" s="101" t="s">
        <v>10089</v>
      </c>
      <c r="BV238" s="101" t="s">
        <v>10099</v>
      </c>
      <c r="BW238" s="101" t="s">
        <v>10091</v>
      </c>
      <c r="BX238" s="101" t="s">
        <v>10092</v>
      </c>
      <c r="BY238" s="101" t="s">
        <v>10093</v>
      </c>
      <c r="BZ238" s="101" t="s">
        <v>10094</v>
      </c>
      <c r="CA238" s="101" t="s">
        <v>10095</v>
      </c>
      <c r="CB238" s="102" t="s">
        <v>10096</v>
      </c>
      <c r="CC238" s="101"/>
      <c r="CD238" s="101"/>
      <c r="CE238" s="101"/>
      <c r="CF238" s="101"/>
      <c r="CG238" s="101"/>
      <c r="CH238" s="101"/>
      <c r="CI238" s="101"/>
      <c r="CJ238" s="101"/>
      <c r="CK238" s="101"/>
      <c r="CL238" s="101"/>
      <c r="CM238" s="101"/>
      <c r="CN238" s="101"/>
      <c r="CO238" s="101"/>
      <c r="CP238" s="101"/>
      <c r="CQ238" s="101"/>
      <c r="CR238" s="101"/>
    </row>
    <row r="239">
      <c r="A239" s="103"/>
      <c r="B239" s="103"/>
      <c r="C239" s="103"/>
      <c r="D239" s="103"/>
      <c r="E239" s="103"/>
      <c r="F239" s="103"/>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1"/>
      <c r="AH239" s="101"/>
      <c r="AI239" s="101"/>
      <c r="AJ239" s="101"/>
      <c r="AK239" s="101"/>
      <c r="AL239" s="101"/>
      <c r="AM239" s="101"/>
      <c r="AN239" s="101"/>
      <c r="AO239" s="101"/>
      <c r="AP239" s="101"/>
      <c r="AQ239" s="101"/>
      <c r="AR239" s="101"/>
      <c r="AS239" s="101"/>
      <c r="AT239" s="101"/>
      <c r="AU239" s="101"/>
      <c r="AV239" s="106"/>
      <c r="AW239" s="100" t="s">
        <v>10100</v>
      </c>
      <c r="AX239" s="101" t="s">
        <v>10101</v>
      </c>
      <c r="AY239" s="101" t="s">
        <v>10102</v>
      </c>
      <c r="AZ239" s="101" t="s">
        <v>10103</v>
      </c>
      <c r="BA239" s="101" t="s">
        <v>10104</v>
      </c>
      <c r="BB239" s="101" t="s">
        <v>10105</v>
      </c>
      <c r="BC239" s="101" t="s">
        <v>10106</v>
      </c>
      <c r="BD239" s="101" t="s">
        <v>10107</v>
      </c>
      <c r="BE239" s="101" t="s">
        <v>10108</v>
      </c>
      <c r="BF239" s="101" t="s">
        <v>10109</v>
      </c>
      <c r="BG239" s="101" t="s">
        <v>10110</v>
      </c>
      <c r="BH239" s="101" t="s">
        <v>10111</v>
      </c>
      <c r="BI239" s="101" t="s">
        <v>10112</v>
      </c>
      <c r="BJ239" s="101" t="s">
        <v>7957</v>
      </c>
      <c r="BK239" s="101" t="s">
        <v>10113</v>
      </c>
      <c r="BL239" s="102" t="s">
        <v>10114</v>
      </c>
      <c r="BM239" s="100" t="s">
        <v>10100</v>
      </c>
      <c r="BN239" s="101" t="s">
        <v>10115</v>
      </c>
      <c r="BO239" s="101" t="s">
        <v>10102</v>
      </c>
      <c r="BP239" s="101" t="s">
        <v>10103</v>
      </c>
      <c r="BQ239" s="101" t="s">
        <v>10116</v>
      </c>
      <c r="BR239" s="101" t="s">
        <v>10105</v>
      </c>
      <c r="BS239" s="101" t="s">
        <v>10106</v>
      </c>
      <c r="BT239" s="101" t="s">
        <v>10107</v>
      </c>
      <c r="BU239" s="101" t="s">
        <v>10108</v>
      </c>
      <c r="BV239" s="101" t="s">
        <v>10117</v>
      </c>
      <c r="BW239" s="101" t="s">
        <v>10110</v>
      </c>
      <c r="BX239" s="101" t="s">
        <v>10111</v>
      </c>
      <c r="BY239" s="101" t="s">
        <v>10112</v>
      </c>
      <c r="BZ239" s="101" t="s">
        <v>10118</v>
      </c>
      <c r="CA239" s="101" t="s">
        <v>10113</v>
      </c>
      <c r="CB239" s="102" t="s">
        <v>10114</v>
      </c>
      <c r="CC239" s="101"/>
      <c r="CD239" s="101"/>
      <c r="CE239" s="101"/>
      <c r="CF239" s="101"/>
      <c r="CG239" s="101"/>
      <c r="CH239" s="101"/>
      <c r="CI239" s="101"/>
      <c r="CJ239" s="101"/>
      <c r="CK239" s="101"/>
      <c r="CL239" s="101"/>
      <c r="CM239" s="101"/>
      <c r="CN239" s="101"/>
      <c r="CO239" s="101"/>
      <c r="CP239" s="101"/>
      <c r="CQ239" s="101"/>
      <c r="CR239" s="101"/>
    </row>
    <row r="240">
      <c r="A240" s="103"/>
      <c r="B240" s="103"/>
      <c r="C240" s="103"/>
      <c r="D240" s="103"/>
      <c r="E240" s="103"/>
      <c r="F240" s="103"/>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1"/>
      <c r="AH240" s="101"/>
      <c r="AI240" s="101"/>
      <c r="AJ240" s="101"/>
      <c r="AK240" s="101"/>
      <c r="AL240" s="101"/>
      <c r="AM240" s="101"/>
      <c r="AN240" s="101"/>
      <c r="AO240" s="101"/>
      <c r="AP240" s="101"/>
      <c r="AQ240" s="101"/>
      <c r="AR240" s="101"/>
      <c r="AS240" s="101"/>
      <c r="AT240" s="101"/>
      <c r="AU240" s="101"/>
      <c r="AV240" s="106"/>
      <c r="AW240" s="100" t="s">
        <v>10119</v>
      </c>
      <c r="AX240" s="101" t="s">
        <v>10120</v>
      </c>
      <c r="AY240" s="101" t="s">
        <v>10121</v>
      </c>
      <c r="AZ240" s="101" t="s">
        <v>10122</v>
      </c>
      <c r="BA240" s="101" t="s">
        <v>10123</v>
      </c>
      <c r="BB240" s="101" t="s">
        <v>10124</v>
      </c>
      <c r="BC240" s="101" t="s">
        <v>10125</v>
      </c>
      <c r="BD240" s="101" t="s">
        <v>10126</v>
      </c>
      <c r="BE240" s="101" t="s">
        <v>10127</v>
      </c>
      <c r="BF240" s="101" t="s">
        <v>10128</v>
      </c>
      <c r="BG240" s="101" t="s">
        <v>10129</v>
      </c>
      <c r="BH240" s="101" t="s">
        <v>10130</v>
      </c>
      <c r="BI240" s="101" t="s">
        <v>10131</v>
      </c>
      <c r="BJ240" s="101" t="s">
        <v>10132</v>
      </c>
      <c r="BK240" s="101" t="s">
        <v>10133</v>
      </c>
      <c r="BL240" s="102" t="s">
        <v>9084</v>
      </c>
      <c r="BM240" s="100" t="s">
        <v>10134</v>
      </c>
      <c r="BN240" s="101" t="s">
        <v>10120</v>
      </c>
      <c r="BO240" s="101" t="s">
        <v>10121</v>
      </c>
      <c r="BP240" s="101" t="s">
        <v>10135</v>
      </c>
      <c r="BQ240" s="101" t="s">
        <v>10136</v>
      </c>
      <c r="BR240" s="101" t="s">
        <v>10124</v>
      </c>
      <c r="BS240" s="101" t="s">
        <v>10125</v>
      </c>
      <c r="BT240" s="101" t="s">
        <v>10126</v>
      </c>
      <c r="BU240" s="101" t="s">
        <v>10137</v>
      </c>
      <c r="BV240" s="101" t="s">
        <v>10138</v>
      </c>
      <c r="BW240" s="101" t="s">
        <v>10139</v>
      </c>
      <c r="BX240" s="101" t="s">
        <v>10140</v>
      </c>
      <c r="BY240" s="101" t="s">
        <v>10131</v>
      </c>
      <c r="BZ240" s="101" t="s">
        <v>10141</v>
      </c>
      <c r="CA240" s="101" t="s">
        <v>10133</v>
      </c>
      <c r="CB240" s="102" t="s">
        <v>10142</v>
      </c>
      <c r="CC240" s="101"/>
      <c r="CD240" s="101"/>
      <c r="CE240" s="101"/>
      <c r="CF240" s="101"/>
      <c r="CG240" s="101"/>
      <c r="CH240" s="101"/>
      <c r="CI240" s="101"/>
      <c r="CJ240" s="101"/>
      <c r="CK240" s="101"/>
      <c r="CL240" s="101"/>
      <c r="CM240" s="101"/>
      <c r="CN240" s="101"/>
      <c r="CO240" s="101"/>
      <c r="CP240" s="101"/>
      <c r="CQ240" s="101"/>
      <c r="CR240" s="101"/>
    </row>
    <row r="241">
      <c r="A241" s="103"/>
      <c r="B241" s="103"/>
      <c r="C241" s="103"/>
      <c r="D241" s="103"/>
      <c r="E241" s="103"/>
      <c r="F241" s="103"/>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1"/>
      <c r="AH241" s="101"/>
      <c r="AI241" s="101"/>
      <c r="AJ241" s="101"/>
      <c r="AK241" s="101"/>
      <c r="AL241" s="101"/>
      <c r="AM241" s="101"/>
      <c r="AN241" s="101"/>
      <c r="AO241" s="101"/>
      <c r="AP241" s="101"/>
      <c r="AQ241" s="101"/>
      <c r="AR241" s="101"/>
      <c r="AS241" s="101"/>
      <c r="AT241" s="101"/>
      <c r="AU241" s="101"/>
      <c r="AV241" s="106"/>
      <c r="AW241" s="100" t="s">
        <v>10143</v>
      </c>
      <c r="AX241" s="101" t="s">
        <v>10144</v>
      </c>
      <c r="AY241" s="101" t="s">
        <v>10145</v>
      </c>
      <c r="AZ241" s="101" t="s">
        <v>10146</v>
      </c>
      <c r="BA241" s="101" t="s">
        <v>10147</v>
      </c>
      <c r="BB241" s="101" t="s">
        <v>5274</v>
      </c>
      <c r="BC241" s="101" t="s">
        <v>4061</v>
      </c>
      <c r="BD241" s="101" t="s">
        <v>10148</v>
      </c>
      <c r="BE241" s="101" t="s">
        <v>6257</v>
      </c>
      <c r="BF241" s="101" t="s">
        <v>10149</v>
      </c>
      <c r="BG241" s="101" t="s">
        <v>6424</v>
      </c>
      <c r="BH241" s="101" t="s">
        <v>5800</v>
      </c>
      <c r="BI241" s="101" t="s">
        <v>10150</v>
      </c>
      <c r="BJ241" s="101" t="s">
        <v>3868</v>
      </c>
      <c r="BK241" s="101" t="s">
        <v>6965</v>
      </c>
      <c r="BL241" s="102" t="s">
        <v>4682</v>
      </c>
      <c r="BM241" s="100" t="s">
        <v>10143</v>
      </c>
      <c r="BN241" s="101" t="s">
        <v>10151</v>
      </c>
      <c r="BO241" s="101" t="s">
        <v>10145</v>
      </c>
      <c r="BP241" s="101" t="s">
        <v>10152</v>
      </c>
      <c r="BQ241" s="101" t="s">
        <v>10153</v>
      </c>
      <c r="BR241" s="101" t="s">
        <v>10154</v>
      </c>
      <c r="BS241" s="101" t="s">
        <v>10155</v>
      </c>
      <c r="BT241" s="101" t="s">
        <v>10148</v>
      </c>
      <c r="BU241" s="101" t="s">
        <v>10156</v>
      </c>
      <c r="BV241" s="101" t="s">
        <v>10157</v>
      </c>
      <c r="BW241" s="101" t="s">
        <v>10158</v>
      </c>
      <c r="BX241" s="101" t="s">
        <v>5800</v>
      </c>
      <c r="BY241" s="101" t="s">
        <v>10150</v>
      </c>
      <c r="BZ241" s="101" t="s">
        <v>10159</v>
      </c>
      <c r="CA241" s="101" t="s">
        <v>10160</v>
      </c>
      <c r="CB241" s="102" t="s">
        <v>10161</v>
      </c>
      <c r="CC241" s="101"/>
      <c r="CD241" s="101"/>
      <c r="CE241" s="101"/>
      <c r="CF241" s="101"/>
      <c r="CG241" s="101"/>
      <c r="CH241" s="101"/>
      <c r="CI241" s="101"/>
      <c r="CJ241" s="101"/>
      <c r="CK241" s="101"/>
      <c r="CL241" s="101"/>
      <c r="CM241" s="101"/>
      <c r="CN241" s="101"/>
      <c r="CO241" s="101"/>
      <c r="CP241" s="101"/>
      <c r="CQ241" s="101"/>
      <c r="CR241" s="101"/>
    </row>
    <row r="242">
      <c r="A242" s="103"/>
      <c r="B242" s="103"/>
      <c r="C242" s="103"/>
      <c r="D242" s="103"/>
      <c r="E242" s="103"/>
      <c r="F242" s="103"/>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1"/>
      <c r="AH242" s="101"/>
      <c r="AI242" s="101"/>
      <c r="AJ242" s="101"/>
      <c r="AK242" s="101"/>
      <c r="AL242" s="101"/>
      <c r="AM242" s="101"/>
      <c r="AN242" s="101"/>
      <c r="AO242" s="101"/>
      <c r="AP242" s="101"/>
      <c r="AQ242" s="101"/>
      <c r="AR242" s="101"/>
      <c r="AS242" s="101"/>
      <c r="AT242" s="101"/>
      <c r="AU242" s="101"/>
      <c r="AV242" s="106"/>
      <c r="AW242" s="99" t="s">
        <v>10162</v>
      </c>
      <c r="AX242" s="97" t="s">
        <v>10163</v>
      </c>
      <c r="AY242" s="97" t="s">
        <v>10164</v>
      </c>
      <c r="AZ242" s="97" t="s">
        <v>10165</v>
      </c>
      <c r="BA242" s="97" t="s">
        <v>10166</v>
      </c>
      <c r="BB242" s="97" t="s">
        <v>10167</v>
      </c>
      <c r="BC242" s="97" t="s">
        <v>6766</v>
      </c>
      <c r="BD242" s="97" t="s">
        <v>10168</v>
      </c>
      <c r="BE242" s="97" t="s">
        <v>10169</v>
      </c>
      <c r="BF242" s="97" t="s">
        <v>10170</v>
      </c>
      <c r="BG242" s="97" t="s">
        <v>10171</v>
      </c>
      <c r="BH242" s="97" t="s">
        <v>10172</v>
      </c>
      <c r="BI242" s="97" t="s">
        <v>4942</v>
      </c>
      <c r="BJ242" s="97" t="s">
        <v>10173</v>
      </c>
      <c r="BK242" s="97" t="s">
        <v>10174</v>
      </c>
      <c r="BL242" s="98" t="s">
        <v>10175</v>
      </c>
      <c r="BM242" s="99" t="s">
        <v>10162</v>
      </c>
      <c r="BN242" s="97" t="s">
        <v>10176</v>
      </c>
      <c r="BO242" s="97" t="s">
        <v>10164</v>
      </c>
      <c r="BP242" s="97" t="s">
        <v>10165</v>
      </c>
      <c r="BQ242" s="97" t="s">
        <v>10166</v>
      </c>
      <c r="BR242" s="97" t="s">
        <v>10167</v>
      </c>
      <c r="BS242" s="97" t="s">
        <v>10177</v>
      </c>
      <c r="BT242" s="97" t="s">
        <v>10168</v>
      </c>
      <c r="BU242" s="97" t="s">
        <v>10169</v>
      </c>
      <c r="BV242" s="97" t="s">
        <v>10178</v>
      </c>
      <c r="BW242" s="97" t="s">
        <v>10171</v>
      </c>
      <c r="BX242" s="97" t="s">
        <v>10179</v>
      </c>
      <c r="BY242" s="97" t="s">
        <v>10180</v>
      </c>
      <c r="BZ242" s="97" t="s">
        <v>10173</v>
      </c>
      <c r="CA242" s="97" t="s">
        <v>10181</v>
      </c>
      <c r="CB242" s="98" t="s">
        <v>10182</v>
      </c>
      <c r="CC242" s="101"/>
      <c r="CD242" s="101"/>
      <c r="CE242" s="101"/>
      <c r="CF242" s="101"/>
      <c r="CG242" s="101"/>
      <c r="CH242" s="101"/>
      <c r="CI242" s="101"/>
      <c r="CJ242" s="101"/>
      <c r="CK242" s="101"/>
      <c r="CL242" s="101"/>
      <c r="CM242" s="101"/>
      <c r="CN242" s="101"/>
      <c r="CO242" s="101"/>
      <c r="CP242" s="101"/>
      <c r="CQ242" s="101"/>
      <c r="CR242" s="101"/>
    </row>
    <row r="243">
      <c r="A243" s="103"/>
      <c r="B243" s="103"/>
      <c r="C243" s="103"/>
      <c r="D243" s="103"/>
      <c r="E243" s="103"/>
      <c r="F243" s="103"/>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1"/>
      <c r="AH243" s="101"/>
      <c r="AI243" s="101"/>
      <c r="AJ243" s="101"/>
      <c r="AK243" s="101"/>
      <c r="AL243" s="101"/>
      <c r="AM243" s="101"/>
      <c r="AN243" s="101"/>
      <c r="AO243" s="101"/>
      <c r="AP243" s="101"/>
      <c r="AQ243" s="101"/>
      <c r="AR243" s="101"/>
      <c r="AS243" s="101"/>
      <c r="AT243" s="101"/>
      <c r="AU243" s="101"/>
      <c r="AV243" s="106"/>
      <c r="AW243" s="100" t="s">
        <v>10183</v>
      </c>
      <c r="AX243" s="101" t="s">
        <v>10184</v>
      </c>
      <c r="AY243" s="101" t="s">
        <v>10185</v>
      </c>
      <c r="AZ243" s="101" t="s">
        <v>10186</v>
      </c>
      <c r="BA243" s="101" t="s">
        <v>10187</v>
      </c>
      <c r="BB243" s="101" t="s">
        <v>10188</v>
      </c>
      <c r="BC243" s="101" t="s">
        <v>10189</v>
      </c>
      <c r="BD243" s="101" t="s">
        <v>10190</v>
      </c>
      <c r="BE243" s="101" t="s">
        <v>10191</v>
      </c>
      <c r="BF243" s="101" t="s">
        <v>10192</v>
      </c>
      <c r="BG243" s="101" t="s">
        <v>10193</v>
      </c>
      <c r="BH243" s="101" t="s">
        <v>10194</v>
      </c>
      <c r="BI243" s="101" t="s">
        <v>10195</v>
      </c>
      <c r="BJ243" s="101" t="s">
        <v>10196</v>
      </c>
      <c r="BK243" s="101" t="s">
        <v>10197</v>
      </c>
      <c r="BL243" s="102" t="s">
        <v>5757</v>
      </c>
      <c r="BM243" s="100" t="s">
        <v>10183</v>
      </c>
      <c r="BN243" s="101" t="s">
        <v>10184</v>
      </c>
      <c r="BO243" s="101" t="s">
        <v>10198</v>
      </c>
      <c r="BP243" s="101" t="s">
        <v>10186</v>
      </c>
      <c r="BQ243" s="101" t="s">
        <v>10187</v>
      </c>
      <c r="BR243" s="101" t="s">
        <v>10199</v>
      </c>
      <c r="BS243" s="101" t="s">
        <v>10189</v>
      </c>
      <c r="BT243" s="101" t="s">
        <v>10200</v>
      </c>
      <c r="BU243" s="101" t="s">
        <v>10191</v>
      </c>
      <c r="BV243" s="101" t="s">
        <v>10201</v>
      </c>
      <c r="BW243" s="101" t="s">
        <v>10193</v>
      </c>
      <c r="BX243" s="101" t="s">
        <v>10194</v>
      </c>
      <c r="BY243" s="101" t="s">
        <v>10195</v>
      </c>
      <c r="BZ243" s="101" t="s">
        <v>10196</v>
      </c>
      <c r="CA243" s="101" t="s">
        <v>10197</v>
      </c>
      <c r="CB243" s="102" t="s">
        <v>5757</v>
      </c>
      <c r="CC243" s="101"/>
      <c r="CD243" s="101"/>
      <c r="CE243" s="101"/>
      <c r="CF243" s="101"/>
      <c r="CG243" s="101"/>
      <c r="CH243" s="101"/>
      <c r="CI243" s="101"/>
      <c r="CJ243" s="101"/>
      <c r="CK243" s="101"/>
      <c r="CL243" s="101"/>
      <c r="CM243" s="101"/>
      <c r="CN243" s="101"/>
      <c r="CO243" s="101"/>
      <c r="CP243" s="101"/>
      <c r="CQ243" s="101"/>
      <c r="CR243" s="101"/>
    </row>
    <row r="244">
      <c r="A244" s="103"/>
      <c r="B244" s="103"/>
      <c r="C244" s="103"/>
      <c r="D244" s="103"/>
      <c r="E244" s="103"/>
      <c r="F244" s="103"/>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1"/>
      <c r="AH244" s="101"/>
      <c r="AI244" s="101"/>
      <c r="AJ244" s="101"/>
      <c r="AK244" s="101"/>
      <c r="AL244" s="101"/>
      <c r="AM244" s="101"/>
      <c r="AN244" s="101"/>
      <c r="AO244" s="101"/>
      <c r="AP244" s="101"/>
      <c r="AQ244" s="101"/>
      <c r="AR244" s="101"/>
      <c r="AS244" s="101"/>
      <c r="AT244" s="101"/>
      <c r="AU244" s="101"/>
      <c r="AV244" s="106"/>
      <c r="AW244" s="100" t="s">
        <v>10202</v>
      </c>
      <c r="AX244" s="101" t="s">
        <v>10203</v>
      </c>
      <c r="AY244" s="101" t="s">
        <v>10204</v>
      </c>
      <c r="AZ244" s="101" t="s">
        <v>10205</v>
      </c>
      <c r="BA244" s="101" t="s">
        <v>10206</v>
      </c>
      <c r="BB244" s="101" t="s">
        <v>10207</v>
      </c>
      <c r="BC244" s="101" t="s">
        <v>10208</v>
      </c>
      <c r="BD244" s="101" t="s">
        <v>10209</v>
      </c>
      <c r="BE244" s="101" t="s">
        <v>5389</v>
      </c>
      <c r="BF244" s="101" t="s">
        <v>10210</v>
      </c>
      <c r="BG244" s="101" t="s">
        <v>10211</v>
      </c>
      <c r="BH244" s="101" t="s">
        <v>10212</v>
      </c>
      <c r="BI244" s="101" t="s">
        <v>10213</v>
      </c>
      <c r="BJ244" s="101" t="s">
        <v>10214</v>
      </c>
      <c r="BK244" s="101" t="s">
        <v>10215</v>
      </c>
      <c r="BL244" s="102" t="s">
        <v>10216</v>
      </c>
      <c r="BM244" s="100" t="s">
        <v>10217</v>
      </c>
      <c r="BN244" s="101" t="s">
        <v>10203</v>
      </c>
      <c r="BO244" s="101" t="s">
        <v>10204</v>
      </c>
      <c r="BP244" s="101" t="s">
        <v>10205</v>
      </c>
      <c r="BQ244" s="101" t="s">
        <v>10206</v>
      </c>
      <c r="BR244" s="101" t="s">
        <v>10207</v>
      </c>
      <c r="BS244" s="101" t="s">
        <v>10218</v>
      </c>
      <c r="BT244" s="101" t="s">
        <v>10209</v>
      </c>
      <c r="BU244" s="101" t="s">
        <v>10219</v>
      </c>
      <c r="BV244" s="101" t="s">
        <v>10210</v>
      </c>
      <c r="BW244" s="101" t="s">
        <v>10211</v>
      </c>
      <c r="BX244" s="101" t="s">
        <v>10220</v>
      </c>
      <c r="BY244" s="101" t="s">
        <v>10221</v>
      </c>
      <c r="BZ244" s="101" t="s">
        <v>10214</v>
      </c>
      <c r="CA244" s="101" t="s">
        <v>10215</v>
      </c>
      <c r="CB244" s="102" t="s">
        <v>10222</v>
      </c>
      <c r="CC244" s="101"/>
      <c r="CD244" s="101"/>
      <c r="CE244" s="101"/>
      <c r="CF244" s="101"/>
      <c r="CG244" s="101"/>
      <c r="CH244" s="101"/>
      <c r="CI244" s="101"/>
      <c r="CJ244" s="101"/>
      <c r="CK244" s="101"/>
      <c r="CL244" s="101"/>
      <c r="CM244" s="101"/>
      <c r="CN244" s="101"/>
      <c r="CO244" s="101"/>
      <c r="CP244" s="101"/>
      <c r="CQ244" s="101"/>
      <c r="CR244" s="101"/>
    </row>
    <row r="245">
      <c r="A245" s="103"/>
      <c r="B245" s="103"/>
      <c r="C245" s="103"/>
      <c r="D245" s="103"/>
      <c r="E245" s="103"/>
      <c r="F245" s="103"/>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1"/>
      <c r="AH245" s="101"/>
      <c r="AI245" s="101"/>
      <c r="AJ245" s="101"/>
      <c r="AK245" s="101"/>
      <c r="AL245" s="101"/>
      <c r="AM245" s="101"/>
      <c r="AN245" s="101"/>
      <c r="AO245" s="101"/>
      <c r="AP245" s="101"/>
      <c r="AQ245" s="101"/>
      <c r="AR245" s="101"/>
      <c r="AS245" s="101"/>
      <c r="AT245" s="101"/>
      <c r="AU245" s="101"/>
      <c r="AV245" s="106"/>
      <c r="AW245" s="100" t="s">
        <v>10223</v>
      </c>
      <c r="AX245" s="101" t="s">
        <v>10224</v>
      </c>
      <c r="AY245" s="101" t="s">
        <v>10225</v>
      </c>
      <c r="AZ245" s="101" t="s">
        <v>10226</v>
      </c>
      <c r="BA245" s="101" t="s">
        <v>10227</v>
      </c>
      <c r="BB245" s="101" t="s">
        <v>10228</v>
      </c>
      <c r="BC245" s="101" t="s">
        <v>10229</v>
      </c>
      <c r="BD245" s="101" t="s">
        <v>10230</v>
      </c>
      <c r="BE245" s="101" t="s">
        <v>10231</v>
      </c>
      <c r="BF245" s="101" t="s">
        <v>10232</v>
      </c>
      <c r="BG245" s="101" t="s">
        <v>10233</v>
      </c>
      <c r="BH245" s="101" t="s">
        <v>10234</v>
      </c>
      <c r="BI245" s="101" t="s">
        <v>10235</v>
      </c>
      <c r="BJ245" s="101" t="s">
        <v>10236</v>
      </c>
      <c r="BK245" s="101" t="s">
        <v>10237</v>
      </c>
      <c r="BL245" s="102" t="s">
        <v>10238</v>
      </c>
      <c r="BM245" s="100" t="s">
        <v>10223</v>
      </c>
      <c r="BN245" s="101" t="s">
        <v>10239</v>
      </c>
      <c r="BO245" s="101" t="s">
        <v>10225</v>
      </c>
      <c r="BP245" s="101" t="s">
        <v>10226</v>
      </c>
      <c r="BQ245" s="101" t="s">
        <v>10227</v>
      </c>
      <c r="BR245" s="101" t="s">
        <v>10240</v>
      </c>
      <c r="BS245" s="101" t="s">
        <v>10241</v>
      </c>
      <c r="BT245" s="101" t="s">
        <v>10230</v>
      </c>
      <c r="BU245" s="101" t="s">
        <v>10242</v>
      </c>
      <c r="BV245" s="101" t="s">
        <v>10232</v>
      </c>
      <c r="BW245" s="101" t="s">
        <v>10233</v>
      </c>
      <c r="BX245" s="101" t="s">
        <v>10243</v>
      </c>
      <c r="BY245" s="101" t="s">
        <v>10235</v>
      </c>
      <c r="BZ245" s="101" t="s">
        <v>10236</v>
      </c>
      <c r="CA245" s="101" t="s">
        <v>10244</v>
      </c>
      <c r="CB245" s="102" t="s">
        <v>10238</v>
      </c>
      <c r="CC245" s="101"/>
      <c r="CD245" s="101"/>
      <c r="CE245" s="101"/>
      <c r="CF245" s="101"/>
      <c r="CG245" s="101"/>
      <c r="CH245" s="101"/>
      <c r="CI245" s="101"/>
      <c r="CJ245" s="101"/>
      <c r="CK245" s="101"/>
      <c r="CL245" s="101"/>
      <c r="CM245" s="101"/>
      <c r="CN245" s="101"/>
      <c r="CO245" s="101"/>
      <c r="CP245" s="101"/>
      <c r="CQ245" s="101"/>
      <c r="CR245" s="101"/>
    </row>
    <row r="246">
      <c r="A246" s="103"/>
      <c r="B246" s="103"/>
      <c r="C246" s="103"/>
      <c r="D246" s="103"/>
      <c r="E246" s="103"/>
      <c r="F246" s="103"/>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1"/>
      <c r="AH246" s="101"/>
      <c r="AI246" s="101"/>
      <c r="AJ246" s="101"/>
      <c r="AK246" s="101"/>
      <c r="AL246" s="101"/>
      <c r="AM246" s="101"/>
      <c r="AN246" s="101"/>
      <c r="AO246" s="101"/>
      <c r="AP246" s="101"/>
      <c r="AQ246" s="101"/>
      <c r="AR246" s="101"/>
      <c r="AS246" s="101"/>
      <c r="AT246" s="101"/>
      <c r="AU246" s="101"/>
      <c r="AV246" s="106"/>
      <c r="AW246" s="100" t="s">
        <v>10245</v>
      </c>
      <c r="AX246" s="101" t="s">
        <v>10246</v>
      </c>
      <c r="AY246" s="101" t="s">
        <v>10247</v>
      </c>
      <c r="AZ246" s="101" t="s">
        <v>10248</v>
      </c>
      <c r="BA246" s="101" t="s">
        <v>10249</v>
      </c>
      <c r="BB246" s="101" t="s">
        <v>10250</v>
      </c>
      <c r="BC246" s="101" t="s">
        <v>10251</v>
      </c>
      <c r="BD246" s="101" t="s">
        <v>9098</v>
      </c>
      <c r="BE246" s="101" t="s">
        <v>10252</v>
      </c>
      <c r="BF246" s="101" t="s">
        <v>10253</v>
      </c>
      <c r="BG246" s="101" t="s">
        <v>10254</v>
      </c>
      <c r="BH246" s="101" t="s">
        <v>10255</v>
      </c>
      <c r="BI246" s="101" t="s">
        <v>10256</v>
      </c>
      <c r="BJ246" s="101" t="s">
        <v>10257</v>
      </c>
      <c r="BK246" s="101" t="s">
        <v>3544</v>
      </c>
      <c r="BL246" s="102" t="s">
        <v>10258</v>
      </c>
      <c r="BM246" s="100" t="s">
        <v>10245</v>
      </c>
      <c r="BN246" s="101" t="s">
        <v>10259</v>
      </c>
      <c r="BO246" s="101" t="s">
        <v>10260</v>
      </c>
      <c r="BP246" s="101" t="s">
        <v>10261</v>
      </c>
      <c r="BQ246" s="101" t="s">
        <v>10249</v>
      </c>
      <c r="BR246" s="101" t="s">
        <v>10262</v>
      </c>
      <c r="BS246" s="101" t="s">
        <v>10251</v>
      </c>
      <c r="BT246" s="101" t="s">
        <v>9098</v>
      </c>
      <c r="BU246" s="101" t="s">
        <v>10252</v>
      </c>
      <c r="BV246" s="101" t="s">
        <v>10253</v>
      </c>
      <c r="BW246" s="101" t="s">
        <v>10254</v>
      </c>
      <c r="BX246" s="101" t="s">
        <v>10255</v>
      </c>
      <c r="BY246" s="101" t="s">
        <v>10263</v>
      </c>
      <c r="BZ246" s="101" t="s">
        <v>10264</v>
      </c>
      <c r="CA246" s="101" t="s">
        <v>10265</v>
      </c>
      <c r="CB246" s="102" t="s">
        <v>10266</v>
      </c>
      <c r="CC246" s="101"/>
      <c r="CD246" s="101"/>
      <c r="CE246" s="101"/>
      <c r="CF246" s="101"/>
      <c r="CG246" s="101"/>
      <c r="CH246" s="101"/>
      <c r="CI246" s="101"/>
      <c r="CJ246" s="101"/>
      <c r="CK246" s="101"/>
      <c r="CL246" s="101"/>
      <c r="CM246" s="101"/>
      <c r="CN246" s="101"/>
      <c r="CO246" s="101"/>
      <c r="CP246" s="101"/>
      <c r="CQ246" s="101"/>
      <c r="CR246" s="101"/>
    </row>
    <row r="247">
      <c r="A247" s="103"/>
      <c r="B247" s="103"/>
      <c r="C247" s="103"/>
      <c r="D247" s="103"/>
      <c r="E247" s="103"/>
      <c r="F247" s="103"/>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1"/>
      <c r="AH247" s="101"/>
      <c r="AI247" s="101"/>
      <c r="AJ247" s="101"/>
      <c r="AK247" s="101"/>
      <c r="AL247" s="101"/>
      <c r="AM247" s="101"/>
      <c r="AN247" s="101"/>
      <c r="AO247" s="101"/>
      <c r="AP247" s="101"/>
      <c r="AQ247" s="101"/>
      <c r="AR247" s="101"/>
      <c r="AS247" s="101"/>
      <c r="AT247" s="101"/>
      <c r="AU247" s="101"/>
      <c r="AV247" s="106"/>
      <c r="AW247" s="100" t="s">
        <v>10267</v>
      </c>
      <c r="AX247" s="101" t="s">
        <v>10268</v>
      </c>
      <c r="AY247" s="101" t="s">
        <v>10269</v>
      </c>
      <c r="AZ247" s="101" t="s">
        <v>10270</v>
      </c>
      <c r="BA247" s="101" t="s">
        <v>4532</v>
      </c>
      <c r="BB247" s="101" t="s">
        <v>3655</v>
      </c>
      <c r="BC247" s="101" t="s">
        <v>3351</v>
      </c>
      <c r="BD247" s="101" t="s">
        <v>10271</v>
      </c>
      <c r="BE247" s="101" t="s">
        <v>10272</v>
      </c>
      <c r="BF247" s="101" t="s">
        <v>3073</v>
      </c>
      <c r="BG247" s="101" t="s">
        <v>3949</v>
      </c>
      <c r="BH247" s="101" t="s">
        <v>5595</v>
      </c>
      <c r="BI247" s="101" t="s">
        <v>6572</v>
      </c>
      <c r="BJ247" s="101" t="s">
        <v>10273</v>
      </c>
      <c r="BK247" s="101" t="s">
        <v>10274</v>
      </c>
      <c r="BL247" s="102" t="s">
        <v>4403</v>
      </c>
      <c r="BM247" s="100" t="s">
        <v>10267</v>
      </c>
      <c r="BN247" s="101" t="s">
        <v>10275</v>
      </c>
      <c r="BO247" s="101" t="s">
        <v>10269</v>
      </c>
      <c r="BP247" s="101" t="s">
        <v>10270</v>
      </c>
      <c r="BQ247" s="101" t="s">
        <v>10276</v>
      </c>
      <c r="BR247" s="101" t="s">
        <v>10277</v>
      </c>
      <c r="BS247" s="101" t="s">
        <v>10278</v>
      </c>
      <c r="BT247" s="101" t="s">
        <v>10271</v>
      </c>
      <c r="BU247" s="101" t="s">
        <v>10279</v>
      </c>
      <c r="BV247" s="101" t="s">
        <v>10280</v>
      </c>
      <c r="BW247" s="101" t="s">
        <v>10281</v>
      </c>
      <c r="BX247" s="101" t="s">
        <v>10282</v>
      </c>
      <c r="BY247" s="101" t="s">
        <v>10283</v>
      </c>
      <c r="BZ247" s="101" t="s">
        <v>10284</v>
      </c>
      <c r="CA247" s="101" t="s">
        <v>10274</v>
      </c>
      <c r="CB247" s="102" t="s">
        <v>10285</v>
      </c>
      <c r="CC247" s="101"/>
      <c r="CD247" s="101"/>
      <c r="CE247" s="101"/>
      <c r="CF247" s="101"/>
      <c r="CG247" s="101"/>
      <c r="CH247" s="101"/>
      <c r="CI247" s="101"/>
      <c r="CJ247" s="101"/>
      <c r="CK247" s="101"/>
      <c r="CL247" s="101"/>
      <c r="CM247" s="101"/>
      <c r="CN247" s="101"/>
      <c r="CO247" s="101"/>
      <c r="CP247" s="101"/>
      <c r="CQ247" s="101"/>
      <c r="CR247" s="101"/>
    </row>
    <row r="248">
      <c r="A248" s="103"/>
      <c r="B248" s="103"/>
      <c r="C248" s="103"/>
      <c r="D248" s="103"/>
      <c r="E248" s="103"/>
      <c r="F248" s="103"/>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1"/>
      <c r="AH248" s="101"/>
      <c r="AI248" s="101"/>
      <c r="AJ248" s="101"/>
      <c r="AK248" s="101"/>
      <c r="AL248" s="101"/>
      <c r="AM248" s="101"/>
      <c r="AN248" s="101"/>
      <c r="AO248" s="101"/>
      <c r="AP248" s="101"/>
      <c r="AQ248" s="101"/>
      <c r="AR248" s="101"/>
      <c r="AS248" s="101"/>
      <c r="AT248" s="101"/>
      <c r="AU248" s="101"/>
      <c r="AV248" s="106"/>
      <c r="AW248" s="100" t="s">
        <v>6023</v>
      </c>
      <c r="AX248" s="101" t="s">
        <v>10286</v>
      </c>
      <c r="AY248" s="101" t="s">
        <v>10287</v>
      </c>
      <c r="AZ248" s="101" t="s">
        <v>10288</v>
      </c>
      <c r="BA248" s="101" t="s">
        <v>10289</v>
      </c>
      <c r="BB248" s="101" t="s">
        <v>10290</v>
      </c>
      <c r="BC248" s="101" t="s">
        <v>10291</v>
      </c>
      <c r="BD248" s="101" t="s">
        <v>10292</v>
      </c>
      <c r="BE248" s="101" t="s">
        <v>6459</v>
      </c>
      <c r="BF248" s="101" t="s">
        <v>10293</v>
      </c>
      <c r="BG248" s="101" t="s">
        <v>10294</v>
      </c>
      <c r="BH248" s="101" t="s">
        <v>10295</v>
      </c>
      <c r="BI248" s="101" t="s">
        <v>10296</v>
      </c>
      <c r="BJ248" s="101" t="s">
        <v>10297</v>
      </c>
      <c r="BK248" s="101" t="s">
        <v>10298</v>
      </c>
      <c r="BL248" s="102" t="s">
        <v>10299</v>
      </c>
      <c r="BM248" s="100" t="s">
        <v>10300</v>
      </c>
      <c r="BN248" s="101" t="s">
        <v>10286</v>
      </c>
      <c r="BO248" s="101" t="s">
        <v>10287</v>
      </c>
      <c r="BP248" s="101" t="s">
        <v>10288</v>
      </c>
      <c r="BQ248" s="101" t="s">
        <v>10289</v>
      </c>
      <c r="BR248" s="101" t="s">
        <v>10301</v>
      </c>
      <c r="BS248" s="101" t="s">
        <v>10291</v>
      </c>
      <c r="BT248" s="101" t="s">
        <v>10292</v>
      </c>
      <c r="BU248" s="101" t="s">
        <v>10302</v>
      </c>
      <c r="BV248" s="101" t="s">
        <v>10293</v>
      </c>
      <c r="BW248" s="101" t="s">
        <v>10294</v>
      </c>
      <c r="BX248" s="101" t="s">
        <v>10295</v>
      </c>
      <c r="BY248" s="101" t="s">
        <v>10296</v>
      </c>
      <c r="BZ248" s="101" t="s">
        <v>10297</v>
      </c>
      <c r="CA248" s="101" t="s">
        <v>10298</v>
      </c>
      <c r="CB248" s="102" t="s">
        <v>10299</v>
      </c>
      <c r="CC248" s="101"/>
      <c r="CD248" s="101"/>
      <c r="CE248" s="101"/>
      <c r="CF248" s="101"/>
      <c r="CG248" s="101"/>
      <c r="CH248" s="101"/>
      <c r="CI248" s="101"/>
      <c r="CJ248" s="101"/>
      <c r="CK248" s="101"/>
      <c r="CL248" s="101"/>
      <c r="CM248" s="101"/>
      <c r="CN248" s="101"/>
      <c r="CO248" s="101"/>
      <c r="CP248" s="101"/>
      <c r="CQ248" s="101"/>
      <c r="CR248" s="101"/>
    </row>
    <row r="249">
      <c r="A249" s="103"/>
      <c r="B249" s="103"/>
      <c r="C249" s="103"/>
      <c r="D249" s="103"/>
      <c r="E249" s="103"/>
      <c r="F249" s="103"/>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1"/>
      <c r="AH249" s="101"/>
      <c r="AI249" s="101"/>
      <c r="AJ249" s="101"/>
      <c r="AK249" s="101"/>
      <c r="AL249" s="101"/>
      <c r="AM249" s="101"/>
      <c r="AN249" s="101"/>
      <c r="AO249" s="101"/>
      <c r="AP249" s="101"/>
      <c r="AQ249" s="101"/>
      <c r="AR249" s="101"/>
      <c r="AS249" s="101"/>
      <c r="AT249" s="101"/>
      <c r="AU249" s="101"/>
      <c r="AV249" s="106"/>
      <c r="AW249" s="100" t="s">
        <v>10303</v>
      </c>
      <c r="AX249" s="101" t="s">
        <v>10304</v>
      </c>
      <c r="AY249" s="101" t="s">
        <v>10305</v>
      </c>
      <c r="AZ249" s="101" t="s">
        <v>10306</v>
      </c>
      <c r="BA249" s="101" t="s">
        <v>10307</v>
      </c>
      <c r="BB249" s="101" t="s">
        <v>10308</v>
      </c>
      <c r="BC249" s="101" t="s">
        <v>10309</v>
      </c>
      <c r="BD249" s="101" t="s">
        <v>10310</v>
      </c>
      <c r="BE249" s="101" t="s">
        <v>10311</v>
      </c>
      <c r="BF249" s="101" t="s">
        <v>10312</v>
      </c>
      <c r="BG249" s="101" t="s">
        <v>10313</v>
      </c>
      <c r="BH249" s="101" t="s">
        <v>9451</v>
      </c>
      <c r="BI249" s="101" t="s">
        <v>10314</v>
      </c>
      <c r="BJ249" s="101" t="s">
        <v>6925</v>
      </c>
      <c r="BK249" s="101" t="s">
        <v>10315</v>
      </c>
      <c r="BL249" s="102" t="s">
        <v>10316</v>
      </c>
      <c r="BM249" s="100" t="s">
        <v>10303</v>
      </c>
      <c r="BN249" s="101" t="s">
        <v>10304</v>
      </c>
      <c r="BO249" s="101" t="s">
        <v>10317</v>
      </c>
      <c r="BP249" s="101" t="s">
        <v>10306</v>
      </c>
      <c r="BQ249" s="101" t="s">
        <v>10318</v>
      </c>
      <c r="BR249" s="101" t="s">
        <v>10308</v>
      </c>
      <c r="BS249" s="101" t="s">
        <v>10319</v>
      </c>
      <c r="BT249" s="101" t="s">
        <v>10310</v>
      </c>
      <c r="BU249" s="101" t="s">
        <v>10320</v>
      </c>
      <c r="BV249" s="101" t="s">
        <v>10312</v>
      </c>
      <c r="BW249" s="101" t="s">
        <v>10321</v>
      </c>
      <c r="BX249" s="101" t="s">
        <v>9451</v>
      </c>
      <c r="BY249" s="101" t="s">
        <v>10314</v>
      </c>
      <c r="BZ249" s="101" t="s">
        <v>10322</v>
      </c>
      <c r="CA249" s="101" t="s">
        <v>10323</v>
      </c>
      <c r="CB249" s="102" t="s">
        <v>10316</v>
      </c>
      <c r="CC249" s="101"/>
      <c r="CD249" s="101"/>
      <c r="CE249" s="101"/>
      <c r="CF249" s="101"/>
      <c r="CG249" s="101"/>
      <c r="CH249" s="101"/>
      <c r="CI249" s="101"/>
      <c r="CJ249" s="101"/>
      <c r="CK249" s="101"/>
      <c r="CL249" s="101"/>
      <c r="CM249" s="101"/>
      <c r="CN249" s="101"/>
      <c r="CO249" s="101"/>
      <c r="CP249" s="101"/>
      <c r="CQ249" s="101"/>
      <c r="CR249" s="101"/>
    </row>
    <row r="250">
      <c r="A250" s="103"/>
      <c r="B250" s="103"/>
      <c r="C250" s="103"/>
      <c r="D250" s="103"/>
      <c r="E250" s="103"/>
      <c r="F250" s="103"/>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1"/>
      <c r="AH250" s="101"/>
      <c r="AI250" s="101"/>
      <c r="AJ250" s="101"/>
      <c r="AK250" s="101"/>
      <c r="AL250" s="101"/>
      <c r="AM250" s="101"/>
      <c r="AN250" s="101"/>
      <c r="AO250" s="101"/>
      <c r="AP250" s="101"/>
      <c r="AQ250" s="101"/>
      <c r="AR250" s="101"/>
      <c r="AS250" s="101"/>
      <c r="AT250" s="101"/>
      <c r="AU250" s="101"/>
      <c r="AV250" s="106"/>
      <c r="AW250" s="100" t="s">
        <v>10324</v>
      </c>
      <c r="AX250" s="101" t="s">
        <v>10325</v>
      </c>
      <c r="AY250" s="101" t="s">
        <v>10326</v>
      </c>
      <c r="AZ250" s="101" t="s">
        <v>10327</v>
      </c>
      <c r="BA250" s="101" t="s">
        <v>10328</v>
      </c>
      <c r="BB250" s="101" t="s">
        <v>10329</v>
      </c>
      <c r="BC250" s="101" t="s">
        <v>10330</v>
      </c>
      <c r="BD250" s="101" t="s">
        <v>10331</v>
      </c>
      <c r="BE250" s="101" t="s">
        <v>10332</v>
      </c>
      <c r="BF250" s="101" t="s">
        <v>10333</v>
      </c>
      <c r="BG250" s="101" t="s">
        <v>9426</v>
      </c>
      <c r="BH250" s="101" t="s">
        <v>10334</v>
      </c>
      <c r="BI250" s="101" t="s">
        <v>10335</v>
      </c>
      <c r="BJ250" s="101" t="s">
        <v>10336</v>
      </c>
      <c r="BK250" s="101" t="s">
        <v>10337</v>
      </c>
      <c r="BL250" s="102" t="s">
        <v>10338</v>
      </c>
      <c r="BM250" s="100" t="s">
        <v>10339</v>
      </c>
      <c r="BN250" s="101" t="s">
        <v>10325</v>
      </c>
      <c r="BO250" s="101" t="s">
        <v>10340</v>
      </c>
      <c r="BP250" s="101" t="s">
        <v>10341</v>
      </c>
      <c r="BQ250" s="101" t="s">
        <v>10342</v>
      </c>
      <c r="BR250" s="101" t="s">
        <v>10343</v>
      </c>
      <c r="BS250" s="101" t="s">
        <v>10344</v>
      </c>
      <c r="BT250" s="101" t="s">
        <v>10345</v>
      </c>
      <c r="BU250" s="101" t="s">
        <v>10346</v>
      </c>
      <c r="BV250" s="101" t="s">
        <v>10347</v>
      </c>
      <c r="BW250" s="101" t="s">
        <v>10348</v>
      </c>
      <c r="BX250" s="101" t="s">
        <v>10334</v>
      </c>
      <c r="BY250" s="101" t="s">
        <v>10335</v>
      </c>
      <c r="BZ250" s="101" t="s">
        <v>10349</v>
      </c>
      <c r="CA250" s="101" t="s">
        <v>10337</v>
      </c>
      <c r="CB250" s="102" t="s">
        <v>10350</v>
      </c>
      <c r="CC250" s="101"/>
      <c r="CD250" s="101"/>
      <c r="CE250" s="101"/>
      <c r="CF250" s="101"/>
      <c r="CG250" s="101"/>
      <c r="CH250" s="101"/>
      <c r="CI250" s="101"/>
      <c r="CJ250" s="101"/>
      <c r="CK250" s="101"/>
      <c r="CL250" s="101"/>
      <c r="CM250" s="101"/>
      <c r="CN250" s="101"/>
      <c r="CO250" s="101"/>
      <c r="CP250" s="101"/>
      <c r="CQ250" s="101"/>
      <c r="CR250" s="101"/>
    </row>
    <row r="251">
      <c r="A251" s="103"/>
      <c r="B251" s="103"/>
      <c r="C251" s="103"/>
      <c r="D251" s="103"/>
      <c r="E251" s="103"/>
      <c r="F251" s="103"/>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1"/>
      <c r="AH251" s="101"/>
      <c r="AI251" s="101"/>
      <c r="AJ251" s="101"/>
      <c r="AK251" s="101"/>
      <c r="AL251" s="101"/>
      <c r="AM251" s="101"/>
      <c r="AN251" s="101"/>
      <c r="AO251" s="101"/>
      <c r="AP251" s="101"/>
      <c r="AQ251" s="101"/>
      <c r="AR251" s="101"/>
      <c r="AS251" s="101"/>
      <c r="AT251" s="101"/>
      <c r="AU251" s="101"/>
      <c r="AV251" s="106"/>
      <c r="AW251" s="100" t="s">
        <v>10351</v>
      </c>
      <c r="AX251" s="101" t="s">
        <v>4597</v>
      </c>
      <c r="AY251" s="101" t="s">
        <v>10352</v>
      </c>
      <c r="AZ251" s="101" t="s">
        <v>10353</v>
      </c>
      <c r="BA251" s="101" t="s">
        <v>10354</v>
      </c>
      <c r="BB251" s="101" t="s">
        <v>10355</v>
      </c>
      <c r="BC251" s="101" t="s">
        <v>10356</v>
      </c>
      <c r="BD251" s="101" t="s">
        <v>10357</v>
      </c>
      <c r="BE251" s="101" t="s">
        <v>10358</v>
      </c>
      <c r="BF251" s="101" t="s">
        <v>10359</v>
      </c>
      <c r="BG251" s="101" t="s">
        <v>10360</v>
      </c>
      <c r="BH251" s="101" t="s">
        <v>10361</v>
      </c>
      <c r="BI251" s="101" t="s">
        <v>10362</v>
      </c>
      <c r="BJ251" s="101" t="s">
        <v>10363</v>
      </c>
      <c r="BK251" s="101" t="s">
        <v>10364</v>
      </c>
      <c r="BL251" s="102" t="s">
        <v>10365</v>
      </c>
      <c r="BM251" s="100" t="s">
        <v>10351</v>
      </c>
      <c r="BN251" s="101" t="s">
        <v>10366</v>
      </c>
      <c r="BO251" s="101" t="s">
        <v>10367</v>
      </c>
      <c r="BP251" s="101" t="s">
        <v>10368</v>
      </c>
      <c r="BQ251" s="101" t="s">
        <v>10369</v>
      </c>
      <c r="BR251" s="101" t="s">
        <v>10355</v>
      </c>
      <c r="BS251" s="101" t="s">
        <v>10370</v>
      </c>
      <c r="BT251" s="101" t="s">
        <v>10357</v>
      </c>
      <c r="BU251" s="101" t="s">
        <v>10371</v>
      </c>
      <c r="BV251" s="101" t="s">
        <v>10359</v>
      </c>
      <c r="BW251" s="101" t="s">
        <v>10360</v>
      </c>
      <c r="BX251" s="101" t="s">
        <v>10361</v>
      </c>
      <c r="BY251" s="101" t="s">
        <v>10362</v>
      </c>
      <c r="BZ251" s="101" t="s">
        <v>10363</v>
      </c>
      <c r="CA251" s="101" t="s">
        <v>10372</v>
      </c>
      <c r="CB251" s="102" t="s">
        <v>10365</v>
      </c>
      <c r="CC251" s="101"/>
      <c r="CD251" s="101"/>
      <c r="CE251" s="101"/>
      <c r="CF251" s="101"/>
      <c r="CG251" s="101"/>
      <c r="CH251" s="101"/>
      <c r="CI251" s="101"/>
      <c r="CJ251" s="101"/>
      <c r="CK251" s="101"/>
      <c r="CL251" s="101"/>
      <c r="CM251" s="101"/>
      <c r="CN251" s="101"/>
      <c r="CO251" s="101"/>
      <c r="CP251" s="101"/>
      <c r="CQ251" s="101"/>
      <c r="CR251" s="101"/>
    </row>
    <row r="252">
      <c r="A252" s="103"/>
      <c r="B252" s="103"/>
      <c r="C252" s="103"/>
      <c r="D252" s="103"/>
      <c r="E252" s="103"/>
      <c r="F252" s="103"/>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1"/>
      <c r="AH252" s="101"/>
      <c r="AI252" s="101"/>
      <c r="AJ252" s="101"/>
      <c r="AK252" s="101"/>
      <c r="AL252" s="101"/>
      <c r="AM252" s="101"/>
      <c r="AN252" s="101"/>
      <c r="AO252" s="101"/>
      <c r="AP252" s="101"/>
      <c r="AQ252" s="101"/>
      <c r="AR252" s="101"/>
      <c r="AS252" s="101"/>
      <c r="AT252" s="101"/>
      <c r="AU252" s="101"/>
      <c r="AV252" s="106"/>
      <c r="AW252" s="100" t="s">
        <v>9168</v>
      </c>
      <c r="AX252" s="101" t="s">
        <v>10373</v>
      </c>
      <c r="AY252" s="101" t="s">
        <v>10374</v>
      </c>
      <c r="AZ252" s="101" t="s">
        <v>10375</v>
      </c>
      <c r="BA252" s="101" t="s">
        <v>10376</v>
      </c>
      <c r="BB252" s="101" t="s">
        <v>10377</v>
      </c>
      <c r="BC252" s="101" t="s">
        <v>9202</v>
      </c>
      <c r="BD252" s="101" t="s">
        <v>10378</v>
      </c>
      <c r="BE252" s="101" t="s">
        <v>10379</v>
      </c>
      <c r="BF252" s="101" t="s">
        <v>10380</v>
      </c>
      <c r="BG252" s="101" t="s">
        <v>7150</v>
      </c>
      <c r="BH252" s="101" t="s">
        <v>10381</v>
      </c>
      <c r="BI252" s="101" t="s">
        <v>10382</v>
      </c>
      <c r="BJ252" s="101" t="s">
        <v>4236</v>
      </c>
      <c r="BK252" s="101" t="s">
        <v>10383</v>
      </c>
      <c r="BL252" s="102" t="s">
        <v>10384</v>
      </c>
      <c r="BM252" s="100" t="s">
        <v>10385</v>
      </c>
      <c r="BN252" s="101" t="s">
        <v>10373</v>
      </c>
      <c r="BO252" s="101" t="s">
        <v>10374</v>
      </c>
      <c r="BP252" s="101" t="s">
        <v>10375</v>
      </c>
      <c r="BQ252" s="101" t="s">
        <v>10386</v>
      </c>
      <c r="BR252" s="101" t="s">
        <v>10377</v>
      </c>
      <c r="BS252" s="101" t="s">
        <v>10387</v>
      </c>
      <c r="BT252" s="101" t="s">
        <v>10378</v>
      </c>
      <c r="BU252" s="101" t="s">
        <v>10379</v>
      </c>
      <c r="BV252" s="101" t="s">
        <v>10380</v>
      </c>
      <c r="BW252" s="101" t="s">
        <v>10388</v>
      </c>
      <c r="BX252" s="101" t="s">
        <v>10381</v>
      </c>
      <c r="BY252" s="101" t="s">
        <v>10382</v>
      </c>
      <c r="BZ252" s="101" t="s">
        <v>10389</v>
      </c>
      <c r="CA252" s="101" t="s">
        <v>10390</v>
      </c>
      <c r="CB252" s="102" t="s">
        <v>10384</v>
      </c>
      <c r="CC252" s="101"/>
      <c r="CD252" s="101"/>
      <c r="CE252" s="101"/>
      <c r="CF252" s="101"/>
      <c r="CG252" s="101"/>
      <c r="CH252" s="101"/>
      <c r="CI252" s="101"/>
      <c r="CJ252" s="101"/>
      <c r="CK252" s="101"/>
      <c r="CL252" s="101"/>
      <c r="CM252" s="101"/>
      <c r="CN252" s="101"/>
      <c r="CO252" s="101"/>
      <c r="CP252" s="101"/>
      <c r="CQ252" s="101"/>
      <c r="CR252" s="101"/>
    </row>
    <row r="253">
      <c r="A253" s="103"/>
      <c r="B253" s="103"/>
      <c r="C253" s="103"/>
      <c r="D253" s="103"/>
      <c r="E253" s="103"/>
      <c r="F253" s="103"/>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1"/>
      <c r="AH253" s="101"/>
      <c r="AI253" s="101"/>
      <c r="AJ253" s="101"/>
      <c r="AK253" s="101"/>
      <c r="AL253" s="101"/>
      <c r="AM253" s="101"/>
      <c r="AN253" s="101"/>
      <c r="AO253" s="101"/>
      <c r="AP253" s="101"/>
      <c r="AQ253" s="101"/>
      <c r="AR253" s="101"/>
      <c r="AS253" s="101"/>
      <c r="AT253" s="101"/>
      <c r="AU253" s="101"/>
      <c r="AV253" s="106"/>
      <c r="AW253" s="100" t="s">
        <v>10391</v>
      </c>
      <c r="AX253" s="101" t="s">
        <v>4532</v>
      </c>
      <c r="AY253" s="101" t="s">
        <v>10392</v>
      </c>
      <c r="AZ253" s="101" t="s">
        <v>10393</v>
      </c>
      <c r="BA253" s="101" t="s">
        <v>10394</v>
      </c>
      <c r="BB253" s="101" t="s">
        <v>10395</v>
      </c>
      <c r="BC253" s="101" t="s">
        <v>10396</v>
      </c>
      <c r="BD253" s="101" t="s">
        <v>10397</v>
      </c>
      <c r="BE253" s="101" t="s">
        <v>10398</v>
      </c>
      <c r="BF253" s="101" t="s">
        <v>10399</v>
      </c>
      <c r="BG253" s="101" t="s">
        <v>10400</v>
      </c>
      <c r="BH253" s="101" t="s">
        <v>10401</v>
      </c>
      <c r="BI253" s="101" t="s">
        <v>10402</v>
      </c>
      <c r="BJ253" s="101" t="s">
        <v>10403</v>
      </c>
      <c r="BK253" s="101" t="s">
        <v>10404</v>
      </c>
      <c r="BL253" s="102" t="s">
        <v>10405</v>
      </c>
      <c r="BM253" s="100" t="s">
        <v>10406</v>
      </c>
      <c r="BN253" s="101" t="s">
        <v>10407</v>
      </c>
      <c r="BO253" s="101" t="s">
        <v>10392</v>
      </c>
      <c r="BP253" s="101" t="s">
        <v>10408</v>
      </c>
      <c r="BQ253" s="101" t="s">
        <v>10394</v>
      </c>
      <c r="BR253" s="101" t="s">
        <v>10409</v>
      </c>
      <c r="BS253" s="101" t="s">
        <v>10410</v>
      </c>
      <c r="BT253" s="101" t="s">
        <v>10411</v>
      </c>
      <c r="BU253" s="101" t="s">
        <v>10398</v>
      </c>
      <c r="BV253" s="101" t="s">
        <v>10412</v>
      </c>
      <c r="BW253" s="101" t="s">
        <v>10400</v>
      </c>
      <c r="BX253" s="101" t="s">
        <v>10413</v>
      </c>
      <c r="BY253" s="101" t="s">
        <v>10414</v>
      </c>
      <c r="BZ253" s="101" t="s">
        <v>10403</v>
      </c>
      <c r="CA253" s="101" t="s">
        <v>10415</v>
      </c>
      <c r="CB253" s="102" t="s">
        <v>10405</v>
      </c>
      <c r="CC253" s="101"/>
      <c r="CD253" s="101"/>
      <c r="CE253" s="101"/>
      <c r="CF253" s="101"/>
      <c r="CG253" s="101"/>
      <c r="CH253" s="101"/>
      <c r="CI253" s="101"/>
      <c r="CJ253" s="101"/>
      <c r="CK253" s="101"/>
      <c r="CL253" s="101"/>
      <c r="CM253" s="101"/>
      <c r="CN253" s="101"/>
      <c r="CO253" s="101"/>
      <c r="CP253" s="101"/>
      <c r="CQ253" s="101"/>
      <c r="CR253" s="101"/>
    </row>
    <row r="254">
      <c r="A254" s="103"/>
      <c r="B254" s="103"/>
      <c r="C254" s="103"/>
      <c r="D254" s="103"/>
      <c r="E254" s="103"/>
      <c r="F254" s="103"/>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1"/>
      <c r="AH254" s="101"/>
      <c r="AI254" s="101"/>
      <c r="AJ254" s="101"/>
      <c r="AK254" s="101"/>
      <c r="AL254" s="101"/>
      <c r="AM254" s="101"/>
      <c r="AN254" s="101"/>
      <c r="AO254" s="101"/>
      <c r="AP254" s="101"/>
      <c r="AQ254" s="101"/>
      <c r="AR254" s="101"/>
      <c r="AS254" s="101"/>
      <c r="AT254" s="101"/>
      <c r="AU254" s="101"/>
      <c r="AV254" s="106"/>
      <c r="AW254" s="100" t="s">
        <v>10416</v>
      </c>
      <c r="AX254" s="101" t="s">
        <v>10417</v>
      </c>
      <c r="AY254" s="101" t="s">
        <v>6955</v>
      </c>
      <c r="AZ254" s="101" t="s">
        <v>10418</v>
      </c>
      <c r="BA254" s="101" t="s">
        <v>10419</v>
      </c>
      <c r="BB254" s="101" t="s">
        <v>10420</v>
      </c>
      <c r="BC254" s="101" t="s">
        <v>10421</v>
      </c>
      <c r="BD254" s="101" t="s">
        <v>10422</v>
      </c>
      <c r="BE254" s="101" t="s">
        <v>10423</v>
      </c>
      <c r="BF254" s="101" t="s">
        <v>10424</v>
      </c>
      <c r="BG254" s="101" t="s">
        <v>10425</v>
      </c>
      <c r="BH254" s="101" t="s">
        <v>10426</v>
      </c>
      <c r="BI254" s="101" t="s">
        <v>3076</v>
      </c>
      <c r="BJ254" s="101" t="s">
        <v>10427</v>
      </c>
      <c r="BK254" s="101" t="s">
        <v>10428</v>
      </c>
      <c r="BL254" s="102" t="s">
        <v>10429</v>
      </c>
      <c r="BM254" s="100" t="s">
        <v>10430</v>
      </c>
      <c r="BN254" s="101" t="s">
        <v>10417</v>
      </c>
      <c r="BO254" s="101" t="s">
        <v>10431</v>
      </c>
      <c r="BP254" s="101" t="s">
        <v>10432</v>
      </c>
      <c r="BQ254" s="101" t="s">
        <v>10433</v>
      </c>
      <c r="BR254" s="101" t="s">
        <v>10434</v>
      </c>
      <c r="BS254" s="101" t="s">
        <v>10421</v>
      </c>
      <c r="BT254" s="101" t="s">
        <v>10435</v>
      </c>
      <c r="BU254" s="101" t="s">
        <v>10423</v>
      </c>
      <c r="BV254" s="101" t="s">
        <v>10436</v>
      </c>
      <c r="BW254" s="101" t="s">
        <v>10425</v>
      </c>
      <c r="BX254" s="101" t="s">
        <v>10437</v>
      </c>
      <c r="BY254" s="101" t="s">
        <v>10438</v>
      </c>
      <c r="BZ254" s="101" t="s">
        <v>10427</v>
      </c>
      <c r="CA254" s="101" t="s">
        <v>10428</v>
      </c>
      <c r="CB254" s="102" t="s">
        <v>10439</v>
      </c>
      <c r="CC254" s="101"/>
      <c r="CD254" s="101"/>
      <c r="CE254" s="101"/>
      <c r="CF254" s="101"/>
      <c r="CG254" s="101"/>
      <c r="CH254" s="101"/>
      <c r="CI254" s="101"/>
      <c r="CJ254" s="101"/>
      <c r="CK254" s="101"/>
      <c r="CL254" s="101"/>
      <c r="CM254" s="101"/>
      <c r="CN254" s="101"/>
      <c r="CO254" s="101"/>
      <c r="CP254" s="101"/>
      <c r="CQ254" s="101"/>
      <c r="CR254" s="101"/>
    </row>
    <row r="255">
      <c r="A255" s="103"/>
      <c r="B255" s="103"/>
      <c r="C255" s="103"/>
      <c r="D255" s="103"/>
      <c r="E255" s="103"/>
      <c r="F255" s="103"/>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1"/>
      <c r="AH255" s="101"/>
      <c r="AI255" s="101"/>
      <c r="AJ255" s="101"/>
      <c r="AK255" s="101"/>
      <c r="AL255" s="101"/>
      <c r="AM255" s="101"/>
      <c r="AN255" s="101"/>
      <c r="AO255" s="101"/>
      <c r="AP255" s="101"/>
      <c r="AQ255" s="101"/>
      <c r="AR255" s="101"/>
      <c r="AS255" s="101"/>
      <c r="AT255" s="101"/>
      <c r="AU255" s="101"/>
      <c r="AV255" s="106"/>
      <c r="AW255" s="100" t="s">
        <v>10294</v>
      </c>
      <c r="AX255" s="101" t="s">
        <v>10440</v>
      </c>
      <c r="AY255" s="101" t="s">
        <v>10441</v>
      </c>
      <c r="AZ255" s="101" t="s">
        <v>10442</v>
      </c>
      <c r="BA255" s="101" t="s">
        <v>10443</v>
      </c>
      <c r="BB255" s="101" t="s">
        <v>10444</v>
      </c>
      <c r="BC255" s="101" t="s">
        <v>10445</v>
      </c>
      <c r="BD255" s="101" t="s">
        <v>10446</v>
      </c>
      <c r="BE255" s="101" t="s">
        <v>10447</v>
      </c>
      <c r="BF255" s="101" t="s">
        <v>10448</v>
      </c>
      <c r="BG255" s="101" t="s">
        <v>10449</v>
      </c>
      <c r="BH255" s="101" t="s">
        <v>10450</v>
      </c>
      <c r="BI255" s="101" t="s">
        <v>9914</v>
      </c>
      <c r="BJ255" s="101" t="s">
        <v>10451</v>
      </c>
      <c r="BK255" s="101" t="s">
        <v>10452</v>
      </c>
      <c r="BL255" s="102" t="s">
        <v>5013</v>
      </c>
      <c r="BM255" s="100" t="s">
        <v>10453</v>
      </c>
      <c r="BN255" s="101" t="s">
        <v>10454</v>
      </c>
      <c r="BO255" s="101" t="s">
        <v>10441</v>
      </c>
      <c r="BP255" s="101" t="s">
        <v>10455</v>
      </c>
      <c r="BQ255" s="101" t="s">
        <v>10443</v>
      </c>
      <c r="BR255" s="101" t="s">
        <v>10456</v>
      </c>
      <c r="BS255" s="101" t="s">
        <v>10445</v>
      </c>
      <c r="BT255" s="101" t="s">
        <v>10446</v>
      </c>
      <c r="BU255" s="101" t="s">
        <v>10447</v>
      </c>
      <c r="BV255" s="101" t="s">
        <v>10457</v>
      </c>
      <c r="BW255" s="101" t="s">
        <v>10449</v>
      </c>
      <c r="BX255" s="101" t="s">
        <v>10450</v>
      </c>
      <c r="BY255" s="101" t="s">
        <v>9914</v>
      </c>
      <c r="BZ255" s="101" t="s">
        <v>10451</v>
      </c>
      <c r="CA255" s="101" t="s">
        <v>10452</v>
      </c>
      <c r="CB255" s="102" t="s">
        <v>10458</v>
      </c>
      <c r="CC255" s="101"/>
      <c r="CD255" s="101"/>
      <c r="CE255" s="101"/>
      <c r="CF255" s="101"/>
      <c r="CG255" s="101"/>
      <c r="CH255" s="101"/>
      <c r="CI255" s="101"/>
      <c r="CJ255" s="101"/>
      <c r="CK255" s="101"/>
      <c r="CL255" s="101"/>
      <c r="CM255" s="101"/>
      <c r="CN255" s="101"/>
      <c r="CO255" s="101"/>
      <c r="CP255" s="101"/>
      <c r="CQ255" s="101"/>
      <c r="CR255" s="101"/>
    </row>
    <row r="256">
      <c r="A256" s="103"/>
      <c r="B256" s="103"/>
      <c r="C256" s="103"/>
      <c r="D256" s="103"/>
      <c r="E256" s="103"/>
      <c r="F256" s="103"/>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1"/>
      <c r="AH256" s="101"/>
      <c r="AI256" s="101"/>
      <c r="AJ256" s="101"/>
      <c r="AK256" s="101"/>
      <c r="AL256" s="101"/>
      <c r="AM256" s="101"/>
      <c r="AN256" s="101"/>
      <c r="AO256" s="101"/>
      <c r="AP256" s="101"/>
      <c r="AQ256" s="101"/>
      <c r="AR256" s="101"/>
      <c r="AS256" s="101"/>
      <c r="AT256" s="101"/>
      <c r="AU256" s="101"/>
      <c r="AV256" s="106"/>
      <c r="AW256" s="100" t="s">
        <v>10459</v>
      </c>
      <c r="AX256" s="101" t="s">
        <v>10460</v>
      </c>
      <c r="AY256" s="101" t="s">
        <v>10461</v>
      </c>
      <c r="AZ256" s="101" t="s">
        <v>10462</v>
      </c>
      <c r="BA256" s="101" t="s">
        <v>10463</v>
      </c>
      <c r="BB256" s="101" t="s">
        <v>10464</v>
      </c>
      <c r="BC256" s="101" t="s">
        <v>10465</v>
      </c>
      <c r="BD256" s="101" t="s">
        <v>10466</v>
      </c>
      <c r="BE256" s="101" t="s">
        <v>10467</v>
      </c>
      <c r="BF256" s="101" t="s">
        <v>10468</v>
      </c>
      <c r="BG256" s="101" t="s">
        <v>9336</v>
      </c>
      <c r="BH256" s="101" t="s">
        <v>10469</v>
      </c>
      <c r="BI256" s="101" t="s">
        <v>10470</v>
      </c>
      <c r="BJ256" s="101" t="s">
        <v>10471</v>
      </c>
      <c r="BK256" s="101" t="s">
        <v>10472</v>
      </c>
      <c r="BL256" s="102" t="s">
        <v>10473</v>
      </c>
      <c r="BM256" s="100" t="s">
        <v>10459</v>
      </c>
      <c r="BN256" s="101" t="s">
        <v>10474</v>
      </c>
      <c r="BO256" s="101" t="s">
        <v>10475</v>
      </c>
      <c r="BP256" s="101" t="s">
        <v>10476</v>
      </c>
      <c r="BQ256" s="101" t="s">
        <v>10477</v>
      </c>
      <c r="BR256" s="101" t="s">
        <v>10464</v>
      </c>
      <c r="BS256" s="101" t="s">
        <v>10478</v>
      </c>
      <c r="BT256" s="101" t="s">
        <v>10466</v>
      </c>
      <c r="BU256" s="101" t="s">
        <v>10479</v>
      </c>
      <c r="BV256" s="101" t="s">
        <v>10480</v>
      </c>
      <c r="BW256" s="101" t="s">
        <v>10481</v>
      </c>
      <c r="BX256" s="101" t="s">
        <v>10482</v>
      </c>
      <c r="BY256" s="101" t="s">
        <v>10483</v>
      </c>
      <c r="BZ256" s="101" t="s">
        <v>10484</v>
      </c>
      <c r="CA256" s="101" t="s">
        <v>10485</v>
      </c>
      <c r="CB256" s="102" t="s">
        <v>10486</v>
      </c>
      <c r="CC256" s="101"/>
      <c r="CD256" s="101"/>
      <c r="CE256" s="101"/>
      <c r="CF256" s="101"/>
      <c r="CG256" s="101"/>
      <c r="CH256" s="101"/>
      <c r="CI256" s="101"/>
      <c r="CJ256" s="101"/>
      <c r="CK256" s="101"/>
      <c r="CL256" s="101"/>
      <c r="CM256" s="101"/>
      <c r="CN256" s="101"/>
      <c r="CO256" s="101"/>
      <c r="CP256" s="101"/>
      <c r="CQ256" s="101"/>
      <c r="CR256" s="101"/>
    </row>
    <row r="257">
      <c r="A257" s="103"/>
      <c r="B257" s="103"/>
      <c r="C257" s="103"/>
      <c r="D257" s="103"/>
      <c r="E257" s="103"/>
      <c r="F257" s="103"/>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1"/>
      <c r="AH257" s="101"/>
      <c r="AI257" s="101"/>
      <c r="AJ257" s="101"/>
      <c r="AK257" s="101"/>
      <c r="AL257" s="101"/>
      <c r="AM257" s="101"/>
      <c r="AN257" s="101"/>
      <c r="AO257" s="101"/>
      <c r="AP257" s="101"/>
      <c r="AQ257" s="101"/>
      <c r="AR257" s="101"/>
      <c r="AS257" s="101"/>
      <c r="AT257" s="101"/>
      <c r="AU257" s="101"/>
      <c r="AV257" s="106"/>
      <c r="AW257" s="110" t="s">
        <v>10487</v>
      </c>
      <c r="AX257" s="111" t="s">
        <v>10488</v>
      </c>
      <c r="AY257" s="111" t="s">
        <v>10489</v>
      </c>
      <c r="AZ257" s="111" t="s">
        <v>10490</v>
      </c>
      <c r="BA257" s="111" t="s">
        <v>10491</v>
      </c>
      <c r="BB257" s="111" t="s">
        <v>10492</v>
      </c>
      <c r="BC257" s="111" t="s">
        <v>10493</v>
      </c>
      <c r="BD257" s="111" t="s">
        <v>10494</v>
      </c>
      <c r="BE257" s="111" t="s">
        <v>10495</v>
      </c>
      <c r="BF257" s="111" t="s">
        <v>10496</v>
      </c>
      <c r="BG257" s="111" t="s">
        <v>10497</v>
      </c>
      <c r="BH257" s="111" t="s">
        <v>5528</v>
      </c>
      <c r="BI257" s="111" t="s">
        <v>7154</v>
      </c>
      <c r="BJ257" s="111" t="s">
        <v>3655</v>
      </c>
      <c r="BK257" s="111" t="s">
        <v>3980</v>
      </c>
      <c r="BL257" s="112" t="s">
        <v>7736</v>
      </c>
      <c r="BM257" s="110" t="s">
        <v>10487</v>
      </c>
      <c r="BN257" s="111" t="s">
        <v>10488</v>
      </c>
      <c r="BO257" s="111" t="s">
        <v>10498</v>
      </c>
      <c r="BP257" s="111" t="s">
        <v>10499</v>
      </c>
      <c r="BQ257" s="111" t="s">
        <v>10500</v>
      </c>
      <c r="BR257" s="111" t="s">
        <v>10501</v>
      </c>
      <c r="BS257" s="111" t="s">
        <v>10493</v>
      </c>
      <c r="BT257" s="111" t="s">
        <v>10502</v>
      </c>
      <c r="BU257" s="111" t="s">
        <v>10495</v>
      </c>
      <c r="BV257" s="111" t="s">
        <v>10503</v>
      </c>
      <c r="BW257" s="111" t="s">
        <v>10504</v>
      </c>
      <c r="BX257" s="111" t="s">
        <v>10505</v>
      </c>
      <c r="BY257" s="111" t="s">
        <v>10506</v>
      </c>
      <c r="BZ257" s="111" t="s">
        <v>10507</v>
      </c>
      <c r="CA257" s="111" t="s">
        <v>10508</v>
      </c>
      <c r="CB257" s="112" t="s">
        <v>10509</v>
      </c>
      <c r="CC257" s="101"/>
      <c r="CD257" s="101"/>
      <c r="CE257" s="101"/>
      <c r="CF257" s="101"/>
      <c r="CG257" s="101"/>
      <c r="CH257" s="101"/>
      <c r="CI257" s="101"/>
      <c r="CJ257" s="101"/>
      <c r="CK257" s="101"/>
      <c r="CL257" s="101"/>
      <c r="CM257" s="101"/>
      <c r="CN257" s="101"/>
      <c r="CO257" s="101"/>
      <c r="CP257" s="101"/>
      <c r="CQ257" s="101"/>
      <c r="CR257" s="101"/>
    </row>
    <row r="258">
      <c r="A258" s="103"/>
      <c r="B258" s="103"/>
      <c r="C258" s="103"/>
      <c r="D258" s="103"/>
      <c r="E258" s="103"/>
      <c r="F258" s="103"/>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1"/>
      <c r="AH258" s="101"/>
      <c r="AI258" s="101"/>
      <c r="AJ258" s="101"/>
      <c r="AK258" s="101"/>
      <c r="AL258" s="101"/>
      <c r="AM258" s="101"/>
      <c r="AN258" s="101"/>
      <c r="AO258" s="101"/>
      <c r="AP258" s="101"/>
      <c r="AQ258" s="101"/>
      <c r="AR258" s="101"/>
      <c r="AS258" s="101"/>
      <c r="AT258" s="101"/>
      <c r="AU258" s="101"/>
      <c r="AV258" s="106"/>
      <c r="AW258" s="99" t="s">
        <v>10510</v>
      </c>
      <c r="AX258" s="97" t="s">
        <v>10511</v>
      </c>
      <c r="AY258" s="97" t="s">
        <v>10512</v>
      </c>
      <c r="AZ258" s="97" t="s">
        <v>10513</v>
      </c>
      <c r="BA258" s="97" t="s">
        <v>10514</v>
      </c>
      <c r="BB258" s="97" t="s">
        <v>10515</v>
      </c>
      <c r="BC258" s="97" t="s">
        <v>8962</v>
      </c>
      <c r="BD258" s="97" t="s">
        <v>10516</v>
      </c>
      <c r="BE258" s="97" t="s">
        <v>10517</v>
      </c>
      <c r="BF258" s="97" t="s">
        <v>10518</v>
      </c>
      <c r="BG258" s="97" t="s">
        <v>10519</v>
      </c>
      <c r="BH258" s="97" t="s">
        <v>10520</v>
      </c>
      <c r="BI258" s="97" t="s">
        <v>10521</v>
      </c>
      <c r="BJ258" s="97" t="s">
        <v>10522</v>
      </c>
      <c r="BK258" s="97" t="s">
        <v>10523</v>
      </c>
      <c r="BL258" s="98" t="s">
        <v>4423</v>
      </c>
      <c r="BM258" s="99" t="s">
        <v>10510</v>
      </c>
      <c r="BN258" s="97" t="s">
        <v>10511</v>
      </c>
      <c r="BO258" s="97" t="s">
        <v>10512</v>
      </c>
      <c r="BP258" s="97" t="s">
        <v>10524</v>
      </c>
      <c r="BQ258" s="97" t="s">
        <v>10514</v>
      </c>
      <c r="BR258" s="97" t="s">
        <v>10525</v>
      </c>
      <c r="BS258" s="97" t="s">
        <v>10526</v>
      </c>
      <c r="BT258" s="97" t="s">
        <v>10527</v>
      </c>
      <c r="BU258" s="97" t="s">
        <v>10517</v>
      </c>
      <c r="BV258" s="97" t="s">
        <v>10528</v>
      </c>
      <c r="BW258" s="97" t="s">
        <v>10529</v>
      </c>
      <c r="BX258" s="97" t="s">
        <v>10530</v>
      </c>
      <c r="BY258" s="97" t="s">
        <v>10521</v>
      </c>
      <c r="BZ258" s="97" t="s">
        <v>10522</v>
      </c>
      <c r="CA258" s="97" t="s">
        <v>10531</v>
      </c>
      <c r="CB258" s="98" t="s">
        <v>10532</v>
      </c>
      <c r="CC258" s="101"/>
      <c r="CD258" s="101"/>
      <c r="CE258" s="101"/>
      <c r="CF258" s="101"/>
      <c r="CG258" s="101"/>
      <c r="CH258" s="101"/>
      <c r="CI258" s="101"/>
      <c r="CJ258" s="101"/>
      <c r="CK258" s="101"/>
      <c r="CL258" s="101"/>
      <c r="CM258" s="101"/>
      <c r="CN258" s="101"/>
      <c r="CO258" s="101"/>
      <c r="CP258" s="101"/>
      <c r="CQ258" s="101"/>
      <c r="CR258" s="101"/>
    </row>
    <row r="259">
      <c r="A259" s="103"/>
      <c r="B259" s="103"/>
      <c r="C259" s="103"/>
      <c r="D259" s="103"/>
      <c r="E259" s="103"/>
      <c r="F259" s="103"/>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1"/>
      <c r="AH259" s="101"/>
      <c r="AI259" s="101"/>
      <c r="AJ259" s="101"/>
      <c r="AK259" s="101"/>
      <c r="AL259" s="101"/>
      <c r="AM259" s="101"/>
      <c r="AN259" s="101"/>
      <c r="AO259" s="101"/>
      <c r="AP259" s="101"/>
      <c r="AQ259" s="101"/>
      <c r="AR259" s="101"/>
      <c r="AS259" s="101"/>
      <c r="AT259" s="101"/>
      <c r="AU259" s="101"/>
      <c r="AV259" s="106"/>
      <c r="AW259" s="100" t="s">
        <v>10533</v>
      </c>
      <c r="AX259" s="101" t="s">
        <v>9174</v>
      </c>
      <c r="AY259" s="101" t="s">
        <v>9064</v>
      </c>
      <c r="AZ259" s="101" t="s">
        <v>10534</v>
      </c>
      <c r="BA259" s="101" t="s">
        <v>10535</v>
      </c>
      <c r="BB259" s="101" t="s">
        <v>10536</v>
      </c>
      <c r="BC259" s="101" t="s">
        <v>10537</v>
      </c>
      <c r="BD259" s="101" t="s">
        <v>10538</v>
      </c>
      <c r="BE259" s="101" t="s">
        <v>10539</v>
      </c>
      <c r="BF259" s="101" t="s">
        <v>5753</v>
      </c>
      <c r="BG259" s="101" t="s">
        <v>10540</v>
      </c>
      <c r="BH259" s="101" t="s">
        <v>9393</v>
      </c>
      <c r="BI259" s="101"/>
      <c r="BJ259" s="101"/>
      <c r="BK259" s="101"/>
      <c r="BL259" s="102"/>
      <c r="BM259" s="100" t="s">
        <v>10541</v>
      </c>
      <c r="BN259" s="101" t="s">
        <v>10542</v>
      </c>
      <c r="BO259" s="101" t="s">
        <v>10543</v>
      </c>
      <c r="BP259" s="101" t="s">
        <v>10544</v>
      </c>
      <c r="BQ259" s="101" t="s">
        <v>10545</v>
      </c>
      <c r="BR259" s="101" t="s">
        <v>10546</v>
      </c>
      <c r="BS259" s="101" t="s">
        <v>10547</v>
      </c>
      <c r="BT259" s="101" t="s">
        <v>10548</v>
      </c>
      <c r="BU259" s="101" t="s">
        <v>10539</v>
      </c>
      <c r="BV259" s="101" t="s">
        <v>10549</v>
      </c>
      <c r="BW259" s="101" t="s">
        <v>10550</v>
      </c>
      <c r="BX259" s="101" t="s">
        <v>10551</v>
      </c>
      <c r="BY259" s="101"/>
      <c r="BZ259" s="101"/>
      <c r="CA259" s="101"/>
      <c r="CB259" s="102"/>
      <c r="CC259" s="101"/>
      <c r="CD259" s="101"/>
      <c r="CE259" s="101"/>
      <c r="CF259" s="101"/>
      <c r="CG259" s="101"/>
      <c r="CH259" s="101"/>
      <c r="CI259" s="101"/>
      <c r="CJ259" s="101"/>
      <c r="CK259" s="101"/>
      <c r="CL259" s="101"/>
      <c r="CM259" s="101"/>
      <c r="CN259" s="101"/>
      <c r="CO259" s="101"/>
      <c r="CP259" s="101"/>
      <c r="CQ259" s="101"/>
      <c r="CR259" s="101"/>
    </row>
    <row r="260">
      <c r="A260" s="103"/>
      <c r="B260" s="103"/>
      <c r="C260" s="103"/>
      <c r="D260" s="103"/>
      <c r="E260" s="103"/>
      <c r="F260" s="103"/>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1"/>
      <c r="AH260" s="101"/>
      <c r="AI260" s="101"/>
      <c r="AJ260" s="101"/>
      <c r="AK260" s="101"/>
      <c r="AL260" s="101"/>
      <c r="AM260" s="101"/>
      <c r="AN260" s="101"/>
      <c r="AO260" s="101"/>
      <c r="AP260" s="101"/>
      <c r="AQ260" s="101"/>
      <c r="AR260" s="101"/>
      <c r="AS260" s="101"/>
      <c r="AT260" s="101"/>
      <c r="AU260" s="101"/>
      <c r="AV260" s="106"/>
      <c r="AW260" s="100"/>
      <c r="AX260" s="101"/>
      <c r="AY260" s="101"/>
      <c r="AZ260" s="101"/>
      <c r="BA260" s="101"/>
      <c r="BB260" s="101"/>
      <c r="BC260" s="101"/>
      <c r="BD260" s="101"/>
      <c r="BE260" s="101"/>
      <c r="BF260" s="101"/>
      <c r="BG260" s="101"/>
      <c r="BH260" s="101"/>
      <c r="BI260" s="101"/>
      <c r="BJ260" s="101"/>
      <c r="BK260" s="101"/>
      <c r="BL260" s="102"/>
      <c r="BM260" s="100"/>
      <c r="BN260" s="101"/>
      <c r="BO260" s="101"/>
      <c r="BP260" s="101"/>
      <c r="BQ260" s="101"/>
      <c r="BR260" s="101"/>
      <c r="BS260" s="101"/>
      <c r="BT260" s="101"/>
      <c r="BU260" s="101"/>
      <c r="BV260" s="101"/>
      <c r="BW260" s="101"/>
      <c r="BX260" s="101"/>
      <c r="BY260" s="101"/>
      <c r="BZ260" s="101"/>
      <c r="CA260" s="101"/>
      <c r="CB260" s="102"/>
      <c r="CC260" s="101"/>
      <c r="CD260" s="101"/>
      <c r="CE260" s="101"/>
      <c r="CF260" s="101"/>
      <c r="CG260" s="101"/>
      <c r="CH260" s="101"/>
      <c r="CI260" s="101"/>
      <c r="CJ260" s="101"/>
      <c r="CK260" s="101"/>
      <c r="CL260" s="101"/>
      <c r="CM260" s="101"/>
      <c r="CN260" s="101"/>
      <c r="CO260" s="101"/>
      <c r="CP260" s="101"/>
      <c r="CQ260" s="101"/>
      <c r="CR260" s="101"/>
    </row>
    <row r="261">
      <c r="A261" s="103"/>
      <c r="B261" s="103"/>
      <c r="C261" s="103"/>
      <c r="D261" s="103"/>
      <c r="E261" s="103"/>
      <c r="F261" s="103"/>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1"/>
      <c r="AH261" s="101"/>
      <c r="AI261" s="101"/>
      <c r="AJ261" s="101"/>
      <c r="AK261" s="101"/>
      <c r="AL261" s="101"/>
      <c r="AM261" s="101"/>
      <c r="AN261" s="101"/>
      <c r="AO261" s="101"/>
      <c r="AP261" s="101"/>
      <c r="AQ261" s="101"/>
      <c r="AR261" s="101"/>
      <c r="AS261" s="101"/>
      <c r="AT261" s="101"/>
      <c r="AU261" s="101"/>
      <c r="AV261" s="106"/>
      <c r="AW261" s="100"/>
      <c r="AX261" s="101"/>
      <c r="AY261" s="101"/>
      <c r="AZ261" s="101"/>
      <c r="BA261" s="101"/>
      <c r="BB261" s="101"/>
      <c r="BC261" s="101"/>
      <c r="BD261" s="101"/>
      <c r="BE261" s="101"/>
      <c r="BF261" s="101"/>
      <c r="BG261" s="101"/>
      <c r="BH261" s="101"/>
      <c r="BI261" s="101"/>
      <c r="BJ261" s="101"/>
      <c r="BK261" s="101"/>
      <c r="BL261" s="102"/>
      <c r="BM261" s="100"/>
      <c r="BN261" s="101"/>
      <c r="BO261" s="101"/>
      <c r="BP261" s="101"/>
      <c r="BQ261" s="101"/>
      <c r="BR261" s="101"/>
      <c r="BS261" s="101"/>
      <c r="BT261" s="101"/>
      <c r="BU261" s="101"/>
      <c r="BV261" s="101"/>
      <c r="BW261" s="101"/>
      <c r="BX261" s="101"/>
      <c r="BY261" s="101"/>
      <c r="BZ261" s="101"/>
      <c r="CA261" s="101"/>
      <c r="CB261" s="102"/>
      <c r="CC261" s="101"/>
      <c r="CD261" s="101"/>
      <c r="CE261" s="101"/>
      <c r="CF261" s="101"/>
      <c r="CG261" s="101"/>
      <c r="CH261" s="101"/>
      <c r="CI261" s="101"/>
      <c r="CJ261" s="101"/>
      <c r="CK261" s="101"/>
      <c r="CL261" s="101"/>
      <c r="CM261" s="101"/>
      <c r="CN261" s="101"/>
      <c r="CO261" s="101"/>
      <c r="CP261" s="101"/>
      <c r="CQ261" s="101"/>
      <c r="CR261" s="101"/>
    </row>
    <row r="262">
      <c r="A262" s="103"/>
      <c r="B262" s="103"/>
      <c r="C262" s="103"/>
      <c r="D262" s="103"/>
      <c r="E262" s="103"/>
      <c r="F262" s="103"/>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1"/>
      <c r="AH262" s="101"/>
      <c r="AI262" s="101"/>
      <c r="AJ262" s="101"/>
      <c r="AK262" s="101"/>
      <c r="AL262" s="101"/>
      <c r="AM262" s="101"/>
      <c r="AN262" s="101"/>
      <c r="AO262" s="101"/>
      <c r="AP262" s="101"/>
      <c r="AQ262" s="101"/>
      <c r="AR262" s="101"/>
      <c r="AS262" s="101"/>
      <c r="AT262" s="101"/>
      <c r="AU262" s="101"/>
      <c r="AV262" s="106"/>
      <c r="AW262" s="100"/>
      <c r="AX262" s="101"/>
      <c r="AY262" s="101"/>
      <c r="AZ262" s="101"/>
      <c r="BA262" s="101"/>
      <c r="BB262" s="101"/>
      <c r="BC262" s="101"/>
      <c r="BD262" s="101"/>
      <c r="BE262" s="101"/>
      <c r="BF262" s="101"/>
      <c r="BG262" s="101"/>
      <c r="BH262" s="101"/>
      <c r="BI262" s="101"/>
      <c r="BJ262" s="101"/>
      <c r="BK262" s="101"/>
      <c r="BL262" s="102"/>
      <c r="BM262" s="100"/>
      <c r="BN262" s="101"/>
      <c r="BO262" s="101"/>
      <c r="BP262" s="101"/>
      <c r="BQ262" s="101"/>
      <c r="BR262" s="101"/>
      <c r="BS262" s="101"/>
      <c r="BT262" s="101"/>
      <c r="BU262" s="101"/>
      <c r="BV262" s="101"/>
      <c r="BW262" s="101"/>
      <c r="BX262" s="101"/>
      <c r="BY262" s="101"/>
      <c r="BZ262" s="101"/>
      <c r="CA262" s="101"/>
      <c r="CB262" s="102"/>
      <c r="CC262" s="101"/>
      <c r="CD262" s="101"/>
      <c r="CE262" s="101"/>
      <c r="CF262" s="101"/>
      <c r="CG262" s="101"/>
      <c r="CH262" s="101"/>
      <c r="CI262" s="101"/>
      <c r="CJ262" s="101"/>
      <c r="CK262" s="101"/>
      <c r="CL262" s="101"/>
      <c r="CM262" s="101"/>
      <c r="CN262" s="101"/>
      <c r="CO262" s="101"/>
      <c r="CP262" s="101"/>
      <c r="CQ262" s="101"/>
      <c r="CR262" s="101"/>
    </row>
    <row r="263">
      <c r="A263" s="103"/>
      <c r="B263" s="103"/>
      <c r="C263" s="103"/>
      <c r="D263" s="103"/>
      <c r="E263" s="103"/>
      <c r="F263" s="103"/>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1"/>
      <c r="AH263" s="101"/>
      <c r="AI263" s="101"/>
      <c r="AJ263" s="101"/>
      <c r="AK263" s="101"/>
      <c r="AL263" s="101"/>
      <c r="AM263" s="101"/>
      <c r="AN263" s="101"/>
      <c r="AO263" s="101"/>
      <c r="AP263" s="101"/>
      <c r="AQ263" s="101"/>
      <c r="AR263" s="101"/>
      <c r="AS263" s="101"/>
      <c r="AT263" s="101"/>
      <c r="AU263" s="101"/>
      <c r="AV263" s="106"/>
      <c r="AW263" s="100"/>
      <c r="AX263" s="101"/>
      <c r="AY263" s="101"/>
      <c r="AZ263" s="101"/>
      <c r="BA263" s="101"/>
      <c r="BB263" s="101"/>
      <c r="BC263" s="101"/>
      <c r="BD263" s="101"/>
      <c r="BE263" s="101"/>
      <c r="BF263" s="101"/>
      <c r="BG263" s="101"/>
      <c r="BH263" s="101"/>
      <c r="BI263" s="101"/>
      <c r="BJ263" s="101"/>
      <c r="BK263" s="101"/>
      <c r="BL263" s="102"/>
      <c r="BM263" s="100"/>
      <c r="BN263" s="101"/>
      <c r="BO263" s="101"/>
      <c r="BP263" s="101"/>
      <c r="BQ263" s="101"/>
      <c r="BR263" s="101"/>
      <c r="BS263" s="101"/>
      <c r="BT263" s="101"/>
      <c r="BU263" s="101"/>
      <c r="BV263" s="101"/>
      <c r="BW263" s="101"/>
      <c r="BX263" s="101"/>
      <c r="BY263" s="101"/>
      <c r="BZ263" s="101"/>
      <c r="CA263" s="101"/>
      <c r="CB263" s="102"/>
      <c r="CC263" s="101"/>
      <c r="CD263" s="101"/>
      <c r="CE263" s="101"/>
      <c r="CF263" s="101"/>
      <c r="CG263" s="101"/>
      <c r="CH263" s="101"/>
      <c r="CI263" s="101"/>
      <c r="CJ263" s="101"/>
      <c r="CK263" s="101"/>
      <c r="CL263" s="101"/>
      <c r="CM263" s="101"/>
      <c r="CN263" s="101"/>
      <c r="CO263" s="101"/>
      <c r="CP263" s="101"/>
      <c r="CQ263" s="101"/>
      <c r="CR263" s="101"/>
    </row>
    <row r="264">
      <c r="A264" s="103"/>
      <c r="B264" s="103"/>
      <c r="C264" s="103"/>
      <c r="D264" s="103"/>
      <c r="E264" s="103"/>
      <c r="F264" s="103"/>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1"/>
      <c r="AH264" s="101"/>
      <c r="AI264" s="101"/>
      <c r="AJ264" s="101"/>
      <c r="AK264" s="101"/>
      <c r="AL264" s="101"/>
      <c r="AM264" s="101"/>
      <c r="AN264" s="101"/>
      <c r="AO264" s="101"/>
      <c r="AP264" s="101"/>
      <c r="AQ264" s="101"/>
      <c r="AR264" s="101"/>
      <c r="AS264" s="101"/>
      <c r="AT264" s="101"/>
      <c r="AU264" s="101"/>
      <c r="AV264" s="106"/>
      <c r="AW264" s="100"/>
      <c r="AX264" s="101"/>
      <c r="AY264" s="101"/>
      <c r="AZ264" s="101"/>
      <c r="BA264" s="101"/>
      <c r="BB264" s="101"/>
      <c r="BC264" s="101"/>
      <c r="BD264" s="101"/>
      <c r="BE264" s="101"/>
      <c r="BF264" s="101"/>
      <c r="BG264" s="101"/>
      <c r="BH264" s="101"/>
      <c r="BI264" s="101"/>
      <c r="BJ264" s="101"/>
      <c r="BK264" s="101"/>
      <c r="BL264" s="102"/>
      <c r="BM264" s="100"/>
      <c r="BN264" s="101"/>
      <c r="BO264" s="101"/>
      <c r="BP264" s="101"/>
      <c r="BQ264" s="101"/>
      <c r="BR264" s="101"/>
      <c r="BS264" s="101"/>
      <c r="BT264" s="101"/>
      <c r="BU264" s="101"/>
      <c r="BV264" s="101"/>
      <c r="BW264" s="101"/>
      <c r="BX264" s="101"/>
      <c r="BY264" s="101"/>
      <c r="BZ264" s="101"/>
      <c r="CA264" s="101"/>
      <c r="CB264" s="102"/>
      <c r="CC264" s="101"/>
      <c r="CD264" s="101"/>
      <c r="CE264" s="101"/>
      <c r="CF264" s="101"/>
      <c r="CG264" s="101"/>
      <c r="CH264" s="101"/>
      <c r="CI264" s="101"/>
      <c r="CJ264" s="101"/>
      <c r="CK264" s="101"/>
      <c r="CL264" s="101"/>
      <c r="CM264" s="101"/>
      <c r="CN264" s="101"/>
      <c r="CO264" s="101"/>
      <c r="CP264" s="101"/>
      <c r="CQ264" s="101"/>
      <c r="CR264" s="101"/>
    </row>
    <row r="265">
      <c r="A265" s="103"/>
      <c r="B265" s="103"/>
      <c r="C265" s="103"/>
      <c r="D265" s="103"/>
      <c r="E265" s="103"/>
      <c r="F265" s="103"/>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1"/>
      <c r="AH265" s="101"/>
      <c r="AI265" s="101"/>
      <c r="AJ265" s="101"/>
      <c r="AK265" s="101"/>
      <c r="AL265" s="101"/>
      <c r="AM265" s="101"/>
      <c r="AN265" s="101"/>
      <c r="AO265" s="101"/>
      <c r="AP265" s="101"/>
      <c r="AQ265" s="101"/>
      <c r="AR265" s="101"/>
      <c r="AS265" s="101"/>
      <c r="AT265" s="101"/>
      <c r="AU265" s="101"/>
      <c r="AV265" s="106"/>
      <c r="AW265" s="100"/>
      <c r="AX265" s="101"/>
      <c r="AY265" s="101"/>
      <c r="AZ265" s="101"/>
      <c r="BA265" s="101"/>
      <c r="BB265" s="101"/>
      <c r="BC265" s="101"/>
      <c r="BD265" s="101"/>
      <c r="BE265" s="101"/>
      <c r="BF265" s="101"/>
      <c r="BG265" s="101"/>
      <c r="BH265" s="101"/>
      <c r="BI265" s="101"/>
      <c r="BJ265" s="101"/>
      <c r="BK265" s="101"/>
      <c r="BL265" s="102"/>
      <c r="BM265" s="100"/>
      <c r="BN265" s="101"/>
      <c r="BO265" s="101"/>
      <c r="BP265" s="101"/>
      <c r="BQ265" s="101"/>
      <c r="BR265" s="101"/>
      <c r="BS265" s="101"/>
      <c r="BT265" s="101"/>
      <c r="BU265" s="101"/>
      <c r="BV265" s="101"/>
      <c r="BW265" s="101"/>
      <c r="BX265" s="101"/>
      <c r="BY265" s="101"/>
      <c r="BZ265" s="101"/>
      <c r="CA265" s="101"/>
      <c r="CB265" s="102"/>
      <c r="CC265" s="101"/>
      <c r="CD265" s="101"/>
      <c r="CE265" s="101"/>
      <c r="CF265" s="101"/>
      <c r="CG265" s="101"/>
      <c r="CH265" s="101"/>
      <c r="CI265" s="101"/>
      <c r="CJ265" s="101"/>
      <c r="CK265" s="101"/>
      <c r="CL265" s="101"/>
      <c r="CM265" s="101"/>
      <c r="CN265" s="101"/>
      <c r="CO265" s="101"/>
      <c r="CP265" s="101"/>
      <c r="CQ265" s="101"/>
      <c r="CR265" s="101"/>
    </row>
    <row r="266">
      <c r="A266" s="103"/>
      <c r="B266" s="103"/>
      <c r="C266" s="103"/>
      <c r="D266" s="103"/>
      <c r="E266" s="103"/>
      <c r="F266" s="103"/>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1"/>
      <c r="AH266" s="101"/>
      <c r="AI266" s="101"/>
      <c r="AJ266" s="101"/>
      <c r="AK266" s="101"/>
      <c r="AL266" s="101"/>
      <c r="AM266" s="101"/>
      <c r="AN266" s="101"/>
      <c r="AO266" s="101"/>
      <c r="AP266" s="101"/>
      <c r="AQ266" s="101"/>
      <c r="AR266" s="101"/>
      <c r="AS266" s="101"/>
      <c r="AT266" s="101"/>
      <c r="AU266" s="101"/>
      <c r="AV266" s="106"/>
      <c r="AW266" s="100"/>
      <c r="AX266" s="101"/>
      <c r="AY266" s="101"/>
      <c r="AZ266" s="101"/>
      <c r="BA266" s="101"/>
      <c r="BB266" s="101"/>
      <c r="BC266" s="101"/>
      <c r="BD266" s="101"/>
      <c r="BE266" s="101"/>
      <c r="BF266" s="101"/>
      <c r="BG266" s="101"/>
      <c r="BH266" s="101"/>
      <c r="BI266" s="101"/>
      <c r="BJ266" s="101"/>
      <c r="BK266" s="101"/>
      <c r="BL266" s="102"/>
      <c r="BM266" s="100"/>
      <c r="BN266" s="101"/>
      <c r="BO266" s="101"/>
      <c r="BP266" s="101"/>
      <c r="BQ266" s="101"/>
      <c r="BR266" s="101"/>
      <c r="BS266" s="101"/>
      <c r="BT266" s="101"/>
      <c r="BU266" s="101"/>
      <c r="BV266" s="101"/>
      <c r="BW266" s="101"/>
      <c r="BX266" s="101"/>
      <c r="BY266" s="101"/>
      <c r="BZ266" s="101"/>
      <c r="CA266" s="101"/>
      <c r="CB266" s="102"/>
      <c r="CC266" s="101"/>
      <c r="CD266" s="101"/>
      <c r="CE266" s="101"/>
      <c r="CF266" s="101"/>
      <c r="CG266" s="101"/>
      <c r="CH266" s="101"/>
      <c r="CI266" s="101"/>
      <c r="CJ266" s="101"/>
      <c r="CK266" s="101"/>
      <c r="CL266" s="101"/>
      <c r="CM266" s="101"/>
      <c r="CN266" s="101"/>
      <c r="CO266" s="101"/>
      <c r="CP266" s="101"/>
      <c r="CQ266" s="101"/>
      <c r="CR266" s="101"/>
    </row>
    <row r="267">
      <c r="A267" s="103"/>
      <c r="B267" s="103"/>
      <c r="C267" s="103"/>
      <c r="D267" s="103"/>
      <c r="E267" s="103"/>
      <c r="F267" s="103"/>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1"/>
      <c r="AH267" s="101"/>
      <c r="AI267" s="101"/>
      <c r="AJ267" s="101"/>
      <c r="AK267" s="101"/>
      <c r="AL267" s="101"/>
      <c r="AM267" s="101"/>
      <c r="AN267" s="101"/>
      <c r="AO267" s="101"/>
      <c r="AP267" s="101"/>
      <c r="AQ267" s="101"/>
      <c r="AR267" s="101"/>
      <c r="AS267" s="101"/>
      <c r="AT267" s="101"/>
      <c r="AU267" s="101"/>
      <c r="AV267" s="106"/>
      <c r="AW267" s="100"/>
      <c r="AX267" s="101"/>
      <c r="AY267" s="101"/>
      <c r="AZ267" s="101"/>
      <c r="BA267" s="101"/>
      <c r="BB267" s="101"/>
      <c r="BC267" s="101"/>
      <c r="BD267" s="101"/>
      <c r="BE267" s="101"/>
      <c r="BF267" s="101"/>
      <c r="BG267" s="101"/>
      <c r="BH267" s="101"/>
      <c r="BI267" s="101"/>
      <c r="BJ267" s="101"/>
      <c r="BK267" s="101"/>
      <c r="BL267" s="102"/>
      <c r="BM267" s="100"/>
      <c r="BN267" s="101"/>
      <c r="BO267" s="101"/>
      <c r="BP267" s="101"/>
      <c r="BQ267" s="101"/>
      <c r="BR267" s="101"/>
      <c r="BS267" s="101"/>
      <c r="BT267" s="101"/>
      <c r="BU267" s="101"/>
      <c r="BV267" s="101"/>
      <c r="BW267" s="101"/>
      <c r="BX267" s="101"/>
      <c r="BY267" s="101"/>
      <c r="BZ267" s="101"/>
      <c r="CA267" s="101"/>
      <c r="CB267" s="102"/>
      <c r="CC267" s="101"/>
      <c r="CD267" s="101"/>
      <c r="CE267" s="101"/>
      <c r="CF267" s="101"/>
      <c r="CG267" s="101"/>
      <c r="CH267" s="101"/>
      <c r="CI267" s="101"/>
      <c r="CJ267" s="101"/>
      <c r="CK267" s="101"/>
      <c r="CL267" s="101"/>
      <c r="CM267" s="101"/>
      <c r="CN267" s="101"/>
      <c r="CO267" s="101"/>
      <c r="CP267" s="101"/>
      <c r="CQ267" s="101"/>
      <c r="CR267" s="101"/>
    </row>
    <row r="268">
      <c r="A268" s="103"/>
      <c r="B268" s="103"/>
      <c r="C268" s="103"/>
      <c r="D268" s="103"/>
      <c r="E268" s="103"/>
      <c r="F268" s="103"/>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1"/>
      <c r="AH268" s="101"/>
      <c r="AI268" s="101"/>
      <c r="AJ268" s="101"/>
      <c r="AK268" s="101"/>
      <c r="AL268" s="101"/>
      <c r="AM268" s="101"/>
      <c r="AN268" s="101"/>
      <c r="AO268" s="101"/>
      <c r="AP268" s="101"/>
      <c r="AQ268" s="101"/>
      <c r="AR268" s="101"/>
      <c r="AS268" s="101"/>
      <c r="AT268" s="101"/>
      <c r="AU268" s="101"/>
      <c r="AV268" s="106"/>
      <c r="AW268" s="100"/>
      <c r="AX268" s="101"/>
      <c r="AY268" s="101"/>
      <c r="AZ268" s="101"/>
      <c r="BA268" s="101"/>
      <c r="BB268" s="101"/>
      <c r="BC268" s="101"/>
      <c r="BD268" s="101"/>
      <c r="BE268" s="101"/>
      <c r="BF268" s="101"/>
      <c r="BG268" s="101"/>
      <c r="BH268" s="101"/>
      <c r="BI268" s="101"/>
      <c r="BJ268" s="101"/>
      <c r="BK268" s="101"/>
      <c r="BL268" s="102"/>
      <c r="BM268" s="100"/>
      <c r="BN268" s="101"/>
      <c r="BO268" s="101"/>
      <c r="BP268" s="101"/>
      <c r="BQ268" s="101"/>
      <c r="BR268" s="101"/>
      <c r="BS268" s="101"/>
      <c r="BT268" s="101"/>
      <c r="BU268" s="101"/>
      <c r="BV268" s="101"/>
      <c r="BW268" s="101"/>
      <c r="BX268" s="101"/>
      <c r="BY268" s="101"/>
      <c r="BZ268" s="101"/>
      <c r="CA268" s="101"/>
      <c r="CB268" s="102"/>
      <c r="CC268" s="101"/>
      <c r="CD268" s="101"/>
      <c r="CE268" s="101"/>
      <c r="CF268" s="101"/>
      <c r="CG268" s="101"/>
      <c r="CH268" s="101"/>
      <c r="CI268" s="101"/>
      <c r="CJ268" s="101"/>
      <c r="CK268" s="101"/>
      <c r="CL268" s="101"/>
      <c r="CM268" s="101"/>
      <c r="CN268" s="101"/>
      <c r="CO268" s="101"/>
      <c r="CP268" s="101"/>
      <c r="CQ268" s="101"/>
      <c r="CR268" s="101"/>
    </row>
    <row r="269">
      <c r="A269" s="103"/>
      <c r="B269" s="103"/>
      <c r="C269" s="103"/>
      <c r="D269" s="103"/>
      <c r="E269" s="103"/>
      <c r="F269" s="103"/>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1"/>
      <c r="AH269" s="101"/>
      <c r="AI269" s="101"/>
      <c r="AJ269" s="101"/>
      <c r="AK269" s="101"/>
      <c r="AL269" s="101"/>
      <c r="AM269" s="101"/>
      <c r="AN269" s="101"/>
      <c r="AO269" s="101"/>
      <c r="AP269" s="101"/>
      <c r="AQ269" s="101"/>
      <c r="AR269" s="101"/>
      <c r="AS269" s="101"/>
      <c r="AT269" s="101"/>
      <c r="AU269" s="101"/>
      <c r="AV269" s="106"/>
      <c r="AW269" s="100"/>
      <c r="AX269" s="101"/>
      <c r="AY269" s="101"/>
      <c r="AZ269" s="101"/>
      <c r="BA269" s="101"/>
      <c r="BB269" s="101"/>
      <c r="BC269" s="101"/>
      <c r="BD269" s="101"/>
      <c r="BE269" s="101"/>
      <c r="BF269" s="101"/>
      <c r="BG269" s="101"/>
      <c r="BH269" s="101"/>
      <c r="BI269" s="101"/>
      <c r="BJ269" s="101"/>
      <c r="BK269" s="101"/>
      <c r="BL269" s="102"/>
      <c r="BM269" s="100"/>
      <c r="BN269" s="101"/>
      <c r="BO269" s="101"/>
      <c r="BP269" s="101"/>
      <c r="BQ269" s="101"/>
      <c r="BR269" s="101"/>
      <c r="BS269" s="101"/>
      <c r="BT269" s="101"/>
      <c r="BU269" s="101"/>
      <c r="BV269" s="101"/>
      <c r="BW269" s="101"/>
      <c r="BX269" s="101"/>
      <c r="BY269" s="101"/>
      <c r="BZ269" s="101"/>
      <c r="CA269" s="101"/>
      <c r="CB269" s="102"/>
      <c r="CC269" s="101"/>
      <c r="CD269" s="101"/>
      <c r="CE269" s="101"/>
      <c r="CF269" s="101"/>
      <c r="CG269" s="101"/>
      <c r="CH269" s="101"/>
      <c r="CI269" s="101"/>
      <c r="CJ269" s="101"/>
      <c r="CK269" s="101"/>
      <c r="CL269" s="101"/>
      <c r="CM269" s="101"/>
      <c r="CN269" s="101"/>
      <c r="CO269" s="101"/>
      <c r="CP269" s="101"/>
      <c r="CQ269" s="101"/>
      <c r="CR269" s="101"/>
    </row>
    <row r="270">
      <c r="A270" s="103"/>
      <c r="B270" s="103"/>
      <c r="C270" s="103"/>
      <c r="D270" s="103"/>
      <c r="E270" s="103"/>
      <c r="F270" s="103"/>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1"/>
      <c r="AH270" s="101"/>
      <c r="AI270" s="101"/>
      <c r="AJ270" s="101"/>
      <c r="AK270" s="101"/>
      <c r="AL270" s="101"/>
      <c r="AM270" s="101"/>
      <c r="AN270" s="101"/>
      <c r="AO270" s="101"/>
      <c r="AP270" s="101"/>
      <c r="AQ270" s="101"/>
      <c r="AR270" s="101"/>
      <c r="AS270" s="101"/>
      <c r="AT270" s="101"/>
      <c r="AU270" s="101"/>
      <c r="AV270" s="106"/>
      <c r="AW270" s="100"/>
      <c r="AX270" s="101"/>
      <c r="AY270" s="101"/>
      <c r="AZ270" s="101"/>
      <c r="BA270" s="101"/>
      <c r="BB270" s="101"/>
      <c r="BC270" s="101"/>
      <c r="BD270" s="101"/>
      <c r="BE270" s="101"/>
      <c r="BF270" s="101"/>
      <c r="BG270" s="101"/>
      <c r="BH270" s="101"/>
      <c r="BI270" s="101"/>
      <c r="BJ270" s="101"/>
      <c r="BK270" s="101"/>
      <c r="BL270" s="102"/>
      <c r="BM270" s="100"/>
      <c r="BN270" s="101"/>
      <c r="BO270" s="101"/>
      <c r="BP270" s="101"/>
      <c r="BQ270" s="101"/>
      <c r="BR270" s="101"/>
      <c r="BS270" s="101"/>
      <c r="BT270" s="101"/>
      <c r="BU270" s="101"/>
      <c r="BV270" s="101"/>
      <c r="BW270" s="101"/>
      <c r="BX270" s="101"/>
      <c r="BY270" s="101"/>
      <c r="BZ270" s="101"/>
      <c r="CA270" s="101"/>
      <c r="CB270" s="102"/>
      <c r="CC270" s="101"/>
      <c r="CD270" s="101"/>
      <c r="CE270" s="101"/>
      <c r="CF270" s="101"/>
      <c r="CG270" s="101"/>
      <c r="CH270" s="101"/>
      <c r="CI270" s="101"/>
      <c r="CJ270" s="101"/>
      <c r="CK270" s="101"/>
      <c r="CL270" s="101"/>
      <c r="CM270" s="101"/>
      <c r="CN270" s="101"/>
      <c r="CO270" s="101"/>
      <c r="CP270" s="101"/>
      <c r="CQ270" s="101"/>
      <c r="CR270" s="101"/>
    </row>
    <row r="271">
      <c r="A271" s="103"/>
      <c r="B271" s="103"/>
      <c r="C271" s="103"/>
      <c r="D271" s="103"/>
      <c r="E271" s="103"/>
      <c r="F271" s="103"/>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1"/>
      <c r="AH271" s="101"/>
      <c r="AI271" s="101"/>
      <c r="AJ271" s="101"/>
      <c r="AK271" s="101"/>
      <c r="AL271" s="101"/>
      <c r="AM271" s="101"/>
      <c r="AN271" s="101"/>
      <c r="AO271" s="101"/>
      <c r="AP271" s="101"/>
      <c r="AQ271" s="101"/>
      <c r="AR271" s="101"/>
      <c r="AS271" s="101"/>
      <c r="AT271" s="101"/>
      <c r="AU271" s="101"/>
      <c r="AV271" s="106"/>
      <c r="AW271" s="100"/>
      <c r="AX271" s="101"/>
      <c r="AY271" s="101"/>
      <c r="AZ271" s="101"/>
      <c r="BA271" s="101"/>
      <c r="BB271" s="101"/>
      <c r="BC271" s="101"/>
      <c r="BD271" s="101"/>
      <c r="BE271" s="101"/>
      <c r="BF271" s="101"/>
      <c r="BG271" s="101"/>
      <c r="BH271" s="101"/>
      <c r="BI271" s="101"/>
      <c r="BJ271" s="101"/>
      <c r="BK271" s="101"/>
      <c r="BL271" s="102"/>
      <c r="BM271" s="100"/>
      <c r="BN271" s="101"/>
      <c r="BO271" s="101"/>
      <c r="BP271" s="101"/>
      <c r="BQ271" s="101"/>
      <c r="BR271" s="101"/>
      <c r="BS271" s="101"/>
      <c r="BT271" s="101"/>
      <c r="BU271" s="101"/>
      <c r="BV271" s="101"/>
      <c r="BW271" s="101"/>
      <c r="BX271" s="101"/>
      <c r="BY271" s="101"/>
      <c r="BZ271" s="101"/>
      <c r="CA271" s="101"/>
      <c r="CB271" s="102"/>
      <c r="CC271" s="101"/>
      <c r="CD271" s="101"/>
      <c r="CE271" s="101"/>
      <c r="CF271" s="101"/>
      <c r="CG271" s="101"/>
      <c r="CH271" s="101"/>
      <c r="CI271" s="101"/>
      <c r="CJ271" s="101"/>
      <c r="CK271" s="101"/>
      <c r="CL271" s="101"/>
      <c r="CM271" s="101"/>
      <c r="CN271" s="101"/>
      <c r="CO271" s="101"/>
      <c r="CP271" s="101"/>
      <c r="CQ271" s="101"/>
      <c r="CR271" s="101"/>
    </row>
    <row r="272">
      <c r="A272" s="103"/>
      <c r="B272" s="103"/>
      <c r="C272" s="103"/>
      <c r="D272" s="103"/>
      <c r="E272" s="103"/>
      <c r="F272" s="103"/>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1"/>
      <c r="AH272" s="101"/>
      <c r="AI272" s="101"/>
      <c r="AJ272" s="101"/>
      <c r="AK272" s="101"/>
      <c r="AL272" s="101"/>
      <c r="AM272" s="101"/>
      <c r="AN272" s="101"/>
      <c r="AO272" s="101"/>
      <c r="AP272" s="101"/>
      <c r="AQ272" s="101"/>
      <c r="AR272" s="101"/>
      <c r="AS272" s="101"/>
      <c r="AT272" s="101"/>
      <c r="AU272" s="101"/>
      <c r="AV272" s="106"/>
      <c r="AW272" s="100"/>
      <c r="AX272" s="101"/>
      <c r="AY272" s="101"/>
      <c r="AZ272" s="101"/>
      <c r="BA272" s="101"/>
      <c r="BB272" s="101"/>
      <c r="BC272" s="101"/>
      <c r="BD272" s="101"/>
      <c r="BE272" s="101"/>
      <c r="BF272" s="101"/>
      <c r="BG272" s="101"/>
      <c r="BH272" s="101"/>
      <c r="BI272" s="101"/>
      <c r="BJ272" s="101"/>
      <c r="BK272" s="101"/>
      <c r="BL272" s="102"/>
      <c r="BM272" s="100"/>
      <c r="BN272" s="101"/>
      <c r="BO272" s="101"/>
      <c r="BP272" s="101"/>
      <c r="BQ272" s="101"/>
      <c r="BR272" s="101"/>
      <c r="BS272" s="101"/>
      <c r="BT272" s="101"/>
      <c r="BU272" s="101"/>
      <c r="BV272" s="101"/>
      <c r="BW272" s="101"/>
      <c r="BX272" s="101"/>
      <c r="BY272" s="101"/>
      <c r="BZ272" s="101"/>
      <c r="CA272" s="101"/>
      <c r="CB272" s="102"/>
      <c r="CC272" s="101"/>
      <c r="CD272" s="101"/>
      <c r="CE272" s="101"/>
      <c r="CF272" s="101"/>
      <c r="CG272" s="101"/>
      <c r="CH272" s="101"/>
      <c r="CI272" s="101"/>
      <c r="CJ272" s="101"/>
      <c r="CK272" s="101"/>
      <c r="CL272" s="101"/>
      <c r="CM272" s="101"/>
      <c r="CN272" s="101"/>
      <c r="CO272" s="101"/>
      <c r="CP272" s="101"/>
      <c r="CQ272" s="101"/>
      <c r="CR272" s="101"/>
    </row>
    <row r="273">
      <c r="A273" s="103"/>
      <c r="B273" s="103"/>
      <c r="C273" s="103"/>
      <c r="D273" s="103"/>
      <c r="E273" s="103"/>
      <c r="F273" s="103"/>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1"/>
      <c r="AH273" s="101"/>
      <c r="AI273" s="101"/>
      <c r="AJ273" s="101"/>
      <c r="AK273" s="101"/>
      <c r="AL273" s="101"/>
      <c r="AM273" s="101"/>
      <c r="AN273" s="101"/>
      <c r="AO273" s="101"/>
      <c r="AP273" s="101"/>
      <c r="AQ273" s="101"/>
      <c r="AR273" s="101"/>
      <c r="AS273" s="101"/>
      <c r="AT273" s="101"/>
      <c r="AU273" s="101"/>
      <c r="AV273" s="106"/>
      <c r="AW273" s="110"/>
      <c r="AX273" s="111"/>
      <c r="AY273" s="111"/>
      <c r="AZ273" s="111"/>
      <c r="BA273" s="111"/>
      <c r="BB273" s="111"/>
      <c r="BC273" s="111"/>
      <c r="BD273" s="111"/>
      <c r="BE273" s="111"/>
      <c r="BF273" s="111"/>
      <c r="BG273" s="111"/>
      <c r="BH273" s="111"/>
      <c r="BI273" s="111"/>
      <c r="BJ273" s="111"/>
      <c r="BK273" s="111"/>
      <c r="BL273" s="112"/>
      <c r="BM273" s="110"/>
      <c r="BN273" s="111"/>
      <c r="BO273" s="111"/>
      <c r="BP273" s="111"/>
      <c r="BQ273" s="111"/>
      <c r="BR273" s="111"/>
      <c r="BS273" s="111"/>
      <c r="BT273" s="111"/>
      <c r="BU273" s="111"/>
      <c r="BV273" s="111"/>
      <c r="BW273" s="111"/>
      <c r="BX273" s="111"/>
      <c r="BY273" s="111"/>
      <c r="BZ273" s="111"/>
      <c r="CA273" s="111"/>
      <c r="CB273" s="112"/>
      <c r="CC273" s="101"/>
      <c r="CD273" s="101"/>
      <c r="CE273" s="101"/>
      <c r="CF273" s="101"/>
      <c r="CG273" s="101"/>
      <c r="CH273" s="101"/>
      <c r="CI273" s="101"/>
      <c r="CJ273" s="101"/>
      <c r="CK273" s="101"/>
      <c r="CL273" s="101"/>
      <c r="CM273" s="101"/>
      <c r="CN273" s="101"/>
      <c r="CO273" s="101"/>
      <c r="CP273" s="101"/>
      <c r="CQ273" s="101"/>
      <c r="CR273" s="101"/>
    </row>
  </sheetData>
  <mergeCells count="59">
    <mergeCell ref="A38:C38"/>
    <mergeCell ref="A39:C39"/>
    <mergeCell ref="A41:C41"/>
    <mergeCell ref="D41:F41"/>
    <mergeCell ref="A43:C43"/>
    <mergeCell ref="D43:F43"/>
    <mergeCell ref="A31:C31"/>
    <mergeCell ref="A32:C32"/>
    <mergeCell ref="A33:C33"/>
    <mergeCell ref="A34:C34"/>
    <mergeCell ref="A35:C35"/>
    <mergeCell ref="A36:C36"/>
    <mergeCell ref="A37:C37"/>
    <mergeCell ref="A1:P1"/>
    <mergeCell ref="Q1:AF1"/>
    <mergeCell ref="AG1:AV1"/>
    <mergeCell ref="AW1:BL1"/>
    <mergeCell ref="BM1:CB1"/>
    <mergeCell ref="CC1:CR1"/>
    <mergeCell ref="A18:AF18"/>
    <mergeCell ref="D21:F21"/>
    <mergeCell ref="G21:AF21"/>
    <mergeCell ref="A19:C19"/>
    <mergeCell ref="D19:F19"/>
    <mergeCell ref="G19:AF19"/>
    <mergeCell ref="A20:C20"/>
    <mergeCell ref="D20:F20"/>
    <mergeCell ref="G20:AF20"/>
    <mergeCell ref="A21:C21"/>
    <mergeCell ref="A22:F22"/>
    <mergeCell ref="G22:AF22"/>
    <mergeCell ref="A23:F23"/>
    <mergeCell ref="G23:AF23"/>
    <mergeCell ref="A24:F24"/>
    <mergeCell ref="G24:AF24"/>
    <mergeCell ref="G25:AF25"/>
    <mergeCell ref="D29:F29"/>
    <mergeCell ref="D30:F34"/>
    <mergeCell ref="D35:F36"/>
    <mergeCell ref="D37:F40"/>
    <mergeCell ref="A40:C40"/>
    <mergeCell ref="A42:C42"/>
    <mergeCell ref="D42:F42"/>
    <mergeCell ref="A25:F25"/>
    <mergeCell ref="A26:C26"/>
    <mergeCell ref="D26:F26"/>
    <mergeCell ref="A27:F27"/>
    <mergeCell ref="A28:F28"/>
    <mergeCell ref="A29:C29"/>
    <mergeCell ref="A30:C30"/>
    <mergeCell ref="G41:AF42"/>
    <mergeCell ref="G43:AF43"/>
    <mergeCell ref="G26:AF26"/>
    <mergeCell ref="G27:AF27"/>
    <mergeCell ref="G28:AF28"/>
    <mergeCell ref="G29:AF29"/>
    <mergeCell ref="G30:AF34"/>
    <mergeCell ref="G35:AF36"/>
    <mergeCell ref="G37:AF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1">
      <c r="A1" s="116" t="s">
        <v>22</v>
      </c>
      <c r="B1" s="117" t="s">
        <v>10552</v>
      </c>
      <c r="C1" s="117" t="s">
        <v>10553</v>
      </c>
      <c r="D1" s="118" t="s">
        <v>10554</v>
      </c>
      <c r="E1" s="118" t="s">
        <v>10555</v>
      </c>
      <c r="F1" s="118" t="s">
        <v>10556</v>
      </c>
      <c r="G1" s="118" t="s">
        <v>10557</v>
      </c>
      <c r="H1" s="118" t="s">
        <v>10558</v>
      </c>
      <c r="I1" s="118" t="s">
        <v>10559</v>
      </c>
      <c r="J1" s="118" t="s">
        <v>10560</v>
      </c>
    </row>
    <row r="2">
      <c r="A2" s="119" t="s">
        <v>38</v>
      </c>
      <c r="B2" s="120">
        <v>2.0</v>
      </c>
      <c r="C2" s="120">
        <v>224.0</v>
      </c>
      <c r="D2" s="121">
        <v>-1.0</v>
      </c>
      <c r="E2" s="121">
        <v>1.0</v>
      </c>
      <c r="F2" s="121">
        <v>1.0</v>
      </c>
      <c r="G2" s="121">
        <v>0.0</v>
      </c>
      <c r="H2" s="121">
        <v>1.0</v>
      </c>
      <c r="I2" s="121">
        <v>0.0</v>
      </c>
      <c r="J2" s="121">
        <v>14.0</v>
      </c>
    </row>
    <row r="3">
      <c r="A3" s="119" t="s">
        <v>322</v>
      </c>
      <c r="B3" s="120">
        <v>2.0</v>
      </c>
      <c r="C3" s="121">
        <v>208.0</v>
      </c>
      <c r="D3" s="121">
        <v>-1.0</v>
      </c>
      <c r="E3" s="121">
        <v>1.0</v>
      </c>
      <c r="F3" s="121">
        <v>1.0</v>
      </c>
      <c r="G3" s="121">
        <v>0.0</v>
      </c>
      <c r="H3" s="121">
        <v>-1.0</v>
      </c>
      <c r="I3" s="121">
        <v>0.0</v>
      </c>
      <c r="J3" s="121">
        <v>0.0</v>
      </c>
    </row>
    <row r="4">
      <c r="A4" s="119" t="s">
        <v>578</v>
      </c>
      <c r="B4" s="121">
        <v>1.0</v>
      </c>
      <c r="C4" s="121">
        <v>240.0</v>
      </c>
      <c r="D4" s="121">
        <v>-1.0</v>
      </c>
      <c r="E4" s="121">
        <v>0.0</v>
      </c>
      <c r="F4" s="121">
        <v>0.0</v>
      </c>
      <c r="G4" s="121">
        <v>0.0</v>
      </c>
      <c r="H4" s="121">
        <v>-1.0</v>
      </c>
      <c r="I4" s="121">
        <v>0.0</v>
      </c>
      <c r="J4" s="121">
        <v>0.0</v>
      </c>
    </row>
    <row r="5">
      <c r="A5" s="119" t="s">
        <v>558</v>
      </c>
      <c r="B5" s="121">
        <v>1.0</v>
      </c>
      <c r="C5" s="121">
        <v>160.0</v>
      </c>
      <c r="D5" s="121">
        <v>8.0</v>
      </c>
      <c r="E5" s="121">
        <v>0.0</v>
      </c>
      <c r="F5" s="121">
        <v>0.0</v>
      </c>
      <c r="G5" s="121">
        <v>0.0</v>
      </c>
      <c r="H5" s="121">
        <v>-1.0</v>
      </c>
      <c r="I5" s="121">
        <v>0.0</v>
      </c>
      <c r="J5" s="121">
        <v>0.0</v>
      </c>
    </row>
    <row r="6">
      <c r="A6" s="119" t="s">
        <v>766</v>
      </c>
      <c r="B6" s="121">
        <v>10.0</v>
      </c>
      <c r="C6" s="120">
        <v>224.0</v>
      </c>
      <c r="D6" s="121">
        <v>-1.0</v>
      </c>
      <c r="E6" s="121">
        <v>0.0</v>
      </c>
      <c r="F6" s="121">
        <v>0.0</v>
      </c>
      <c r="G6" s="121">
        <v>1.0</v>
      </c>
      <c r="H6" s="121">
        <v>-1.0</v>
      </c>
      <c r="I6" s="121">
        <v>0.0</v>
      </c>
      <c r="J6" s="121">
        <v>-1.0</v>
      </c>
    </row>
    <row r="7">
      <c r="A7" s="119" t="s">
        <v>784</v>
      </c>
      <c r="B7" s="121">
        <v>8.0</v>
      </c>
      <c r="C7" s="121">
        <v>208.0</v>
      </c>
      <c r="D7" s="121">
        <v>-1.0</v>
      </c>
      <c r="E7" s="121">
        <v>0.0</v>
      </c>
      <c r="F7" s="121">
        <v>0.0</v>
      </c>
      <c r="G7" s="121">
        <v>1.0</v>
      </c>
      <c r="H7" s="121">
        <v>0.0</v>
      </c>
      <c r="I7" s="121">
        <v>1.0</v>
      </c>
      <c r="J7" s="121">
        <v>1.0</v>
      </c>
    </row>
    <row r="8">
      <c r="A8" s="119" t="s">
        <v>793</v>
      </c>
      <c r="B8" s="121">
        <v>6.0</v>
      </c>
      <c r="C8" s="121">
        <v>154.0</v>
      </c>
      <c r="D8" s="121">
        <v>-1.0</v>
      </c>
      <c r="E8" s="121">
        <v>0.0</v>
      </c>
      <c r="F8" s="121">
        <v>0.0</v>
      </c>
      <c r="G8" s="121">
        <v>1.0</v>
      </c>
      <c r="H8" s="121">
        <v>0.0</v>
      </c>
      <c r="I8" s="121">
        <v>4.0</v>
      </c>
      <c r="J8" s="121">
        <v>1.0</v>
      </c>
    </row>
    <row r="9">
      <c r="A9" s="119" t="s">
        <v>847</v>
      </c>
      <c r="B9" s="121">
        <v>4.0</v>
      </c>
      <c r="C9" s="121">
        <v>154.0</v>
      </c>
      <c r="D9" s="121">
        <v>-1.0</v>
      </c>
      <c r="E9" s="121">
        <v>0.0</v>
      </c>
      <c r="F9" s="121">
        <v>0.0</v>
      </c>
      <c r="G9" s="121">
        <v>1.0</v>
      </c>
      <c r="H9" s="121">
        <v>0.0</v>
      </c>
      <c r="I9" s="121">
        <v>4.0</v>
      </c>
      <c r="J9" s="121">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10561</v>
      </c>
      <c r="D1" s="122" t="str">
        <f>IFERROR(__xludf.DUMMYFUNCTION("SORT(UNIQUE(TOCOL(MID(TEXTJOIN("""",TRUE,FILTER(A:A,A:A&lt;&gt;"""")),SEQUENCE(LEN(TEXTJOIN("""",TRUE,FILTER(A:A,A:A&lt;&gt;"""")))),1),1)))"),"
")</f>
        <v>
</v>
      </c>
      <c r="F1" s="122" t="s">
        <v>3071</v>
      </c>
      <c r="H1" s="122" t="str">
        <f>IFERROR(__xludf.DUMMYFUNCTION("MAKEARRAY(
  ROUNDUP(COUNTA(F1:F1000)/16),
  16,
  LAMBDA(r, c,
    IFERROR(INDEX(FILTER(F1:F1000, F1:F1000&lt;&gt;""""), (r-1)*16 + c), """")
  )
)"),"一")</f>
        <v>一</v>
      </c>
      <c r="I1" s="122" t="str">
        <f>IFERROR(__xludf.DUMMYFUNCTION("""COMPUTED_VALUE"""),"丁")</f>
        <v>丁</v>
      </c>
      <c r="J1" s="122" t="str">
        <f>IFERROR(__xludf.DUMMYFUNCTION("""COMPUTED_VALUE"""),"万")</f>
        <v>万</v>
      </c>
      <c r="K1" s="122" t="str">
        <f>IFERROR(__xludf.DUMMYFUNCTION("""COMPUTED_VALUE"""),"三")</f>
        <v>三</v>
      </c>
      <c r="L1" s="122" t="str">
        <f>IFERROR(__xludf.DUMMYFUNCTION("""COMPUTED_VALUE"""),"上")</f>
        <v>上</v>
      </c>
      <c r="M1" s="122" t="str">
        <f>IFERROR(__xludf.DUMMYFUNCTION("""COMPUTED_VALUE"""),"下")</f>
        <v>下</v>
      </c>
      <c r="N1" s="122" t="str">
        <f>IFERROR(__xludf.DUMMYFUNCTION("""COMPUTED_VALUE"""),"不")</f>
        <v>不</v>
      </c>
      <c r="O1" s="122" t="str">
        <f>IFERROR(__xludf.DUMMYFUNCTION("""COMPUTED_VALUE"""),"与")</f>
        <v>与</v>
      </c>
      <c r="P1" s="122" t="str">
        <f>IFERROR(__xludf.DUMMYFUNCTION("""COMPUTED_VALUE"""),"且")</f>
        <v>且</v>
      </c>
      <c r="Q1" s="122" t="str">
        <f>IFERROR(__xludf.DUMMYFUNCTION("""COMPUTED_VALUE"""),"世")</f>
        <v>世</v>
      </c>
      <c r="R1" s="122" t="str">
        <f>IFERROR(__xludf.DUMMYFUNCTION("""COMPUTED_VALUE"""),"丘")</f>
        <v>丘</v>
      </c>
      <c r="S1" s="122" t="str">
        <f>IFERROR(__xludf.DUMMYFUNCTION("""COMPUTED_VALUE"""),"东")</f>
        <v>东</v>
      </c>
      <c r="T1" s="122" t="str">
        <f>IFERROR(__xludf.DUMMYFUNCTION("""COMPUTED_VALUE"""),"丝")</f>
        <v>丝</v>
      </c>
      <c r="U1" s="122" t="str">
        <f>IFERROR(__xludf.DUMMYFUNCTION("""COMPUTED_VALUE"""),"两")</f>
        <v>两</v>
      </c>
      <c r="V1" s="122" t="str">
        <f>IFERROR(__xludf.DUMMYFUNCTION("""COMPUTED_VALUE"""),"个")</f>
        <v>个</v>
      </c>
      <c r="W1" s="122" t="str">
        <f>IFERROR(__xludf.DUMMYFUNCTION("""COMPUTED_VALUE"""),"中")</f>
        <v>中</v>
      </c>
    </row>
    <row r="2">
      <c r="A2" s="95" t="s">
        <v>10562</v>
      </c>
      <c r="D2" s="122" t="str">
        <f>IFERROR(__xludf.DUMMYFUNCTION("""COMPUTED_VALUE""")," ")</f>
        <v> </v>
      </c>
      <c r="F2" s="122" t="s">
        <v>7200</v>
      </c>
      <c r="H2" s="122" t="str">
        <f>IFERROR(__xludf.DUMMYFUNCTION("""COMPUTED_VALUE"""),"为")</f>
        <v>为</v>
      </c>
      <c r="I2" s="122" t="str">
        <f>IFERROR(__xludf.DUMMYFUNCTION("""COMPUTED_VALUE"""),"主")</f>
        <v>主</v>
      </c>
      <c r="J2" s="122" t="str">
        <f>IFERROR(__xludf.DUMMYFUNCTION("""COMPUTED_VALUE"""),"丽")</f>
        <v>丽</v>
      </c>
      <c r="K2" s="122" t="str">
        <f>IFERROR(__xludf.DUMMYFUNCTION("""COMPUTED_VALUE"""),"么")</f>
        <v>么</v>
      </c>
      <c r="L2" s="122" t="str">
        <f>IFERROR(__xludf.DUMMYFUNCTION("""COMPUTED_VALUE"""),"之")</f>
        <v>之</v>
      </c>
      <c r="M2" s="122" t="str">
        <f>IFERROR(__xludf.DUMMYFUNCTION("""COMPUTED_VALUE"""),"乌")</f>
        <v>乌</v>
      </c>
      <c r="N2" s="122" t="str">
        <f>IFERROR(__xludf.DUMMYFUNCTION("""COMPUTED_VALUE"""),"乎")</f>
        <v>乎</v>
      </c>
      <c r="O2" s="122" t="str">
        <f>IFERROR(__xludf.DUMMYFUNCTION("""COMPUTED_VALUE"""),"乐")</f>
        <v>乐</v>
      </c>
      <c r="P2" s="122" t="str">
        <f>IFERROR(__xludf.DUMMYFUNCTION("""COMPUTED_VALUE"""),"九")</f>
        <v>九</v>
      </c>
      <c r="Q2" s="122" t="str">
        <f>IFERROR(__xludf.DUMMYFUNCTION("""COMPUTED_VALUE"""),"也")</f>
        <v>也</v>
      </c>
      <c r="R2" s="122" t="str">
        <f>IFERROR(__xludf.DUMMYFUNCTION("""COMPUTED_VALUE"""),"了")</f>
        <v>了</v>
      </c>
      <c r="S2" s="122" t="str">
        <f>IFERROR(__xludf.DUMMYFUNCTION("""COMPUTED_VALUE"""),"事")</f>
        <v>事</v>
      </c>
      <c r="T2" s="122" t="str">
        <f>IFERROR(__xludf.DUMMYFUNCTION("""COMPUTED_VALUE"""),"二")</f>
        <v>二</v>
      </c>
      <c r="U2" s="122" t="str">
        <f>IFERROR(__xludf.DUMMYFUNCTION("""COMPUTED_VALUE"""),"于")</f>
        <v>于</v>
      </c>
      <c r="V2" s="122" t="str">
        <f>IFERROR(__xludf.DUMMYFUNCTION("""COMPUTED_VALUE"""),"亚")</f>
        <v>亚</v>
      </c>
      <c r="W2" s="122" t="str">
        <f>IFERROR(__xludf.DUMMYFUNCTION("""COMPUTED_VALUE"""),"些")</f>
        <v>些</v>
      </c>
    </row>
    <row r="3">
      <c r="A3" s="95" t="s">
        <v>10563</v>
      </c>
      <c r="D3" s="122" t="str">
        <f>IFERROR(__xludf.DUMMYFUNCTION("""COMPUTED_VALUE"""),"-")</f>
        <v>-</v>
      </c>
      <c r="F3" s="122" t="s">
        <v>4131</v>
      </c>
      <c r="H3" s="122" t="str">
        <f>IFERROR(__xludf.DUMMYFUNCTION("""COMPUTED_VALUE"""),"交")</f>
        <v>交</v>
      </c>
      <c r="I3" s="122" t="str">
        <f>IFERROR(__xludf.DUMMYFUNCTION("""COMPUTED_VALUE"""),"亮")</f>
        <v>亮</v>
      </c>
      <c r="J3" s="122" t="str">
        <f>IFERROR(__xludf.DUMMYFUNCTION("""COMPUTED_VALUE"""),"人")</f>
        <v>人</v>
      </c>
      <c r="K3" s="122" t="str">
        <f>IFERROR(__xludf.DUMMYFUNCTION("""COMPUTED_VALUE"""),"什")</f>
        <v>什</v>
      </c>
      <c r="L3" s="122" t="str">
        <f>IFERROR(__xludf.DUMMYFUNCTION("""COMPUTED_VALUE"""),"仅")</f>
        <v>仅</v>
      </c>
      <c r="M3" s="122" t="str">
        <f>IFERROR(__xludf.DUMMYFUNCTION("""COMPUTED_VALUE"""),"仍")</f>
        <v>仍</v>
      </c>
      <c r="N3" s="122" t="str">
        <f>IFERROR(__xludf.DUMMYFUNCTION("""COMPUTED_VALUE"""),"从")</f>
        <v>从</v>
      </c>
      <c r="O3" s="122" t="str">
        <f>IFERROR(__xludf.DUMMYFUNCTION("""COMPUTED_VALUE"""),"他")</f>
        <v>他</v>
      </c>
      <c r="P3" s="122" t="str">
        <f>IFERROR(__xludf.DUMMYFUNCTION("""COMPUTED_VALUE"""),"代")</f>
        <v>代</v>
      </c>
      <c r="Q3" s="122" t="str">
        <f>IFERROR(__xludf.DUMMYFUNCTION("""COMPUTED_VALUE"""),"以")</f>
        <v>以</v>
      </c>
      <c r="R3" s="122" t="str">
        <f>IFERROR(__xludf.DUMMYFUNCTION("""COMPUTED_VALUE"""),"们")</f>
        <v>们</v>
      </c>
      <c r="S3" s="122" t="str">
        <f>IFERROR(__xludf.DUMMYFUNCTION("""COMPUTED_VALUE"""),"件")</f>
        <v>件</v>
      </c>
      <c r="T3" s="122" t="str">
        <f>IFERROR(__xludf.DUMMYFUNCTION("""COMPUTED_VALUE"""),"任")</f>
        <v>任</v>
      </c>
      <c r="U3" s="122" t="str">
        <f>IFERROR(__xludf.DUMMYFUNCTION("""COMPUTED_VALUE"""),"份")</f>
        <v>份</v>
      </c>
      <c r="V3" s="122" t="str">
        <f>IFERROR(__xludf.DUMMYFUNCTION("""COMPUTED_VALUE"""),"伊")</f>
        <v>伊</v>
      </c>
      <c r="W3" s="122" t="str">
        <f>IFERROR(__xludf.DUMMYFUNCTION("""COMPUTED_VALUE"""),"会")</f>
        <v>会</v>
      </c>
    </row>
    <row r="4">
      <c r="A4" s="95" t="s">
        <v>10564</v>
      </c>
      <c r="D4" s="122" t="str">
        <f>IFERROR(__xludf.DUMMYFUNCTION("""COMPUTED_VALUE"""),"—")</f>
        <v>—</v>
      </c>
      <c r="F4" s="122" t="s">
        <v>3194</v>
      </c>
      <c r="H4" s="122" t="str">
        <f>IFERROR(__xludf.DUMMYFUNCTION("""COMPUTED_VALUE"""),"传")</f>
        <v>传</v>
      </c>
      <c r="I4" s="122" t="str">
        <f>IFERROR(__xludf.DUMMYFUNCTION("""COMPUTED_VALUE"""),"似")</f>
        <v>似</v>
      </c>
      <c r="J4" s="122" t="str">
        <f>IFERROR(__xludf.DUMMYFUNCTION("""COMPUTED_VALUE"""),"但")</f>
        <v>但</v>
      </c>
      <c r="K4" s="122" t="str">
        <f>IFERROR(__xludf.DUMMYFUNCTION("""COMPUTED_VALUE"""),"位")</f>
        <v>位</v>
      </c>
      <c r="L4" s="122" t="str">
        <f>IFERROR(__xludf.DUMMYFUNCTION("""COMPUTED_VALUE"""),"住")</f>
        <v>住</v>
      </c>
      <c r="M4" s="122" t="str">
        <f>IFERROR(__xludf.DUMMYFUNCTION("""COMPUTED_VALUE"""),"体")</f>
        <v>体</v>
      </c>
      <c r="N4" s="122" t="str">
        <f>IFERROR(__xludf.DUMMYFUNCTION("""COMPUTED_VALUE"""),"何")</f>
        <v>何</v>
      </c>
      <c r="O4" s="122" t="str">
        <f>IFERROR(__xludf.DUMMYFUNCTION("""COMPUTED_VALUE"""),"佛")</f>
        <v>佛</v>
      </c>
      <c r="P4" s="122" t="str">
        <f>IFERROR(__xludf.DUMMYFUNCTION("""COMPUTED_VALUE"""),"作")</f>
        <v>作</v>
      </c>
      <c r="Q4" s="122" t="str">
        <f>IFERROR(__xludf.DUMMYFUNCTION("""COMPUTED_VALUE"""),"你")</f>
        <v>你</v>
      </c>
      <c r="R4" s="122" t="str">
        <f>IFERROR(__xludf.DUMMYFUNCTION("""COMPUTED_VALUE"""),"使")</f>
        <v>使</v>
      </c>
      <c r="S4" s="122" t="str">
        <f>IFERROR(__xludf.DUMMYFUNCTION("""COMPUTED_VALUE"""),"例")</f>
        <v>例</v>
      </c>
      <c r="T4" s="122" t="str">
        <f>IFERROR(__xludf.DUMMYFUNCTION("""COMPUTED_VALUE"""),"供")</f>
        <v>供</v>
      </c>
      <c r="U4" s="122" t="str">
        <f>IFERROR(__xludf.DUMMYFUNCTION("""COMPUTED_VALUE"""),"便")</f>
        <v>便</v>
      </c>
      <c r="V4" s="122" t="str">
        <f>IFERROR(__xludf.DUMMYFUNCTION("""COMPUTED_VALUE"""),"保")</f>
        <v>保</v>
      </c>
      <c r="W4" s="122" t="str">
        <f>IFERROR(__xludf.DUMMYFUNCTION("""COMPUTED_VALUE"""),"信")</f>
        <v>信</v>
      </c>
    </row>
    <row r="5">
      <c r="A5" s="95" t="s">
        <v>10565</v>
      </c>
      <c r="D5" s="122" t="str">
        <f>IFERROR(__xludf.DUMMYFUNCTION("""COMPUTED_VALUE"""),"・")</f>
        <v>・</v>
      </c>
      <c r="F5" s="122" t="s">
        <v>3236</v>
      </c>
      <c r="H5" s="122" t="str">
        <f>IFERROR(__xludf.DUMMYFUNCTION("""COMPUTED_VALUE"""),"修")</f>
        <v>修</v>
      </c>
      <c r="I5" s="122" t="str">
        <f>IFERROR(__xludf.DUMMYFUNCTION("""COMPUTED_VALUE"""),"候")</f>
        <v>候</v>
      </c>
      <c r="J5" s="122" t="str">
        <f>IFERROR(__xludf.DUMMYFUNCTION("""COMPUTED_VALUE"""),"做")</f>
        <v>做</v>
      </c>
      <c r="K5" s="122" t="str">
        <f>IFERROR(__xludf.DUMMYFUNCTION("""COMPUTED_VALUE"""),"偶")</f>
        <v>偶</v>
      </c>
      <c r="L5" s="122" t="str">
        <f>IFERROR(__xludf.DUMMYFUNCTION("""COMPUTED_VALUE"""),"催")</f>
        <v>催</v>
      </c>
      <c r="M5" s="122" t="str">
        <f>IFERROR(__xludf.DUMMYFUNCTION("""COMPUTED_VALUE"""),"像")</f>
        <v>像</v>
      </c>
      <c r="N5" s="122" t="str">
        <f>IFERROR(__xludf.DUMMYFUNCTION("""COMPUTED_VALUE"""),"先")</f>
        <v>先</v>
      </c>
      <c r="O5" s="122" t="str">
        <f>IFERROR(__xludf.DUMMYFUNCTION("""COMPUTED_VALUE"""),"光")</f>
        <v>光</v>
      </c>
      <c r="P5" s="122" t="str">
        <f>IFERROR(__xludf.DUMMYFUNCTION("""COMPUTED_VALUE"""),"克")</f>
        <v>克</v>
      </c>
      <c r="Q5" s="122" t="str">
        <f>IFERROR(__xludf.DUMMYFUNCTION("""COMPUTED_VALUE"""),"免")</f>
        <v>免</v>
      </c>
      <c r="R5" s="122" t="str">
        <f>IFERROR(__xludf.DUMMYFUNCTION("""COMPUTED_VALUE"""),"入")</f>
        <v>入</v>
      </c>
      <c r="S5" s="122" t="str">
        <f>IFERROR(__xludf.DUMMYFUNCTION("""COMPUTED_VALUE"""),"全")</f>
        <v>全</v>
      </c>
      <c r="T5" s="122" t="str">
        <f>IFERROR(__xludf.DUMMYFUNCTION("""COMPUTED_VALUE"""),"公")</f>
        <v>公</v>
      </c>
      <c r="U5" s="122" t="str">
        <f>IFERROR(__xludf.DUMMYFUNCTION("""COMPUTED_VALUE"""),"六")</f>
        <v>六</v>
      </c>
      <c r="V5" s="122" t="str">
        <f>IFERROR(__xludf.DUMMYFUNCTION("""COMPUTED_VALUE"""),"兰")</f>
        <v>兰</v>
      </c>
      <c r="W5" s="122" t="str">
        <f>IFERROR(__xludf.DUMMYFUNCTION("""COMPUTED_VALUE"""),"关")</f>
        <v>关</v>
      </c>
    </row>
    <row r="6">
      <c r="A6" s="95" t="s">
        <v>10566</v>
      </c>
      <c r="D6" s="122" t="str">
        <f>IFERROR(__xludf.DUMMYFUNCTION("""COMPUTED_VALUE"""),"，")</f>
        <v>，</v>
      </c>
      <c r="F6" s="122" t="s">
        <v>3239</v>
      </c>
      <c r="H6" s="122" t="str">
        <f>IFERROR(__xludf.DUMMYFUNCTION("""COMPUTED_VALUE"""),"兴")</f>
        <v>兴</v>
      </c>
      <c r="I6" s="122" t="str">
        <f>IFERROR(__xludf.DUMMYFUNCTION("""COMPUTED_VALUE"""),"其")</f>
        <v>其</v>
      </c>
      <c r="J6" s="122" t="str">
        <f>IFERROR(__xludf.DUMMYFUNCTION("""COMPUTED_VALUE"""),"具")</f>
        <v>具</v>
      </c>
      <c r="K6" s="122" t="str">
        <f>IFERROR(__xludf.DUMMYFUNCTION("""COMPUTED_VALUE"""),"兽")</f>
        <v>兽</v>
      </c>
      <c r="L6" s="122" t="str">
        <f>IFERROR(__xludf.DUMMYFUNCTION("""COMPUTED_VALUE"""),"内")</f>
        <v>内</v>
      </c>
      <c r="M6" s="122" t="str">
        <f>IFERROR(__xludf.DUMMYFUNCTION("""COMPUTED_VALUE"""),"再")</f>
        <v>再</v>
      </c>
      <c r="N6" s="122" t="str">
        <f>IFERROR(__xludf.DUMMYFUNCTION("""COMPUTED_VALUE"""),"写")</f>
        <v>写</v>
      </c>
      <c r="O6" s="122" t="str">
        <f>IFERROR(__xludf.DUMMYFUNCTION("""COMPUTED_VALUE"""),"军")</f>
        <v>军</v>
      </c>
      <c r="P6" s="122" t="str">
        <f>IFERROR(__xludf.DUMMYFUNCTION("""COMPUTED_VALUE"""),"冠")</f>
        <v>冠</v>
      </c>
      <c r="Q6" s="122" t="str">
        <f>IFERROR(__xludf.DUMMYFUNCTION("""COMPUTED_VALUE"""),"决")</f>
        <v>决</v>
      </c>
      <c r="R6" s="122" t="str">
        <f>IFERROR(__xludf.DUMMYFUNCTION("""COMPUTED_VALUE"""),"况")</f>
        <v>况</v>
      </c>
      <c r="S6" s="122" t="str">
        <f>IFERROR(__xludf.DUMMYFUNCTION("""COMPUTED_VALUE"""),"冻")</f>
        <v>冻</v>
      </c>
      <c r="T6" s="122" t="str">
        <f>IFERROR(__xludf.DUMMYFUNCTION("""COMPUTED_VALUE"""),"准")</f>
        <v>准</v>
      </c>
      <c r="U6" s="122" t="str">
        <f>IFERROR(__xludf.DUMMYFUNCTION("""COMPUTED_VALUE"""),"几")</f>
        <v>几</v>
      </c>
      <c r="V6" s="122" t="str">
        <f>IFERROR(__xludf.DUMMYFUNCTION("""COMPUTED_VALUE"""),"凤")</f>
        <v>凤</v>
      </c>
      <c r="W6" s="122" t="str">
        <f>IFERROR(__xludf.DUMMYFUNCTION("""COMPUTED_VALUE"""),"凯")</f>
        <v>凯</v>
      </c>
    </row>
    <row r="7">
      <c r="A7" s="95" t="s">
        <v>10567</v>
      </c>
      <c r="D7" s="122" t="str">
        <f>IFERROR(__xludf.DUMMYFUNCTION("""COMPUTED_VALUE"""),"、")</f>
        <v>、</v>
      </c>
      <c r="F7" s="122" t="s">
        <v>3070</v>
      </c>
      <c r="H7" s="122" t="str">
        <f>IFERROR(__xludf.DUMMYFUNCTION("""COMPUTED_VALUE"""),"出")</f>
        <v>出</v>
      </c>
      <c r="I7" s="122" t="str">
        <f>IFERROR(__xludf.DUMMYFUNCTION("""COMPUTED_VALUE"""),"击")</f>
        <v>击</v>
      </c>
      <c r="J7" s="122" t="str">
        <f>IFERROR(__xludf.DUMMYFUNCTION("""COMPUTED_VALUE"""),"刀")</f>
        <v>刀</v>
      </c>
      <c r="K7" s="122" t="str">
        <f>IFERROR(__xludf.DUMMYFUNCTION("""COMPUTED_VALUE"""),"切")</f>
        <v>切</v>
      </c>
      <c r="L7" s="122" t="str">
        <f>IFERROR(__xludf.DUMMYFUNCTION("""COMPUTED_VALUE"""),"列")</f>
        <v>列</v>
      </c>
      <c r="M7" s="122" t="str">
        <f>IFERROR(__xludf.DUMMYFUNCTION("""COMPUTED_VALUE"""),"则")</f>
        <v>则</v>
      </c>
      <c r="N7" s="122" t="str">
        <f>IFERROR(__xludf.DUMMYFUNCTION("""COMPUTED_VALUE"""),"创")</f>
        <v>创</v>
      </c>
      <c r="O7" s="122" t="str">
        <f>IFERROR(__xludf.DUMMYFUNCTION("""COMPUTED_VALUE"""),"利")</f>
        <v>利</v>
      </c>
      <c r="P7" s="122" t="str">
        <f>IFERROR(__xludf.DUMMYFUNCTION("""COMPUTED_VALUE"""),"别")</f>
        <v>别</v>
      </c>
      <c r="Q7" s="122" t="str">
        <f>IFERROR(__xludf.DUMMYFUNCTION("""COMPUTED_VALUE"""),"到")</f>
        <v>到</v>
      </c>
      <c r="R7" s="122" t="str">
        <f>IFERROR(__xludf.DUMMYFUNCTION("""COMPUTED_VALUE"""),"制")</f>
        <v>制</v>
      </c>
      <c r="S7" s="122" t="str">
        <f>IFERROR(__xludf.DUMMYFUNCTION("""COMPUTED_VALUE"""),"刺")</f>
        <v>刺</v>
      </c>
      <c r="T7" s="122" t="str">
        <f>IFERROR(__xludf.DUMMYFUNCTION("""COMPUTED_VALUE"""),"前")</f>
        <v>前</v>
      </c>
      <c r="U7" s="122" t="str">
        <f>IFERROR(__xludf.DUMMYFUNCTION("""COMPUTED_VALUE"""),"力")</f>
        <v>力</v>
      </c>
      <c r="V7" s="122" t="str">
        <f>IFERROR(__xludf.DUMMYFUNCTION("""COMPUTED_VALUE"""),"功")</f>
        <v>功</v>
      </c>
      <c r="W7" s="122" t="str">
        <f>IFERROR(__xludf.DUMMYFUNCTION("""COMPUTED_VALUE"""),"加")</f>
        <v>加</v>
      </c>
    </row>
    <row r="8">
      <c r="A8" s="95" t="s">
        <v>10568</v>
      </c>
      <c r="D8" s="122" t="str">
        <f>IFERROR(__xludf.DUMMYFUNCTION("""COMPUTED_VALUE"""),"；")</f>
        <v>；</v>
      </c>
      <c r="F8" s="122" t="s">
        <v>5311</v>
      </c>
      <c r="H8" s="122" t="str">
        <f>IFERROR(__xludf.DUMMYFUNCTION("""COMPUTED_VALUE"""),"动")</f>
        <v>动</v>
      </c>
      <c r="I8" s="122" t="str">
        <f>IFERROR(__xludf.DUMMYFUNCTION("""COMPUTED_VALUE"""),"助")</f>
        <v>助</v>
      </c>
      <c r="J8" s="122" t="str">
        <f>IFERROR(__xludf.DUMMYFUNCTION("""COMPUTED_VALUE"""),"励")</f>
        <v>励</v>
      </c>
      <c r="K8" s="122" t="str">
        <f>IFERROR(__xludf.DUMMYFUNCTION("""COMPUTED_VALUE"""),"勇")</f>
        <v>勇</v>
      </c>
      <c r="L8" s="122" t="str">
        <f>IFERROR(__xludf.DUMMYFUNCTION("""COMPUTED_VALUE"""),"化")</f>
        <v>化</v>
      </c>
      <c r="M8" s="122" t="str">
        <f>IFERROR(__xludf.DUMMYFUNCTION("""COMPUTED_VALUE"""),"区")</f>
        <v>区</v>
      </c>
      <c r="N8" s="122" t="str">
        <f>IFERROR(__xludf.DUMMYFUNCTION("""COMPUTED_VALUE"""),"千")</f>
        <v>千</v>
      </c>
      <c r="O8" s="122" t="str">
        <f>IFERROR(__xludf.DUMMYFUNCTION("""COMPUTED_VALUE"""),"华")</f>
        <v>华</v>
      </c>
      <c r="P8" s="122" t="str">
        <f>IFERROR(__xludf.DUMMYFUNCTION("""COMPUTED_VALUE"""),"协")</f>
        <v>协</v>
      </c>
      <c r="Q8" s="122" t="str">
        <f>IFERROR(__xludf.DUMMYFUNCTION("""COMPUTED_VALUE"""),"单")</f>
        <v>单</v>
      </c>
      <c r="R8" s="122" t="str">
        <f>IFERROR(__xludf.DUMMYFUNCTION("""COMPUTED_VALUE"""),"南")</f>
        <v>南</v>
      </c>
      <c r="S8" s="122" t="str">
        <f>IFERROR(__xludf.DUMMYFUNCTION("""COMPUTED_VALUE"""),"博")</f>
        <v>博</v>
      </c>
      <c r="T8" s="122" t="str">
        <f>IFERROR(__xludf.DUMMYFUNCTION("""COMPUTED_VALUE"""),"卡")</f>
        <v>卡</v>
      </c>
      <c r="U8" s="122" t="str">
        <f>IFERROR(__xludf.DUMMYFUNCTION("""COMPUTED_VALUE"""),"即")</f>
        <v>即</v>
      </c>
      <c r="V8" s="122" t="str">
        <f>IFERROR(__xludf.DUMMYFUNCTION("""COMPUTED_VALUE"""),"卷")</f>
        <v>卷</v>
      </c>
      <c r="W8" s="122" t="str">
        <f>IFERROR(__xludf.DUMMYFUNCTION("""COMPUTED_VALUE"""),"原")</f>
        <v>原</v>
      </c>
    </row>
    <row r="9">
      <c r="A9" s="95" t="s">
        <v>10569</v>
      </c>
      <c r="D9" s="122" t="str">
        <f>IFERROR(__xludf.DUMMYFUNCTION("""COMPUTED_VALUE"""),"：")</f>
        <v>：</v>
      </c>
      <c r="F9" s="122" t="s">
        <v>3879</v>
      </c>
      <c r="H9" s="122" t="str">
        <f>IFERROR(__xludf.DUMMYFUNCTION("""COMPUTED_VALUE"""),"去")</f>
        <v>去</v>
      </c>
      <c r="I9" s="122" t="str">
        <f>IFERROR(__xludf.DUMMYFUNCTION("""COMPUTED_VALUE"""),"叉")</f>
        <v>叉</v>
      </c>
      <c r="J9" s="122" t="str">
        <f>IFERROR(__xludf.DUMMYFUNCTION("""COMPUTED_VALUE"""),"及")</f>
        <v>及</v>
      </c>
      <c r="K9" s="122" t="str">
        <f>IFERROR(__xludf.DUMMYFUNCTION("""COMPUTED_VALUE"""),"友")</f>
        <v>友</v>
      </c>
      <c r="L9" s="122" t="str">
        <f>IFERROR(__xludf.DUMMYFUNCTION("""COMPUTED_VALUE"""),"双")</f>
        <v>双</v>
      </c>
      <c r="M9" s="122" t="str">
        <f>IFERROR(__xludf.DUMMYFUNCTION("""COMPUTED_VALUE"""),"反")</f>
        <v>反</v>
      </c>
      <c r="N9" s="122" t="str">
        <f>IFERROR(__xludf.DUMMYFUNCTION("""COMPUTED_VALUE"""),"发")</f>
        <v>发</v>
      </c>
      <c r="O9" s="122" t="str">
        <f>IFERROR(__xludf.DUMMYFUNCTION("""COMPUTED_VALUE"""),"取")</f>
        <v>取</v>
      </c>
      <c r="P9" s="122" t="str">
        <f>IFERROR(__xludf.DUMMYFUNCTION("""COMPUTED_VALUE"""),"受")</f>
        <v>受</v>
      </c>
      <c r="Q9" s="122" t="str">
        <f>IFERROR(__xludf.DUMMYFUNCTION("""COMPUTED_VALUE"""),"变")</f>
        <v>变</v>
      </c>
      <c r="R9" s="122" t="str">
        <f>IFERROR(__xludf.DUMMYFUNCTION("""COMPUTED_VALUE"""),"口")</f>
        <v>口</v>
      </c>
      <c r="S9" s="122" t="str">
        <f>IFERROR(__xludf.DUMMYFUNCTION("""COMPUTED_VALUE"""),"古")</f>
        <v>古</v>
      </c>
      <c r="T9" s="122" t="str">
        <f>IFERROR(__xludf.DUMMYFUNCTION("""COMPUTED_VALUE"""),"句")</f>
        <v>句</v>
      </c>
      <c r="U9" s="122" t="str">
        <f>IFERROR(__xludf.DUMMYFUNCTION("""COMPUTED_VALUE"""),"另")</f>
        <v>另</v>
      </c>
      <c r="V9" s="122" t="str">
        <f>IFERROR(__xludf.DUMMYFUNCTION("""COMPUTED_VALUE"""),"叨")</f>
        <v>叨</v>
      </c>
      <c r="W9" s="122" t="str">
        <f>IFERROR(__xludf.DUMMYFUNCTION("""COMPUTED_VALUE"""),"只")</f>
        <v>只</v>
      </c>
    </row>
    <row r="10">
      <c r="A10" s="95" t="s">
        <v>10570</v>
      </c>
      <c r="D10" s="122" t="str">
        <f>IFERROR(__xludf.DUMMYFUNCTION("""COMPUTED_VALUE"""),"！")</f>
        <v>！</v>
      </c>
      <c r="F10" s="122" t="s">
        <v>4429</v>
      </c>
      <c r="H10" s="122" t="str">
        <f>IFERROR(__xludf.DUMMYFUNCTION("""COMPUTED_VALUE"""),"叭")</f>
        <v>叭</v>
      </c>
      <c r="I10" s="122" t="str">
        <f>IFERROR(__xludf.DUMMYFUNCTION("""COMPUTED_VALUE"""),"可")</f>
        <v>可</v>
      </c>
      <c r="J10" s="122" t="str">
        <f>IFERROR(__xludf.DUMMYFUNCTION("""COMPUTED_VALUE"""),"台")</f>
        <v>台</v>
      </c>
      <c r="K10" s="122" t="str">
        <f>IFERROR(__xludf.DUMMYFUNCTION("""COMPUTED_VALUE"""),"叶")</f>
        <v>叶</v>
      </c>
      <c r="L10" s="122" t="str">
        <f>IFERROR(__xludf.DUMMYFUNCTION("""COMPUTED_VALUE"""),"各")</f>
        <v>各</v>
      </c>
      <c r="M10" s="122" t="str">
        <f>IFERROR(__xludf.DUMMYFUNCTION("""COMPUTED_VALUE"""),"合")</f>
        <v>合</v>
      </c>
      <c r="N10" s="122" t="str">
        <f>IFERROR(__xludf.DUMMYFUNCTION("""COMPUTED_VALUE"""),"吉")</f>
        <v>吉</v>
      </c>
      <c r="O10" s="122" t="str">
        <f>IFERROR(__xludf.DUMMYFUNCTION("""COMPUTED_VALUE"""),"同")</f>
        <v>同</v>
      </c>
      <c r="P10" s="122" t="str">
        <f>IFERROR(__xludf.DUMMYFUNCTION("""COMPUTED_VALUE"""),"名")</f>
        <v>名</v>
      </c>
      <c r="Q10" s="122" t="str">
        <f>IFERROR(__xludf.DUMMYFUNCTION("""COMPUTED_VALUE"""),"后")</f>
        <v>后</v>
      </c>
      <c r="R10" s="122" t="str">
        <f>IFERROR(__xludf.DUMMYFUNCTION("""COMPUTED_VALUE"""),"向")</f>
        <v>向</v>
      </c>
      <c r="S10" s="122" t="str">
        <f>IFERROR(__xludf.DUMMYFUNCTION("""COMPUTED_VALUE"""),"吗")</f>
        <v>吗</v>
      </c>
      <c r="T10" s="122" t="str">
        <f>IFERROR(__xludf.DUMMYFUNCTION("""COMPUTED_VALUE"""),"君")</f>
        <v>君</v>
      </c>
      <c r="U10" s="122" t="str">
        <f>IFERROR(__xludf.DUMMYFUNCTION("""COMPUTED_VALUE"""),"否")</f>
        <v>否</v>
      </c>
      <c r="V10" s="122" t="str">
        <f>IFERROR(__xludf.DUMMYFUNCTION("""COMPUTED_VALUE"""),"吧")</f>
        <v>吧</v>
      </c>
      <c r="W10" s="122" t="str">
        <f>IFERROR(__xludf.DUMMYFUNCTION("""COMPUTED_VALUE"""),"听")</f>
        <v>听</v>
      </c>
    </row>
    <row r="11">
      <c r="A11" s="95" t="s">
        <v>10571</v>
      </c>
      <c r="D11" s="122" t="str">
        <f>IFERROR(__xludf.DUMMYFUNCTION("""COMPUTED_VALUE"""),"？")</f>
        <v>？</v>
      </c>
      <c r="F11" s="122" t="s">
        <v>7534</v>
      </c>
      <c r="H11" s="122" t="str">
        <f>IFERROR(__xludf.DUMMYFUNCTION("""COMPUTED_VALUE"""),"启")</f>
        <v>启</v>
      </c>
      <c r="I11" s="122" t="str">
        <f>IFERROR(__xludf.DUMMYFUNCTION("""COMPUTED_VALUE"""),"呆")</f>
        <v>呆</v>
      </c>
      <c r="J11" s="122" t="str">
        <f>IFERROR(__xludf.DUMMYFUNCTION("""COMPUTED_VALUE"""),"告")</f>
        <v>告</v>
      </c>
      <c r="K11" s="122" t="str">
        <f>IFERROR(__xludf.DUMMYFUNCTION("""COMPUTED_VALUE"""),"员")</f>
        <v>员</v>
      </c>
      <c r="L11" s="122" t="str">
        <f>IFERROR(__xludf.DUMMYFUNCTION("""COMPUTED_VALUE"""),"味")</f>
        <v>味</v>
      </c>
      <c r="M11" s="122" t="str">
        <f>IFERROR(__xludf.DUMMYFUNCTION("""COMPUTED_VALUE"""),"和")</f>
        <v>和</v>
      </c>
      <c r="N11" s="122" t="str">
        <f>IFERROR(__xludf.DUMMYFUNCTION("""COMPUTED_VALUE"""),"咕")</f>
        <v>咕</v>
      </c>
      <c r="O11" s="122" t="str">
        <f>IFERROR(__xludf.DUMMYFUNCTION("""COMPUTED_VALUE"""),"咩")</f>
        <v>咩</v>
      </c>
      <c r="P11" s="122" t="str">
        <f>IFERROR(__xludf.DUMMYFUNCTION("""COMPUTED_VALUE"""),"咪")</f>
        <v>咪</v>
      </c>
      <c r="Q11" s="122" t="str">
        <f>IFERROR(__xludf.DUMMYFUNCTION("""COMPUTED_VALUE"""),"哈")</f>
        <v>哈</v>
      </c>
      <c r="R11" s="122" t="str">
        <f>IFERROR(__xludf.DUMMYFUNCTION("""COMPUTED_VALUE"""),"哥")</f>
        <v>哥</v>
      </c>
      <c r="S11" s="122" t="str">
        <f>IFERROR(__xludf.DUMMYFUNCTION("""COMPUTED_VALUE"""),"哪")</f>
        <v>哪</v>
      </c>
      <c r="T11" s="122" t="str">
        <f>IFERROR(__xludf.DUMMYFUNCTION("""COMPUTED_VALUE"""),"唇")</f>
        <v>唇</v>
      </c>
      <c r="U11" s="122" t="str">
        <f>IFERROR(__xludf.DUMMYFUNCTION("""COMPUTED_VALUE"""),"唠")</f>
        <v>唠</v>
      </c>
      <c r="V11" s="122" t="str">
        <f>IFERROR(__xludf.DUMMYFUNCTION("""COMPUTED_VALUE"""),"售")</f>
        <v>售</v>
      </c>
      <c r="W11" s="122" t="str">
        <f>IFERROR(__xludf.DUMMYFUNCTION("""COMPUTED_VALUE"""),"商")</f>
        <v>商</v>
      </c>
    </row>
    <row r="12">
      <c r="A12" s="95" t="s">
        <v>10572</v>
      </c>
      <c r="D12" s="122" t="str">
        <f>IFERROR(__xludf.DUMMYFUNCTION("""COMPUTED_VALUE"""),".")</f>
        <v>.</v>
      </c>
      <c r="F12" s="122" t="s">
        <v>3111</v>
      </c>
      <c r="H12" s="122" t="str">
        <f>IFERROR(__xludf.DUMMYFUNCTION("""COMPUTED_VALUE"""),"啦")</f>
        <v>啦</v>
      </c>
      <c r="I12" s="122" t="str">
        <f>IFERROR(__xludf.DUMMYFUNCTION("""COMPUTED_VALUE"""),"喇")</f>
        <v>喇</v>
      </c>
      <c r="J12" s="122" t="str">
        <f>IFERROR(__xludf.DUMMYFUNCTION("""COMPUTED_VALUE"""),"喵")</f>
        <v>喵</v>
      </c>
      <c r="K12" s="122" t="str">
        <f>IFERROR(__xludf.DUMMYFUNCTION("""COMPUTED_VALUE"""),"喷")</f>
        <v>喷</v>
      </c>
      <c r="L12" s="122" t="str">
        <f>IFERROR(__xludf.DUMMYFUNCTION("""COMPUTED_VALUE"""),"嗨")</f>
        <v>嗨</v>
      </c>
      <c r="M12" s="122" t="str">
        <f>IFERROR(__xludf.DUMMYFUNCTION("""COMPUTED_VALUE"""),"嘎")</f>
        <v>嘎</v>
      </c>
      <c r="N12" s="122" t="str">
        <f>IFERROR(__xludf.DUMMYFUNCTION("""COMPUTED_VALUE"""),"嘛")</f>
        <v>嘛</v>
      </c>
      <c r="O12" s="122" t="str">
        <f>IFERROR(__xludf.DUMMYFUNCTION("""COMPUTED_VALUE"""),"嘟")</f>
        <v>嘟</v>
      </c>
      <c r="P12" s="122" t="str">
        <f>IFERROR(__xludf.DUMMYFUNCTION("""COMPUTED_VALUE"""),"嘴")</f>
        <v>嘴</v>
      </c>
      <c r="Q12" s="122" t="str">
        <f>IFERROR(__xludf.DUMMYFUNCTION("""COMPUTED_VALUE"""),"嘿")</f>
        <v>嘿</v>
      </c>
      <c r="R12" s="122" t="str">
        <f>IFERROR(__xludf.DUMMYFUNCTION("""COMPUTED_VALUE"""),"器")</f>
        <v>器</v>
      </c>
      <c r="S12" s="122" t="str">
        <f>IFERROR(__xludf.DUMMYFUNCTION("""COMPUTED_VALUE"""),"回")</f>
        <v>回</v>
      </c>
      <c r="T12" s="122" t="str">
        <f>IFERROR(__xludf.DUMMYFUNCTION("""COMPUTED_VALUE"""),"因")</f>
        <v>因</v>
      </c>
      <c r="U12" s="122" t="str">
        <f>IFERROR(__xludf.DUMMYFUNCTION("""COMPUTED_VALUE"""),"团")</f>
        <v>团</v>
      </c>
      <c r="V12" s="122" t="str">
        <f>IFERROR(__xludf.DUMMYFUNCTION("""COMPUTED_VALUE"""),"图")</f>
        <v>图</v>
      </c>
      <c r="W12" s="122" t="str">
        <f>IFERROR(__xludf.DUMMYFUNCTION("""COMPUTED_VALUE"""),"圆")</f>
        <v>圆</v>
      </c>
    </row>
    <row r="13">
      <c r="A13" s="95" t="s">
        <v>10573</v>
      </c>
      <c r="D13" s="122" t="str">
        <f>IFERROR(__xludf.DUMMYFUNCTION("""COMPUTED_VALUE"""),"…")</f>
        <v>…</v>
      </c>
      <c r="F13" s="122" t="s">
        <v>8625</v>
      </c>
      <c r="H13" s="122" t="str">
        <f>IFERROR(__xludf.DUMMYFUNCTION("""COMPUTED_VALUE"""),"圈")</f>
        <v>圈</v>
      </c>
      <c r="I13" s="122" t="str">
        <f>IFERROR(__xludf.DUMMYFUNCTION("""COMPUTED_VALUE"""),"土")</f>
        <v>土</v>
      </c>
      <c r="J13" s="122" t="str">
        <f>IFERROR(__xludf.DUMMYFUNCTION("""COMPUTED_VALUE"""),"在")</f>
        <v>在</v>
      </c>
      <c r="K13" s="122" t="str">
        <f>IFERROR(__xludf.DUMMYFUNCTION("""COMPUTED_VALUE"""),"地")</f>
        <v>地</v>
      </c>
      <c r="L13" s="122" t="str">
        <f>IFERROR(__xludf.DUMMYFUNCTION("""COMPUTED_VALUE"""),"场")</f>
        <v>场</v>
      </c>
      <c r="M13" s="122" t="str">
        <f>IFERROR(__xludf.DUMMYFUNCTION("""COMPUTED_VALUE"""),"均")</f>
        <v>均</v>
      </c>
      <c r="N13" s="122" t="str">
        <f>IFERROR(__xludf.DUMMYFUNCTION("""COMPUTED_VALUE"""),"型")</f>
        <v>型</v>
      </c>
      <c r="O13" s="122" t="str">
        <f>IFERROR(__xludf.DUMMYFUNCTION("""COMPUTED_VALUE"""),"城")</f>
        <v>城</v>
      </c>
      <c r="P13" s="122" t="str">
        <f>IFERROR(__xludf.DUMMYFUNCTION("""COMPUTED_VALUE"""),"基")</f>
        <v>基</v>
      </c>
      <c r="Q13" s="122" t="str">
        <f>IFERROR(__xludf.DUMMYFUNCTION("""COMPUTED_VALUE"""),"堂")</f>
        <v>堂</v>
      </c>
      <c r="R13" s="122" t="str">
        <f>IFERROR(__xludf.DUMMYFUNCTION("""COMPUTED_VALUE"""),"填")</f>
        <v>填</v>
      </c>
      <c r="S13" s="122" t="str">
        <f>IFERROR(__xludf.DUMMYFUNCTION("""COMPUTED_VALUE"""),"境")</f>
        <v>境</v>
      </c>
      <c r="T13" s="122" t="str">
        <f>IFERROR(__xludf.DUMMYFUNCTION("""COMPUTED_VALUE"""),"墙")</f>
        <v>墙</v>
      </c>
      <c r="U13" s="122" t="str">
        <f>IFERROR(__xludf.DUMMYFUNCTION("""COMPUTED_VALUE"""),"墨")</f>
        <v>墨</v>
      </c>
      <c r="V13" s="122" t="str">
        <f>IFERROR(__xludf.DUMMYFUNCTION("""COMPUTED_VALUE"""),"士")</f>
        <v>士</v>
      </c>
      <c r="W13" s="122" t="str">
        <f>IFERROR(__xludf.DUMMYFUNCTION("""COMPUTED_VALUE"""),"壳")</f>
        <v>壳</v>
      </c>
    </row>
    <row r="14">
      <c r="A14" s="95" t="s">
        <v>10574</v>
      </c>
      <c r="D14" s="122" t="str">
        <f>IFERROR(__xludf.DUMMYFUNCTION("""COMPUTED_VALUE"""),"。")</f>
        <v>。</v>
      </c>
      <c r="F14" s="122" t="s">
        <v>3388</v>
      </c>
      <c r="H14" s="122" t="str">
        <f>IFERROR(__xludf.DUMMYFUNCTION("""COMPUTED_VALUE"""),"壶")</f>
        <v>壶</v>
      </c>
      <c r="I14" s="122" t="str">
        <f>IFERROR(__xludf.DUMMYFUNCTION("""COMPUTED_VALUE"""),"处")</f>
        <v>处</v>
      </c>
      <c r="J14" s="122" t="str">
        <f>IFERROR(__xludf.DUMMYFUNCTION("""COMPUTED_VALUE"""),"备")</f>
        <v>备</v>
      </c>
      <c r="K14" s="122" t="str">
        <f>IFERROR(__xludf.DUMMYFUNCTION("""COMPUTED_VALUE"""),"外")</f>
        <v>外</v>
      </c>
      <c r="L14" s="122" t="str">
        <f>IFERROR(__xludf.DUMMYFUNCTION("""COMPUTED_VALUE"""),"多")</f>
        <v>多</v>
      </c>
      <c r="M14" s="122" t="str">
        <f>IFERROR(__xludf.DUMMYFUNCTION("""COMPUTED_VALUE"""),"夜")</f>
        <v>夜</v>
      </c>
      <c r="N14" s="122" t="str">
        <f>IFERROR(__xludf.DUMMYFUNCTION("""COMPUTED_VALUE"""),"够")</f>
        <v>够</v>
      </c>
      <c r="O14" s="122" t="str">
        <f>IFERROR(__xludf.DUMMYFUNCTION("""COMPUTED_VALUE"""),"大")</f>
        <v>大</v>
      </c>
      <c r="P14" s="122" t="str">
        <f>IFERROR(__xludf.DUMMYFUNCTION("""COMPUTED_VALUE"""),"天")</f>
        <v>天</v>
      </c>
      <c r="Q14" s="122" t="str">
        <f>IFERROR(__xludf.DUMMYFUNCTION("""COMPUTED_VALUE"""),"太")</f>
        <v>太</v>
      </c>
      <c r="R14" s="122" t="str">
        <f>IFERROR(__xludf.DUMMYFUNCTION("""COMPUTED_VALUE"""),"头")</f>
        <v>头</v>
      </c>
      <c r="S14" s="122" t="str">
        <f>IFERROR(__xludf.DUMMYFUNCTION("""COMPUTED_VALUE"""),"奇")</f>
        <v>奇</v>
      </c>
      <c r="T14" s="122" t="str">
        <f>IFERROR(__xludf.DUMMYFUNCTION("""COMPUTED_VALUE"""),"奖")</f>
        <v>奖</v>
      </c>
      <c r="U14" s="122" t="str">
        <f>IFERROR(__xludf.DUMMYFUNCTION("""COMPUTED_VALUE"""),"奶")</f>
        <v>奶</v>
      </c>
      <c r="V14" s="122" t="str">
        <f>IFERROR(__xludf.DUMMYFUNCTION("""COMPUTED_VALUE"""),"好")</f>
        <v>好</v>
      </c>
      <c r="W14" s="122" t="str">
        <f>IFERROR(__xludf.DUMMYFUNCTION("""COMPUTED_VALUE"""),"如")</f>
        <v>如</v>
      </c>
    </row>
    <row r="15">
      <c r="A15" s="95" t="s">
        <v>10575</v>
      </c>
      <c r="D15" s="122" t="str">
        <f>IFERROR(__xludf.DUMMYFUNCTION("""COMPUTED_VALUE"""),"‘")</f>
        <v>‘</v>
      </c>
      <c r="F15" s="122" t="s">
        <v>3465</v>
      </c>
      <c r="H15" s="122" t="str">
        <f>IFERROR(__xludf.DUMMYFUNCTION("""COMPUTED_VALUE"""),"妖")</f>
        <v>妖</v>
      </c>
      <c r="I15" s="122" t="str">
        <f>IFERROR(__xludf.DUMMYFUNCTION("""COMPUTED_VALUE"""),"妙")</f>
        <v>妙</v>
      </c>
      <c r="J15" s="122" t="str">
        <f>IFERROR(__xludf.DUMMYFUNCTION("""COMPUTED_VALUE"""),"始")</f>
        <v>始</v>
      </c>
      <c r="K15" s="122" t="str">
        <f>IFERROR(__xludf.DUMMYFUNCTION("""COMPUTED_VALUE"""),"姐")</f>
        <v>姐</v>
      </c>
      <c r="L15" s="122" t="str">
        <f>IFERROR(__xludf.DUMMYFUNCTION("""COMPUTED_VALUE"""),"娃")</f>
        <v>娃</v>
      </c>
      <c r="M15" s="122" t="str">
        <f>IFERROR(__xludf.DUMMYFUNCTION("""COMPUTED_VALUE"""),"娜")</f>
        <v>娜</v>
      </c>
      <c r="N15" s="122" t="str">
        <f>IFERROR(__xludf.DUMMYFUNCTION("""COMPUTED_VALUE"""),"子")</f>
        <v>子</v>
      </c>
      <c r="O15" s="122" t="str">
        <f>IFERROR(__xludf.DUMMYFUNCTION("""COMPUTED_VALUE"""),"字")</f>
        <v>字</v>
      </c>
      <c r="P15" s="122" t="str">
        <f>IFERROR(__xludf.DUMMYFUNCTION("""COMPUTED_VALUE"""),"存")</f>
        <v>存</v>
      </c>
      <c r="Q15" s="122" t="str">
        <f>IFERROR(__xludf.DUMMYFUNCTION("""COMPUTED_VALUE"""),"学")</f>
        <v>学</v>
      </c>
      <c r="R15" s="122" t="str">
        <f>IFERROR(__xludf.DUMMYFUNCTION("""COMPUTED_VALUE"""),"它")</f>
        <v>它</v>
      </c>
      <c r="S15" s="122" t="str">
        <f>IFERROR(__xludf.DUMMYFUNCTION("""COMPUTED_VALUE"""),"安")</f>
        <v>安</v>
      </c>
      <c r="T15" s="122" t="str">
        <f>IFERROR(__xludf.DUMMYFUNCTION("""COMPUTED_VALUE"""),"完")</f>
        <v>完</v>
      </c>
      <c r="U15" s="122" t="str">
        <f>IFERROR(__xludf.DUMMYFUNCTION("""COMPUTED_VALUE"""),"定")</f>
        <v>定</v>
      </c>
      <c r="V15" s="122" t="str">
        <f>IFERROR(__xludf.DUMMYFUNCTION("""COMPUTED_VALUE"""),"宝")</f>
        <v>宝</v>
      </c>
      <c r="W15" s="122" t="str">
        <f>IFERROR(__xludf.DUMMYFUNCTION("""COMPUTED_VALUE"""),"实")</f>
        <v>实</v>
      </c>
    </row>
    <row r="16">
      <c r="A16" s="95" t="s">
        <v>10576</v>
      </c>
      <c r="D16" s="122" t="str">
        <f>IFERROR(__xludf.DUMMYFUNCTION("""COMPUTED_VALUE"""),"’")</f>
        <v>’</v>
      </c>
      <c r="F16" s="122" t="s">
        <v>3235</v>
      </c>
      <c r="H16" s="122" t="str">
        <f>IFERROR(__xludf.DUMMYFUNCTION("""COMPUTED_VALUE"""),"室")</f>
        <v>室</v>
      </c>
      <c r="I16" s="122" t="str">
        <f>IFERROR(__xludf.DUMMYFUNCTION("""COMPUTED_VALUE"""),"家")</f>
        <v>家</v>
      </c>
      <c r="J16" s="122" t="str">
        <f>IFERROR(__xludf.DUMMYFUNCTION("""COMPUTED_VALUE"""),"容")</f>
        <v>容</v>
      </c>
      <c r="K16" s="122" t="str">
        <f>IFERROR(__xludf.DUMMYFUNCTION("""COMPUTED_VALUE"""),"对")</f>
        <v>对</v>
      </c>
      <c r="L16" s="122" t="str">
        <f>IFERROR(__xludf.DUMMYFUNCTION("""COMPUTED_VALUE"""),"将")</f>
        <v>将</v>
      </c>
      <c r="M16" s="122" t="str">
        <f>IFERROR(__xludf.DUMMYFUNCTION("""COMPUTED_VALUE"""),"小")</f>
        <v>小</v>
      </c>
      <c r="N16" s="122" t="str">
        <f>IFERROR(__xludf.DUMMYFUNCTION("""COMPUTED_VALUE"""),"少")</f>
        <v>少</v>
      </c>
      <c r="O16" s="122" t="str">
        <f>IFERROR(__xludf.DUMMYFUNCTION("""COMPUTED_VALUE"""),"尖")</f>
        <v>尖</v>
      </c>
      <c r="P16" s="122" t="str">
        <f>IFERROR(__xludf.DUMMYFUNCTION("""COMPUTED_VALUE"""),"就")</f>
        <v>就</v>
      </c>
      <c r="Q16" s="122" t="str">
        <f>IFERROR(__xludf.DUMMYFUNCTION("""COMPUTED_VALUE"""),"尼")</f>
        <v>尼</v>
      </c>
      <c r="R16" s="122" t="str">
        <f>IFERROR(__xludf.DUMMYFUNCTION("""COMPUTED_VALUE"""),"尽")</f>
        <v>尽</v>
      </c>
      <c r="S16" s="122" t="str">
        <f>IFERROR(__xludf.DUMMYFUNCTION("""COMPUTED_VALUE"""),"尾")</f>
        <v>尾</v>
      </c>
      <c r="T16" s="122" t="str">
        <f>IFERROR(__xludf.DUMMYFUNCTION("""COMPUTED_VALUE"""),"屏")</f>
        <v>屏</v>
      </c>
      <c r="U16" s="122" t="str">
        <f>IFERROR(__xludf.DUMMYFUNCTION("""COMPUTED_VALUE"""),"山")</f>
        <v>山</v>
      </c>
      <c r="V16" s="122" t="str">
        <f>IFERROR(__xludf.DUMMYFUNCTION("""COMPUTED_VALUE"""),"岩")</f>
        <v>岩</v>
      </c>
      <c r="W16" s="122" t="str">
        <f>IFERROR(__xludf.DUMMYFUNCTION("""COMPUTED_VALUE"""),"崇")</f>
        <v>崇</v>
      </c>
    </row>
    <row r="17">
      <c r="A17" s="95" t="s">
        <v>10577</v>
      </c>
      <c r="D17" s="122" t="str">
        <f>IFERROR(__xludf.DUMMYFUNCTION("""COMPUTED_VALUE"""),"“")</f>
        <v>“</v>
      </c>
      <c r="F17" s="122" t="s">
        <v>3845</v>
      </c>
      <c r="H17" s="122" t="str">
        <f>IFERROR(__xludf.DUMMYFUNCTION("""COMPUTED_VALUE"""),"崩")</f>
        <v>崩</v>
      </c>
      <c r="I17" s="122" t="str">
        <f>IFERROR(__xludf.DUMMYFUNCTION("""COMPUTED_VALUE"""),"工")</f>
        <v>工</v>
      </c>
      <c r="J17" s="122" t="str">
        <f>IFERROR(__xludf.DUMMYFUNCTION("""COMPUTED_VALUE"""),"巨")</f>
        <v>巨</v>
      </c>
      <c r="K17" s="122" t="str">
        <f>IFERROR(__xludf.DUMMYFUNCTION("""COMPUTED_VALUE"""),"已")</f>
        <v>已</v>
      </c>
      <c r="L17" s="122" t="str">
        <f>IFERROR(__xludf.DUMMYFUNCTION("""COMPUTED_VALUE"""),"巴")</f>
        <v>巴</v>
      </c>
      <c r="M17" s="122" t="str">
        <f>IFERROR(__xludf.DUMMYFUNCTION("""COMPUTED_VALUE"""),"市")</f>
        <v>市</v>
      </c>
      <c r="N17" s="122" t="str">
        <f>IFERROR(__xludf.DUMMYFUNCTION("""COMPUTED_VALUE"""),"布")</f>
        <v>布</v>
      </c>
      <c r="O17" s="122" t="str">
        <f>IFERROR(__xludf.DUMMYFUNCTION("""COMPUTED_VALUE"""),"帅")</f>
        <v>帅</v>
      </c>
      <c r="P17" s="122" t="str">
        <f>IFERROR(__xludf.DUMMYFUNCTION("""COMPUTED_VALUE"""),"师")</f>
        <v>师</v>
      </c>
      <c r="Q17" s="122" t="str">
        <f>IFERROR(__xludf.DUMMYFUNCTION("""COMPUTED_VALUE"""),"帝")</f>
        <v>帝</v>
      </c>
      <c r="R17" s="122" t="str">
        <f>IFERROR(__xludf.DUMMYFUNCTION("""COMPUTED_VALUE"""),"带")</f>
        <v>带</v>
      </c>
      <c r="S17" s="122" t="str">
        <f>IFERROR(__xludf.DUMMYFUNCTION("""COMPUTED_VALUE"""),"帮")</f>
        <v>帮</v>
      </c>
      <c r="T17" s="122" t="str">
        <f>IFERROR(__xludf.DUMMYFUNCTION("""COMPUTED_VALUE"""),"常")</f>
        <v>常</v>
      </c>
      <c r="U17" s="122" t="str">
        <f>IFERROR(__xludf.DUMMYFUNCTION("""COMPUTED_VALUE"""),"幕")</f>
        <v>幕</v>
      </c>
      <c r="V17" s="122" t="str">
        <f>IFERROR(__xludf.DUMMYFUNCTION("""COMPUTED_VALUE"""),"年")</f>
        <v>年</v>
      </c>
      <c r="W17" s="122" t="str">
        <f>IFERROR(__xludf.DUMMYFUNCTION("""COMPUTED_VALUE"""),"并")</f>
        <v>并</v>
      </c>
    </row>
    <row r="18">
      <c r="A18" s="95" t="s">
        <v>10578</v>
      </c>
      <c r="D18" s="122" t="str">
        <f>IFERROR(__xludf.DUMMYFUNCTION("""COMPUTED_VALUE"""),"”")</f>
        <v>”</v>
      </c>
      <c r="F18" s="122" t="s">
        <v>3847</v>
      </c>
      <c r="H18" s="122" t="str">
        <f>IFERROR(__xludf.DUMMYFUNCTION("""COMPUTED_VALUE"""),"幸")</f>
        <v>幸</v>
      </c>
      <c r="I18" s="122" t="str">
        <f>IFERROR(__xludf.DUMMYFUNCTION("""COMPUTED_VALUE"""),"幻")</f>
        <v>幻</v>
      </c>
      <c r="J18" s="122" t="str">
        <f>IFERROR(__xludf.DUMMYFUNCTION("""COMPUTED_VALUE"""),"幼")</f>
        <v>幼</v>
      </c>
      <c r="K18" s="122" t="str">
        <f>IFERROR(__xludf.DUMMYFUNCTION("""COMPUTED_VALUE"""),"序")</f>
        <v>序</v>
      </c>
      <c r="L18" s="122" t="str">
        <f>IFERROR(__xludf.DUMMYFUNCTION("""COMPUTED_VALUE"""),"库")</f>
        <v>库</v>
      </c>
      <c r="M18" s="122" t="str">
        <f>IFERROR(__xludf.DUMMYFUNCTION("""COMPUTED_VALUE"""),"店")</f>
        <v>店</v>
      </c>
      <c r="N18" s="122" t="str">
        <f>IFERROR(__xludf.DUMMYFUNCTION("""COMPUTED_VALUE"""),"建")</f>
        <v>建</v>
      </c>
      <c r="O18" s="122" t="str">
        <f>IFERROR(__xludf.DUMMYFUNCTION("""COMPUTED_VALUE"""),"开")</f>
        <v>开</v>
      </c>
      <c r="P18" s="122" t="str">
        <f>IFERROR(__xludf.DUMMYFUNCTION("""COMPUTED_VALUE"""),"异")</f>
        <v>异</v>
      </c>
      <c r="Q18" s="122" t="str">
        <f>IFERROR(__xludf.DUMMYFUNCTION("""COMPUTED_VALUE"""),"式")</f>
        <v>式</v>
      </c>
      <c r="R18" s="122" t="str">
        <f>IFERROR(__xludf.DUMMYFUNCTION("""COMPUTED_VALUE"""),"引")</f>
        <v>引</v>
      </c>
      <c r="S18" s="122" t="str">
        <f>IFERROR(__xludf.DUMMYFUNCTION("""COMPUTED_VALUE"""),"弟")</f>
        <v>弟</v>
      </c>
      <c r="T18" s="122" t="str">
        <f>IFERROR(__xludf.DUMMYFUNCTION("""COMPUTED_VALUE"""),"弹")</f>
        <v>弹</v>
      </c>
      <c r="U18" s="122" t="str">
        <f>IFERROR(__xludf.DUMMYFUNCTION("""COMPUTED_VALUE"""),"归")</f>
        <v>归</v>
      </c>
      <c r="V18" s="122" t="str">
        <f>IFERROR(__xludf.DUMMYFUNCTION("""COMPUTED_VALUE"""),"当")</f>
        <v>当</v>
      </c>
      <c r="W18" s="122" t="str">
        <f>IFERROR(__xludf.DUMMYFUNCTION("""COMPUTED_VALUE"""),"录")</f>
        <v>录</v>
      </c>
    </row>
    <row r="19">
      <c r="A19" s="95" t="s">
        <v>10579</v>
      </c>
      <c r="D19" s="122" t="str">
        <f>IFERROR(__xludf.DUMMYFUNCTION("""COMPUTED_VALUE"""),"（")</f>
        <v>（</v>
      </c>
      <c r="F19" s="122" t="s">
        <v>5096</v>
      </c>
      <c r="H19" s="122" t="str">
        <f>IFERROR(__xludf.DUMMYFUNCTION("""COMPUTED_VALUE"""),"形")</f>
        <v>形</v>
      </c>
      <c r="I19" s="122" t="str">
        <f>IFERROR(__xludf.DUMMYFUNCTION("""COMPUTED_VALUE"""),"往")</f>
        <v>往</v>
      </c>
      <c r="J19" s="122" t="str">
        <f>IFERROR(__xludf.DUMMYFUNCTION("""COMPUTED_VALUE"""),"待")</f>
        <v>待</v>
      </c>
      <c r="K19" s="122" t="str">
        <f>IFERROR(__xludf.DUMMYFUNCTION("""COMPUTED_VALUE"""),"很")</f>
        <v>很</v>
      </c>
      <c r="L19" s="122" t="str">
        <f>IFERROR(__xludf.DUMMYFUNCTION("""COMPUTED_VALUE"""),"得")</f>
        <v>得</v>
      </c>
      <c r="M19" s="122" t="str">
        <f>IFERROR(__xludf.DUMMYFUNCTION("""COMPUTED_VALUE"""),"德")</f>
        <v>德</v>
      </c>
      <c r="N19" s="122" t="str">
        <f>IFERROR(__xludf.DUMMYFUNCTION("""COMPUTED_VALUE"""),"心")</f>
        <v>心</v>
      </c>
      <c r="O19" s="122" t="str">
        <f>IFERROR(__xludf.DUMMYFUNCTION("""COMPUTED_VALUE"""),"快")</f>
        <v>快</v>
      </c>
      <c r="P19" s="122" t="str">
        <f>IFERROR(__xludf.DUMMYFUNCTION("""COMPUTED_VALUE"""),"态")</f>
        <v>态</v>
      </c>
      <c r="Q19" s="122" t="str">
        <f>IFERROR(__xludf.DUMMYFUNCTION("""COMPUTED_VALUE"""),"急")</f>
        <v>急</v>
      </c>
      <c r="R19" s="122" t="str">
        <f>IFERROR(__xludf.DUMMYFUNCTION("""COMPUTED_VALUE"""),"怪")</f>
        <v>怪</v>
      </c>
      <c r="S19" s="122" t="str">
        <f>IFERROR(__xludf.DUMMYFUNCTION("""COMPUTED_VALUE"""),"恐")</f>
        <v>恐</v>
      </c>
      <c r="T19" s="122" t="str">
        <f>IFERROR(__xludf.DUMMYFUNCTION("""COMPUTED_VALUE"""),"息")</f>
        <v>息</v>
      </c>
      <c r="U19" s="122" t="str">
        <f>IFERROR(__xludf.DUMMYFUNCTION("""COMPUTED_VALUE"""),"您")</f>
        <v>您</v>
      </c>
      <c r="V19" s="122" t="str">
        <f>IFERROR(__xludf.DUMMYFUNCTION("""COMPUTED_VALUE"""),"情")</f>
        <v>情</v>
      </c>
      <c r="W19" s="122" t="str">
        <f>IFERROR(__xludf.DUMMYFUNCTION("""COMPUTED_VALUE"""),"惊")</f>
        <v>惊</v>
      </c>
    </row>
    <row r="20">
      <c r="A20" s="95" t="s">
        <v>10580</v>
      </c>
      <c r="D20" s="122" t="str">
        <f>IFERROR(__xludf.DUMMYFUNCTION("""COMPUTED_VALUE"""),"）")</f>
        <v>）</v>
      </c>
      <c r="F20" s="122" t="s">
        <v>3543</v>
      </c>
      <c r="H20" s="122" t="str">
        <f>IFERROR(__xludf.DUMMYFUNCTION("""COMPUTED_VALUE"""),"想")</f>
        <v>想</v>
      </c>
      <c r="I20" s="122" t="str">
        <f>IFERROR(__xludf.DUMMYFUNCTION("""COMPUTED_VALUE"""),"愉")</f>
        <v>愉</v>
      </c>
      <c r="J20" s="122" t="str">
        <f>IFERROR(__xludf.DUMMYFUNCTION("""COMPUTED_VALUE"""),"意")</f>
        <v>意</v>
      </c>
      <c r="K20" s="122" t="str">
        <f>IFERROR(__xludf.DUMMYFUNCTION("""COMPUTED_VALUE"""),"感")</f>
        <v>感</v>
      </c>
      <c r="L20" s="122" t="str">
        <f>IFERROR(__xludf.DUMMYFUNCTION("""COMPUTED_VALUE"""),"愿")</f>
        <v>愿</v>
      </c>
      <c r="M20" s="122" t="str">
        <f>IFERROR(__xludf.DUMMYFUNCTION("""COMPUTED_VALUE"""),"戏")</f>
        <v>戏</v>
      </c>
      <c r="N20" s="122" t="str">
        <f>IFERROR(__xludf.DUMMYFUNCTION("""COMPUTED_VALUE"""),"成")</f>
        <v>成</v>
      </c>
      <c r="O20" s="122" t="str">
        <f>IFERROR(__xludf.DUMMYFUNCTION("""COMPUTED_VALUE"""),"我")</f>
        <v>我</v>
      </c>
      <c r="P20" s="122" t="str">
        <f>IFERROR(__xludf.DUMMYFUNCTION("""COMPUTED_VALUE"""),"或")</f>
        <v>或</v>
      </c>
      <c r="Q20" s="122" t="str">
        <f>IFERROR(__xludf.DUMMYFUNCTION("""COMPUTED_VALUE"""),"战")</f>
        <v>战</v>
      </c>
      <c r="R20" s="122" t="str">
        <f>IFERROR(__xludf.DUMMYFUNCTION("""COMPUTED_VALUE"""),"戴")</f>
        <v>戴</v>
      </c>
      <c r="S20" s="122" t="str">
        <f>IFERROR(__xludf.DUMMYFUNCTION("""COMPUTED_VALUE"""),"所")</f>
        <v>所</v>
      </c>
      <c r="T20" s="122" t="str">
        <f>IFERROR(__xludf.DUMMYFUNCTION("""COMPUTED_VALUE"""),"手")</f>
        <v>手</v>
      </c>
      <c r="U20" s="122" t="str">
        <f>IFERROR(__xludf.DUMMYFUNCTION("""COMPUTED_VALUE"""),"才")</f>
        <v>才</v>
      </c>
      <c r="V20" s="122" t="str">
        <f>IFERROR(__xludf.DUMMYFUNCTION("""COMPUTED_VALUE"""),"托")</f>
        <v>托</v>
      </c>
      <c r="W20" s="122" t="str">
        <f>IFERROR(__xludf.DUMMYFUNCTION("""COMPUTED_VALUE"""),"找")</f>
        <v>找</v>
      </c>
    </row>
    <row r="21">
      <c r="A21" s="95" t="s">
        <v>10581</v>
      </c>
      <c r="D21" s="122" t="str">
        <f>IFERROR(__xludf.DUMMYFUNCTION("""COMPUTED_VALUE"""),"[")</f>
        <v>[</v>
      </c>
      <c r="F21" s="122" t="s">
        <v>5132</v>
      </c>
      <c r="H21" s="122" t="str">
        <f>IFERROR(__xludf.DUMMYFUNCTION("""COMPUTED_VALUE"""),"把")</f>
        <v>把</v>
      </c>
      <c r="I21" s="122" t="str">
        <f>IFERROR(__xludf.DUMMYFUNCTION("""COMPUTED_VALUE"""),"抓")</f>
        <v>抓</v>
      </c>
      <c r="J21" s="122" t="str">
        <f>IFERROR(__xludf.DUMMYFUNCTION("""COMPUTED_VALUE"""),"抱")</f>
        <v>抱</v>
      </c>
      <c r="K21" s="122" t="str">
        <f>IFERROR(__xludf.DUMMYFUNCTION("""COMPUTED_VALUE"""),"拉")</f>
        <v>拉</v>
      </c>
      <c r="L21" s="122" t="str">
        <f>IFERROR(__xludf.DUMMYFUNCTION("""COMPUTED_VALUE"""),"拟")</f>
        <v>拟</v>
      </c>
      <c r="M21" s="122" t="str">
        <f>IFERROR(__xludf.DUMMYFUNCTION("""COMPUTED_VALUE"""),"拥")</f>
        <v>拥</v>
      </c>
      <c r="N21" s="122" t="str">
        <f>IFERROR(__xludf.DUMMYFUNCTION("""COMPUTED_VALUE"""),"择")</f>
        <v>择</v>
      </c>
      <c r="O21" s="122" t="str">
        <f>IFERROR(__xludf.DUMMYFUNCTION("""COMPUTED_VALUE"""),"拳")</f>
        <v>拳</v>
      </c>
      <c r="P21" s="122" t="str">
        <f>IFERROR(__xludf.DUMMYFUNCTION("""COMPUTED_VALUE"""),"持")</f>
        <v>持</v>
      </c>
      <c r="Q21" s="122" t="str">
        <f>IFERROR(__xludf.DUMMYFUNCTION("""COMPUTED_VALUE"""),"按")</f>
        <v>按</v>
      </c>
      <c r="R21" s="122" t="str">
        <f>IFERROR(__xludf.DUMMYFUNCTION("""COMPUTED_VALUE"""),"换")</f>
        <v>换</v>
      </c>
      <c r="S21" s="122" t="str">
        <f>IFERROR(__xludf.DUMMYFUNCTION("""COMPUTED_VALUE"""),"捣")</f>
        <v>捣</v>
      </c>
      <c r="T21" s="122" t="str">
        <f>IFERROR(__xludf.DUMMYFUNCTION("""COMPUTED_VALUE"""),"据")</f>
        <v>据</v>
      </c>
      <c r="U21" s="122" t="str">
        <f>IFERROR(__xludf.DUMMYFUNCTION("""COMPUTED_VALUE"""),"接")</f>
        <v>接</v>
      </c>
      <c r="V21" s="122" t="str">
        <f>IFERROR(__xludf.DUMMYFUNCTION("""COMPUTED_VALUE"""),"推")</f>
        <v>推</v>
      </c>
      <c r="W21" s="122" t="str">
        <f>IFERROR(__xludf.DUMMYFUNCTION("""COMPUTED_VALUE"""),"提")</f>
        <v>提</v>
      </c>
    </row>
    <row r="22">
      <c r="A22" s="95" t="s">
        <v>10582</v>
      </c>
      <c r="D22" s="122" t="str">
        <f>IFERROR(__xludf.DUMMYFUNCTION("""COMPUTED_VALUE"""),"]")</f>
        <v>]</v>
      </c>
      <c r="F22" s="122" t="s">
        <v>6754</v>
      </c>
      <c r="H22" s="122" t="str">
        <f>IFERROR(__xludf.DUMMYFUNCTION("""COMPUTED_VALUE"""),"插")</f>
        <v>插</v>
      </c>
      <c r="I22" s="122" t="str">
        <f>IFERROR(__xludf.DUMMYFUNCTION("""COMPUTED_VALUE"""),"携")</f>
        <v>携</v>
      </c>
      <c r="J22" s="122" t="str">
        <f>IFERROR(__xludf.DUMMYFUNCTION("""COMPUTED_VALUE"""),"摩")</f>
        <v>摩</v>
      </c>
      <c r="K22" s="122" t="str">
        <f>IFERROR(__xludf.DUMMYFUNCTION("""COMPUTED_VALUE"""),"操")</f>
        <v>操</v>
      </c>
      <c r="L22" s="122" t="str">
        <f>IFERROR(__xludf.DUMMYFUNCTION("""COMPUTED_VALUE"""),"支")</f>
        <v>支</v>
      </c>
      <c r="M22" s="122" t="str">
        <f>IFERROR(__xludf.DUMMYFUNCTION("""COMPUTED_VALUE"""),"收")</f>
        <v>收</v>
      </c>
      <c r="N22" s="122" t="str">
        <f>IFERROR(__xludf.DUMMYFUNCTION("""COMPUTED_VALUE"""),"改")</f>
        <v>改</v>
      </c>
      <c r="O22" s="122" t="str">
        <f>IFERROR(__xludf.DUMMYFUNCTION("""COMPUTED_VALUE"""),"效")</f>
        <v>效</v>
      </c>
      <c r="P22" s="122" t="str">
        <f>IFERROR(__xludf.DUMMYFUNCTION("""COMPUTED_VALUE"""),"教")</f>
        <v>教</v>
      </c>
      <c r="Q22" s="122" t="str">
        <f>IFERROR(__xludf.DUMMYFUNCTION("""COMPUTED_VALUE"""),"数")</f>
        <v>数</v>
      </c>
      <c r="R22" s="122" t="str">
        <f>IFERROR(__xludf.DUMMYFUNCTION("""COMPUTED_VALUE"""),"整")</f>
        <v>整</v>
      </c>
      <c r="S22" s="122" t="str">
        <f>IFERROR(__xludf.DUMMYFUNCTION("""COMPUTED_VALUE"""),"文")</f>
        <v>文</v>
      </c>
      <c r="T22" s="122" t="str">
        <f>IFERROR(__xludf.DUMMYFUNCTION("""COMPUTED_VALUE"""),"斗")</f>
        <v>斗</v>
      </c>
      <c r="U22" s="122" t="str">
        <f>IFERROR(__xludf.DUMMYFUNCTION("""COMPUTED_VALUE"""),"断")</f>
        <v>断</v>
      </c>
      <c r="V22" s="122" t="str">
        <f>IFERROR(__xludf.DUMMYFUNCTION("""COMPUTED_VALUE"""),"斯")</f>
        <v>斯</v>
      </c>
      <c r="W22" s="122" t="str">
        <f>IFERROR(__xludf.DUMMYFUNCTION("""COMPUTED_VALUE"""),"新")</f>
        <v>新</v>
      </c>
    </row>
    <row r="23">
      <c r="A23" s="95" t="s">
        <v>10583</v>
      </c>
      <c r="D23" s="122" t="str">
        <f>IFERROR(__xludf.DUMMYFUNCTION("""COMPUTED_VALUE"""),"{")</f>
        <v>{</v>
      </c>
      <c r="F23" s="122" t="s">
        <v>5212</v>
      </c>
      <c r="H23" s="122" t="str">
        <f>IFERROR(__xludf.DUMMYFUNCTION("""COMPUTED_VALUE"""),"方")</f>
        <v>方</v>
      </c>
      <c r="I23" s="122" t="str">
        <f>IFERROR(__xludf.DUMMYFUNCTION("""COMPUTED_VALUE"""),"旁")</f>
        <v>旁</v>
      </c>
      <c r="J23" s="122" t="str">
        <f>IFERROR(__xludf.DUMMYFUNCTION("""COMPUTED_VALUE"""),"无")</f>
        <v>无</v>
      </c>
      <c r="K23" s="122" t="str">
        <f>IFERROR(__xludf.DUMMYFUNCTION("""COMPUTED_VALUE"""),"日")</f>
        <v>日</v>
      </c>
      <c r="L23" s="122" t="str">
        <f>IFERROR(__xludf.DUMMYFUNCTION("""COMPUTED_VALUE"""),"旦")</f>
        <v>旦</v>
      </c>
      <c r="M23" s="122" t="str">
        <f>IFERROR(__xludf.DUMMYFUNCTION("""COMPUTED_VALUE"""),"时")</f>
        <v>时</v>
      </c>
      <c r="N23" s="122" t="str">
        <f>IFERROR(__xludf.DUMMYFUNCTION("""COMPUTED_VALUE"""),"明")</f>
        <v>明</v>
      </c>
      <c r="O23" s="122" t="str">
        <f>IFERROR(__xludf.DUMMYFUNCTION("""COMPUTED_VALUE"""),"易")</f>
        <v>易</v>
      </c>
      <c r="P23" s="122" t="str">
        <f>IFERROR(__xludf.DUMMYFUNCTION("""COMPUTED_VALUE"""),"星")</f>
        <v>星</v>
      </c>
      <c r="Q23" s="122" t="str">
        <f>IFERROR(__xludf.DUMMYFUNCTION("""COMPUTED_VALUE"""),"是")</f>
        <v>是</v>
      </c>
      <c r="R23" s="122" t="str">
        <f>IFERROR(__xludf.DUMMYFUNCTION("""COMPUTED_VALUE"""),"显")</f>
        <v>显</v>
      </c>
      <c r="S23" s="122" t="str">
        <f>IFERROR(__xludf.DUMMYFUNCTION("""COMPUTED_VALUE"""),"普")</f>
        <v>普</v>
      </c>
      <c r="T23" s="122" t="str">
        <f>IFERROR(__xludf.DUMMYFUNCTION("""COMPUTED_VALUE"""),"晶")</f>
        <v>晶</v>
      </c>
      <c r="U23" s="122" t="str">
        <f>IFERROR(__xludf.DUMMYFUNCTION("""COMPUTED_VALUE"""),"暂")</f>
        <v>暂</v>
      </c>
      <c r="V23" s="122" t="str">
        <f>IFERROR(__xludf.DUMMYFUNCTION("""COMPUTED_VALUE"""),"暗")</f>
        <v>暗</v>
      </c>
      <c r="W23" s="122" t="str">
        <f>IFERROR(__xludf.DUMMYFUNCTION("""COMPUTED_VALUE"""),"暴")</f>
        <v>暴</v>
      </c>
    </row>
    <row r="24">
      <c r="A24" s="95" t="s">
        <v>10584</v>
      </c>
      <c r="D24" s="122" t="str">
        <f>IFERROR(__xludf.DUMMYFUNCTION("""COMPUTED_VALUE"""),"}")</f>
        <v>}</v>
      </c>
      <c r="F24" s="122" t="s">
        <v>4204</v>
      </c>
      <c r="H24" s="122" t="str">
        <f>IFERROR(__xludf.DUMMYFUNCTION("""COMPUTED_VALUE"""),"更")</f>
        <v>更</v>
      </c>
      <c r="I24" s="122" t="str">
        <f>IFERROR(__xludf.DUMMYFUNCTION("""COMPUTED_VALUE"""),"最")</f>
        <v>最</v>
      </c>
      <c r="J24" s="122" t="str">
        <f>IFERROR(__xludf.DUMMYFUNCTION("""COMPUTED_VALUE"""),"月")</f>
        <v>月</v>
      </c>
      <c r="K24" s="122" t="str">
        <f>IFERROR(__xludf.DUMMYFUNCTION("""COMPUTED_VALUE"""),"有")</f>
        <v>有</v>
      </c>
      <c r="L24" s="122" t="str">
        <f>IFERROR(__xludf.DUMMYFUNCTION("""COMPUTED_VALUE"""),"朋")</f>
        <v>朋</v>
      </c>
      <c r="M24" s="122" t="str">
        <f>IFERROR(__xludf.DUMMYFUNCTION("""COMPUTED_VALUE"""),"朗")</f>
        <v>朗</v>
      </c>
      <c r="N24" s="122" t="str">
        <f>IFERROR(__xludf.DUMMYFUNCTION("""COMPUTED_VALUE"""),"朝")</f>
        <v>朝</v>
      </c>
      <c r="O24" s="122" t="str">
        <f>IFERROR(__xludf.DUMMYFUNCTION("""COMPUTED_VALUE"""),"期")</f>
        <v>期</v>
      </c>
      <c r="P24" s="122" t="str">
        <f>IFERROR(__xludf.DUMMYFUNCTION("""COMPUTED_VALUE"""),"未")</f>
        <v>未</v>
      </c>
      <c r="Q24" s="122" t="str">
        <f>IFERROR(__xludf.DUMMYFUNCTION("""COMPUTED_VALUE"""),"本")</f>
        <v>本</v>
      </c>
      <c r="R24" s="122" t="str">
        <f>IFERROR(__xludf.DUMMYFUNCTION("""COMPUTED_VALUE"""),"术")</f>
        <v>术</v>
      </c>
      <c r="S24" s="122" t="str">
        <f>IFERROR(__xludf.DUMMYFUNCTION("""COMPUTED_VALUE"""),"机")</f>
        <v>机</v>
      </c>
      <c r="T24" s="122" t="str">
        <f>IFERROR(__xludf.DUMMYFUNCTION("""COMPUTED_VALUE"""),"权")</f>
        <v>权</v>
      </c>
      <c r="U24" s="122" t="str">
        <f>IFERROR(__xludf.DUMMYFUNCTION("""COMPUTED_VALUE"""),"束")</f>
        <v>束</v>
      </c>
      <c r="V24" s="122" t="str">
        <f>IFERROR(__xludf.DUMMYFUNCTION("""COMPUTED_VALUE"""),"条")</f>
        <v>条</v>
      </c>
      <c r="W24" s="122" t="str">
        <f>IFERROR(__xludf.DUMMYFUNCTION("""COMPUTED_VALUE"""),"来")</f>
        <v>来</v>
      </c>
    </row>
    <row r="25">
      <c r="A25" s="95" t="s">
        <v>10585</v>
      </c>
      <c r="D25" s="122" t="str">
        <f>IFERROR(__xludf.DUMMYFUNCTION("""COMPUTED_VALUE"""),"《")</f>
        <v>《</v>
      </c>
      <c r="F25" s="122" t="s">
        <v>3142</v>
      </c>
      <c r="H25" s="122" t="str">
        <f>IFERROR(__xludf.DUMMYFUNCTION("""COMPUTED_VALUE"""),"杰")</f>
        <v>杰</v>
      </c>
      <c r="I25" s="122" t="str">
        <f>IFERROR(__xludf.DUMMYFUNCTION("""COMPUTED_VALUE"""),"构")</f>
        <v>构</v>
      </c>
      <c r="J25" s="122" t="str">
        <f>IFERROR(__xludf.DUMMYFUNCTION("""COMPUTED_VALUE"""),"果")</f>
        <v>果</v>
      </c>
      <c r="K25" s="122" t="str">
        <f>IFERROR(__xludf.DUMMYFUNCTION("""COMPUTED_VALUE"""),"柏")</f>
        <v>柏</v>
      </c>
      <c r="L25" s="122" t="str">
        <f>IFERROR(__xludf.DUMMYFUNCTION("""COMPUTED_VALUE"""),"某")</f>
        <v>某</v>
      </c>
      <c r="M25" s="122" t="str">
        <f>IFERROR(__xludf.DUMMYFUNCTION("""COMPUTED_VALUE"""),"标")</f>
        <v>标</v>
      </c>
      <c r="N25" s="122" t="str">
        <f>IFERROR(__xludf.DUMMYFUNCTION("""COMPUTED_VALUE"""),"树")</f>
        <v>树</v>
      </c>
      <c r="O25" s="122" t="str">
        <f>IFERROR(__xludf.DUMMYFUNCTION("""COMPUTED_VALUE"""),"样")</f>
        <v>样</v>
      </c>
      <c r="P25" s="122" t="str">
        <f>IFERROR(__xludf.DUMMYFUNCTION("""COMPUTED_VALUE"""),"桂")</f>
        <v>桂</v>
      </c>
      <c r="Q25" s="122" t="str">
        <f>IFERROR(__xludf.DUMMYFUNCTION("""COMPUTED_VALUE"""),"案")</f>
        <v>案</v>
      </c>
      <c r="R25" s="122" t="str">
        <f>IFERROR(__xludf.DUMMYFUNCTION("""COMPUTED_VALUE"""),"档")</f>
        <v>档</v>
      </c>
      <c r="S25" s="122" t="str">
        <f>IFERROR(__xludf.DUMMYFUNCTION("""COMPUTED_VALUE"""),"桶")</f>
        <v>桶</v>
      </c>
      <c r="T25" s="122" t="str">
        <f>IFERROR(__xludf.DUMMYFUNCTION("""COMPUTED_VALUE"""),"梦")</f>
        <v>梦</v>
      </c>
      <c r="U25" s="122" t="str">
        <f>IFERROR(__xludf.DUMMYFUNCTION("""COMPUTED_VALUE"""),"棉")</f>
        <v>棉</v>
      </c>
      <c r="V25" s="122" t="str">
        <f>IFERROR(__xludf.DUMMYFUNCTION("""COMPUTED_VALUE"""),"棒")</f>
        <v>棒</v>
      </c>
      <c r="W25" s="122" t="str">
        <f>IFERROR(__xludf.DUMMYFUNCTION("""COMPUTED_VALUE"""),"椰")</f>
        <v>椰</v>
      </c>
    </row>
    <row r="26">
      <c r="A26" s="95" t="s">
        <v>10586</v>
      </c>
      <c r="D26" s="122" t="str">
        <f>IFERROR(__xludf.DUMMYFUNCTION("""COMPUTED_VALUE"""),"》")</f>
        <v>》</v>
      </c>
      <c r="F26" s="122" t="s">
        <v>3079</v>
      </c>
      <c r="H26" s="122" t="str">
        <f>IFERROR(__xludf.DUMMYFUNCTION("""COMPUTED_VALUE"""),"概")</f>
        <v>概</v>
      </c>
      <c r="I26" s="122" t="str">
        <f>IFERROR(__xludf.DUMMYFUNCTION("""COMPUTED_VALUE"""),"榛")</f>
        <v>榛</v>
      </c>
      <c r="J26" s="122" t="str">
        <f>IFERROR(__xludf.DUMMYFUNCTION("""COMPUTED_VALUE"""),"模")</f>
        <v>模</v>
      </c>
      <c r="K26" s="122" t="str">
        <f>IFERROR(__xludf.DUMMYFUNCTION("""COMPUTED_VALUE"""),"橙")</f>
        <v>橙</v>
      </c>
      <c r="L26" s="122" t="str">
        <f>IFERROR(__xludf.DUMMYFUNCTION("""COMPUTED_VALUE"""),"次")</f>
        <v>次</v>
      </c>
      <c r="M26" s="122" t="str">
        <f>IFERROR(__xludf.DUMMYFUNCTION("""COMPUTED_VALUE"""),"欢")</f>
        <v>欢</v>
      </c>
      <c r="N26" s="122" t="str">
        <f>IFERROR(__xludf.DUMMYFUNCTION("""COMPUTED_VALUE"""),"款")</f>
        <v>款</v>
      </c>
      <c r="O26" s="122" t="str">
        <f>IFERROR(__xludf.DUMMYFUNCTION("""COMPUTED_VALUE"""),"歉")</f>
        <v>歉</v>
      </c>
      <c r="P26" s="122" t="str">
        <f>IFERROR(__xludf.DUMMYFUNCTION("""COMPUTED_VALUE"""),"止")</f>
        <v>止</v>
      </c>
      <c r="Q26" s="122" t="str">
        <f>IFERROR(__xludf.DUMMYFUNCTION("""COMPUTED_VALUE"""),"正")</f>
        <v>正</v>
      </c>
      <c r="R26" s="122" t="str">
        <f>IFERROR(__xludf.DUMMYFUNCTION("""COMPUTED_VALUE"""),"此")</f>
        <v>此</v>
      </c>
      <c r="S26" s="122" t="str">
        <f>IFERROR(__xludf.DUMMYFUNCTION("""COMPUTED_VALUE"""),"步")</f>
        <v>步</v>
      </c>
      <c r="T26" s="122" t="str">
        <f>IFERROR(__xludf.DUMMYFUNCTION("""COMPUTED_VALUE"""),"段")</f>
        <v>段</v>
      </c>
      <c r="U26" s="122" t="str">
        <f>IFERROR(__xludf.DUMMYFUNCTION("""COMPUTED_VALUE"""),"殿")</f>
        <v>殿</v>
      </c>
      <c r="V26" s="122" t="str">
        <f>IFERROR(__xludf.DUMMYFUNCTION("""COMPUTED_VALUE"""),"母")</f>
        <v>母</v>
      </c>
      <c r="W26" s="122" t="str">
        <f>IFERROR(__xludf.DUMMYFUNCTION("""COMPUTED_VALUE"""),"毒")</f>
        <v>毒</v>
      </c>
    </row>
    <row r="27">
      <c r="A27" s="95" t="s">
        <v>10587</v>
      </c>
      <c r="D27" s="122" t="str">
        <f>IFERROR(__xludf.DUMMYFUNCTION("""COMPUTED_VALUE"""),"▶")</f>
        <v>▶</v>
      </c>
      <c r="F27" s="122" t="s">
        <v>3073</v>
      </c>
      <c r="H27" s="122" t="str">
        <f>IFERROR(__xludf.DUMMYFUNCTION("""COMPUTED_VALUE"""),"比")</f>
        <v>比</v>
      </c>
      <c r="I27" s="122" t="str">
        <f>IFERROR(__xludf.DUMMYFUNCTION("""COMPUTED_VALUE"""),"毕")</f>
        <v>毕</v>
      </c>
      <c r="J27" s="122" t="str">
        <f>IFERROR(__xludf.DUMMYFUNCTION("""COMPUTED_VALUE"""),"毛")</f>
        <v>毛</v>
      </c>
      <c r="K27" s="122" t="str">
        <f>IFERROR(__xludf.DUMMYFUNCTION("""COMPUTED_VALUE"""),"毽")</f>
        <v>毽</v>
      </c>
      <c r="L27" s="122" t="str">
        <f>IFERROR(__xludf.DUMMYFUNCTION("""COMPUTED_VALUE"""),"水")</f>
        <v>水</v>
      </c>
      <c r="M27" s="122" t="str">
        <f>IFERROR(__xludf.DUMMYFUNCTION("""COMPUTED_VALUE"""),"永")</f>
        <v>永</v>
      </c>
      <c r="N27" s="122" t="str">
        <f>IFERROR(__xludf.DUMMYFUNCTION("""COMPUTED_VALUE"""),"求")</f>
        <v>求</v>
      </c>
      <c r="O27" s="122" t="str">
        <f>IFERROR(__xludf.DUMMYFUNCTION("""COMPUTED_VALUE"""),"沙")</f>
        <v>沙</v>
      </c>
      <c r="P27" s="122" t="str">
        <f>IFERROR(__xludf.DUMMYFUNCTION("""COMPUTED_VALUE"""),"没")</f>
        <v>没</v>
      </c>
      <c r="Q27" s="122" t="str">
        <f>IFERROR(__xludf.DUMMYFUNCTION("""COMPUTED_VALUE"""),"沼")</f>
        <v>沼</v>
      </c>
      <c r="R27" s="122" t="str">
        <f>IFERROR(__xludf.DUMMYFUNCTION("""COMPUTED_VALUE"""),"法")</f>
        <v>法</v>
      </c>
      <c r="S27" s="122" t="str">
        <f>IFERROR(__xludf.DUMMYFUNCTION("""COMPUTED_VALUE"""),"波")</f>
        <v>波</v>
      </c>
      <c r="T27" s="122" t="str">
        <f>IFERROR(__xludf.DUMMYFUNCTION("""COMPUTED_VALUE"""),"泥")</f>
        <v>泥</v>
      </c>
      <c r="U27" s="122" t="str">
        <f>IFERROR(__xludf.DUMMYFUNCTION("""COMPUTED_VALUE"""),"注")</f>
        <v>注</v>
      </c>
      <c r="V27" s="122" t="str">
        <f>IFERROR(__xludf.DUMMYFUNCTION("""COMPUTED_VALUE"""),"泰")</f>
        <v>泰</v>
      </c>
      <c r="W27" s="122" t="str">
        <f>IFERROR(__xludf.DUMMYFUNCTION("""COMPUTED_VALUE"""),"泳")</f>
        <v>泳</v>
      </c>
    </row>
    <row r="28">
      <c r="A28" s="95" t="s">
        <v>10588</v>
      </c>
      <c r="D28" s="122" t="str">
        <f>IFERROR(__xludf.DUMMYFUNCTION("""COMPUTED_VALUE"""),"➡")</f>
        <v>➡</v>
      </c>
      <c r="F28" s="122" t="s">
        <v>3244</v>
      </c>
      <c r="H28" s="122" t="str">
        <f>IFERROR(__xludf.DUMMYFUNCTION("""COMPUTED_VALUE"""),"洛")</f>
        <v>洛</v>
      </c>
      <c r="I28" s="122" t="str">
        <f>IFERROR(__xludf.DUMMYFUNCTION("""COMPUTED_VALUE"""),"活")</f>
        <v>活</v>
      </c>
      <c r="J28" s="122" t="str">
        <f>IFERROR(__xludf.DUMMYFUNCTION("""COMPUTED_VALUE"""),"派")</f>
        <v>派</v>
      </c>
      <c r="K28" s="122" t="str">
        <f>IFERROR(__xludf.DUMMYFUNCTION("""COMPUTED_VALUE"""),"测")</f>
        <v>测</v>
      </c>
      <c r="L28" s="122" t="str">
        <f>IFERROR(__xludf.DUMMYFUNCTION("""COMPUTED_VALUE"""),"海")</f>
        <v>海</v>
      </c>
      <c r="M28" s="122" t="str">
        <f>IFERROR(__xludf.DUMMYFUNCTION("""COMPUTED_VALUE"""),"消")</f>
        <v>消</v>
      </c>
      <c r="N28" s="122" t="str">
        <f>IFERROR(__xludf.DUMMYFUNCTION("""COMPUTED_VALUE"""),"温")</f>
        <v>温</v>
      </c>
      <c r="O28" s="122" t="str">
        <f>IFERROR(__xludf.DUMMYFUNCTION("""COMPUTED_VALUE"""),"游")</f>
        <v>游</v>
      </c>
      <c r="P28" s="122" t="str">
        <f>IFERROR(__xludf.DUMMYFUNCTION("""COMPUTED_VALUE"""),"溃")</f>
        <v>溃</v>
      </c>
      <c r="Q28" s="122" t="str">
        <f>IFERROR(__xludf.DUMMYFUNCTION("""COMPUTED_VALUE"""),"源")</f>
        <v>源</v>
      </c>
      <c r="R28" s="122" t="str">
        <f>IFERROR(__xludf.DUMMYFUNCTION("""COMPUTED_VALUE"""),"火")</f>
        <v>火</v>
      </c>
      <c r="S28" s="122" t="str">
        <f>IFERROR(__xludf.DUMMYFUNCTION("""COMPUTED_VALUE"""),"灯")</f>
        <v>灯</v>
      </c>
      <c r="T28" s="122" t="str">
        <f>IFERROR(__xludf.DUMMYFUNCTION("""COMPUTED_VALUE"""),"灵")</f>
        <v>灵</v>
      </c>
      <c r="U28" s="122" t="str">
        <f>IFERROR(__xludf.DUMMYFUNCTION("""COMPUTED_VALUE"""),"炎")</f>
        <v>炎</v>
      </c>
      <c r="V28" s="122" t="str">
        <f>IFERROR(__xludf.DUMMYFUNCTION("""COMPUTED_VALUE"""),"炮")</f>
        <v>炮</v>
      </c>
      <c r="W28" s="122" t="str">
        <f>IFERROR(__xludf.DUMMYFUNCTION("""COMPUTED_VALUE"""),"点")</f>
        <v>点</v>
      </c>
    </row>
    <row r="29">
      <c r="A29" s="95" t="s">
        <v>10589</v>
      </c>
      <c r="D29" s="122" t="str">
        <f>IFERROR(__xludf.DUMMYFUNCTION("""COMPUTED_VALUE"""),"⬅")</f>
        <v>⬅</v>
      </c>
      <c r="F29" s="122" t="s">
        <v>3115</v>
      </c>
      <c r="H29" s="122" t="str">
        <f>IFERROR(__xludf.DUMMYFUNCTION("""COMPUTED_VALUE"""),"烈")</f>
        <v>烈</v>
      </c>
      <c r="I29" s="122" t="str">
        <f>IFERROR(__xludf.DUMMYFUNCTION("""COMPUTED_VALUE"""),"热")</f>
        <v>热</v>
      </c>
      <c r="J29" s="122" t="str">
        <f>IFERROR(__xludf.DUMMYFUNCTION("""COMPUTED_VALUE"""),"焰")</f>
        <v>焰</v>
      </c>
      <c r="K29" s="122" t="str">
        <f>IFERROR(__xludf.DUMMYFUNCTION("""COMPUTED_VALUE"""),"然")</f>
        <v>然</v>
      </c>
      <c r="L29" s="122" t="str">
        <f>IFERROR(__xludf.DUMMYFUNCTION("""COMPUTED_VALUE"""),"熊")</f>
        <v>熊</v>
      </c>
      <c r="M29" s="122" t="str">
        <f>IFERROR(__xludf.DUMMYFUNCTION("""COMPUTED_VALUE"""),"熔")</f>
        <v>熔</v>
      </c>
      <c r="N29" s="122" t="str">
        <f>IFERROR(__xludf.DUMMYFUNCTION("""COMPUTED_VALUE"""),"爱")</f>
        <v>爱</v>
      </c>
      <c r="O29" s="122" t="str">
        <f>IFERROR(__xludf.DUMMYFUNCTION("""COMPUTED_VALUE"""),"版")</f>
        <v>版</v>
      </c>
      <c r="P29" s="122" t="str">
        <f>IFERROR(__xludf.DUMMYFUNCTION("""COMPUTED_VALUE"""),"牙")</f>
        <v>牙</v>
      </c>
      <c r="Q29" s="122" t="str">
        <f>IFERROR(__xludf.DUMMYFUNCTION("""COMPUTED_VALUE"""),"牛")</f>
        <v>牛</v>
      </c>
      <c r="R29" s="122" t="str">
        <f>IFERROR(__xludf.DUMMYFUNCTION("""COMPUTED_VALUE"""),"物")</f>
        <v>物</v>
      </c>
      <c r="S29" s="122" t="str">
        <f>IFERROR(__xludf.DUMMYFUNCTION("""COMPUTED_VALUE"""),"特")</f>
        <v>特</v>
      </c>
      <c r="T29" s="122" t="str">
        <f>IFERROR(__xludf.DUMMYFUNCTION("""COMPUTED_VALUE"""),"犀")</f>
        <v>犀</v>
      </c>
      <c r="U29" s="122" t="str">
        <f>IFERROR(__xludf.DUMMYFUNCTION("""COMPUTED_VALUE"""),"犬")</f>
        <v>犬</v>
      </c>
      <c r="V29" s="122" t="str">
        <f>IFERROR(__xludf.DUMMYFUNCTION("""COMPUTED_VALUE"""),"状")</f>
        <v>状</v>
      </c>
      <c r="W29" s="122" t="str">
        <f>IFERROR(__xludf.DUMMYFUNCTION("""COMPUTED_VALUE"""),"狃")</f>
        <v>狃</v>
      </c>
    </row>
    <row r="30">
      <c r="A30" s="95" t="s">
        <v>10590</v>
      </c>
      <c r="D30" s="122" t="str">
        <f>IFERROR(__xludf.DUMMYFUNCTION("""COMPUTED_VALUE"""),"0")</f>
        <v>0</v>
      </c>
      <c r="F30" s="122" t="s">
        <v>4062</v>
      </c>
      <c r="H30" s="122" t="str">
        <f>IFERROR(__xludf.DUMMYFUNCTION("""COMPUTED_VALUE"""),"狗")</f>
        <v>狗</v>
      </c>
      <c r="I30" s="122" t="str">
        <f>IFERROR(__xludf.DUMMYFUNCTION("""COMPUTED_VALUE"""),"独")</f>
        <v>独</v>
      </c>
      <c r="J30" s="122" t="str">
        <f>IFERROR(__xludf.DUMMYFUNCTION("""COMPUTED_VALUE"""),"狮")</f>
        <v>狮</v>
      </c>
      <c r="K30" s="122" t="str">
        <f>IFERROR(__xludf.DUMMYFUNCTION("""COMPUTED_VALUE"""),"猪")</f>
        <v>猪</v>
      </c>
      <c r="L30" s="122" t="str">
        <f>IFERROR(__xludf.DUMMYFUNCTION("""COMPUTED_VALUE"""),"猫")</f>
        <v>猫</v>
      </c>
      <c r="M30" s="122" t="str">
        <f>IFERROR(__xludf.DUMMYFUNCTION("""COMPUTED_VALUE"""),"猴")</f>
        <v>猴</v>
      </c>
      <c r="N30" s="122" t="str">
        <f>IFERROR(__xludf.DUMMYFUNCTION("""COMPUTED_VALUE"""),"王")</f>
        <v>王</v>
      </c>
      <c r="O30" s="122" t="str">
        <f>IFERROR(__xludf.DUMMYFUNCTION("""COMPUTED_VALUE"""),"玛")</f>
        <v>玛</v>
      </c>
      <c r="P30" s="122" t="str">
        <f>IFERROR(__xludf.DUMMYFUNCTION("""COMPUTED_VALUE"""),"现")</f>
        <v>现</v>
      </c>
      <c r="Q30" s="122" t="str">
        <f>IFERROR(__xludf.DUMMYFUNCTION("""COMPUTED_VALUE"""),"珊")</f>
        <v>珊</v>
      </c>
      <c r="R30" s="122" t="str">
        <f>IFERROR(__xludf.DUMMYFUNCTION("""COMPUTED_VALUE"""),"班")</f>
        <v>班</v>
      </c>
      <c r="S30" s="122" t="str">
        <f>IFERROR(__xludf.DUMMYFUNCTION("""COMPUTED_VALUE"""),"球")</f>
        <v>球</v>
      </c>
      <c r="T30" s="122" t="str">
        <f>IFERROR(__xludf.DUMMYFUNCTION("""COMPUTED_VALUE"""),"理")</f>
        <v>理</v>
      </c>
      <c r="U30" s="122" t="str">
        <f>IFERROR(__xludf.DUMMYFUNCTION("""COMPUTED_VALUE"""),"瑙")</f>
        <v>瑙</v>
      </c>
      <c r="V30" s="122" t="str">
        <f>IFERROR(__xludf.DUMMYFUNCTION("""COMPUTED_VALUE"""),"瑚")</f>
        <v>瑚</v>
      </c>
      <c r="W30" s="122" t="str">
        <f>IFERROR(__xludf.DUMMYFUNCTION("""COMPUTED_VALUE"""),"瓢")</f>
        <v>瓢</v>
      </c>
    </row>
    <row r="31">
      <c r="A31" s="95" t="s">
        <v>10591</v>
      </c>
      <c r="D31" s="122" t="str">
        <f>IFERROR(__xludf.DUMMYFUNCTION("""COMPUTED_VALUE"""),"1")</f>
        <v>1</v>
      </c>
      <c r="F31" s="122" t="s">
        <v>5133</v>
      </c>
      <c r="H31" s="122" t="str">
        <f>IFERROR(__xludf.DUMMYFUNCTION("""COMPUTED_VALUE"""),"瓦")</f>
        <v>瓦</v>
      </c>
      <c r="I31" s="122" t="str">
        <f>IFERROR(__xludf.DUMMYFUNCTION("""COMPUTED_VALUE"""),"甜")</f>
        <v>甜</v>
      </c>
      <c r="J31" s="122" t="str">
        <f>IFERROR(__xludf.DUMMYFUNCTION("""COMPUTED_VALUE"""),"生")</f>
        <v>生</v>
      </c>
      <c r="K31" s="122" t="str">
        <f>IFERROR(__xludf.DUMMYFUNCTION("""COMPUTED_VALUE"""),"用")</f>
        <v>用</v>
      </c>
      <c r="L31" s="122" t="str">
        <f>IFERROR(__xludf.DUMMYFUNCTION("""COMPUTED_VALUE"""),"由")</f>
        <v>由</v>
      </c>
      <c r="M31" s="122" t="str">
        <f>IFERROR(__xludf.DUMMYFUNCTION("""COMPUTED_VALUE"""),"甲")</f>
        <v>甲</v>
      </c>
      <c r="N31" s="122" t="str">
        <f>IFERROR(__xludf.DUMMYFUNCTION("""COMPUTED_VALUE"""),"电")</f>
        <v>电</v>
      </c>
      <c r="O31" s="122" t="str">
        <f>IFERROR(__xludf.DUMMYFUNCTION("""COMPUTED_VALUE"""),"男")</f>
        <v>男</v>
      </c>
      <c r="P31" s="122" t="str">
        <f>IFERROR(__xludf.DUMMYFUNCTION("""COMPUTED_VALUE"""),"界")</f>
        <v>界</v>
      </c>
      <c r="Q31" s="122" t="str">
        <f>IFERROR(__xludf.DUMMYFUNCTION("""COMPUTED_VALUE"""),"畏")</f>
        <v>畏</v>
      </c>
      <c r="R31" s="122" t="str">
        <f>IFERROR(__xludf.DUMMYFUNCTION("""COMPUTED_VALUE"""),"白")</f>
        <v>白</v>
      </c>
      <c r="S31" s="122" t="str">
        <f>IFERROR(__xludf.DUMMYFUNCTION("""COMPUTED_VALUE"""),"百")</f>
        <v>百</v>
      </c>
      <c r="T31" s="122" t="str">
        <f>IFERROR(__xludf.DUMMYFUNCTION("""COMPUTED_VALUE"""),"的")</f>
        <v>的</v>
      </c>
      <c r="U31" s="122" t="str">
        <f>IFERROR(__xludf.DUMMYFUNCTION("""COMPUTED_VALUE"""),"皇")</f>
        <v>皇</v>
      </c>
      <c r="V31" s="122" t="str">
        <f>IFERROR(__xludf.DUMMYFUNCTION("""COMPUTED_VALUE"""),"皮")</f>
        <v>皮</v>
      </c>
      <c r="W31" s="122" t="str">
        <f>IFERROR(__xludf.DUMMYFUNCTION("""COMPUTED_VALUE"""),"盒")</f>
        <v>盒</v>
      </c>
    </row>
    <row r="32">
      <c r="A32" s="95" t="s">
        <v>10592</v>
      </c>
      <c r="D32" s="122" t="str">
        <f>IFERROR(__xludf.DUMMYFUNCTION("""COMPUTED_VALUE"""),"2")</f>
        <v>2</v>
      </c>
      <c r="F32" s="122" t="s">
        <v>3359</v>
      </c>
      <c r="H32" s="122" t="str">
        <f>IFERROR(__xludf.DUMMYFUNCTION("""COMPUTED_VALUE"""),"盔")</f>
        <v>盔</v>
      </c>
      <c r="I32" s="122" t="str">
        <f>IFERROR(__xludf.DUMMYFUNCTION("""COMPUTED_VALUE"""),"盖")</f>
        <v>盖</v>
      </c>
      <c r="J32" s="122" t="str">
        <f>IFERROR(__xludf.DUMMYFUNCTION("""COMPUTED_VALUE"""),"目")</f>
        <v>目</v>
      </c>
      <c r="K32" s="122" t="str">
        <f>IFERROR(__xludf.DUMMYFUNCTION("""COMPUTED_VALUE"""),"相")</f>
        <v>相</v>
      </c>
      <c r="L32" s="122" t="str">
        <f>IFERROR(__xludf.DUMMYFUNCTION("""COMPUTED_VALUE"""),"看")</f>
        <v>看</v>
      </c>
      <c r="M32" s="122" t="str">
        <f>IFERROR(__xludf.DUMMYFUNCTION("""COMPUTED_VALUE"""),"真")</f>
        <v>真</v>
      </c>
      <c r="N32" s="122" t="str">
        <f>IFERROR(__xludf.DUMMYFUNCTION("""COMPUTED_VALUE"""),"眠")</f>
        <v>眠</v>
      </c>
      <c r="O32" s="122" t="str">
        <f>IFERROR(__xludf.DUMMYFUNCTION("""COMPUTED_VALUE"""),"着")</f>
        <v>着</v>
      </c>
      <c r="P32" s="122" t="str">
        <f>IFERROR(__xludf.DUMMYFUNCTION("""COMPUTED_VALUE"""),"知")</f>
        <v>知</v>
      </c>
      <c r="Q32" s="122" t="str">
        <f>IFERROR(__xludf.DUMMYFUNCTION("""COMPUTED_VALUE"""),"石")</f>
        <v>石</v>
      </c>
      <c r="R32" s="122" t="str">
        <f>IFERROR(__xludf.DUMMYFUNCTION("""COMPUTED_VALUE"""),"码")</f>
        <v>码</v>
      </c>
      <c r="S32" s="122" t="str">
        <f>IFERROR(__xludf.DUMMYFUNCTION("""COMPUTED_VALUE"""),"研")</f>
        <v>研</v>
      </c>
      <c r="T32" s="122" t="str">
        <f>IFERROR(__xludf.DUMMYFUNCTION("""COMPUTED_VALUE"""),"破")</f>
        <v>破</v>
      </c>
      <c r="U32" s="122" t="str">
        <f>IFERROR(__xludf.DUMMYFUNCTION("""COMPUTED_VALUE"""),"确")</f>
        <v>确</v>
      </c>
      <c r="V32" s="122" t="str">
        <f>IFERROR(__xludf.DUMMYFUNCTION("""COMPUTED_VALUE"""),"磁")</f>
        <v>磁</v>
      </c>
      <c r="W32" s="122" t="str">
        <f>IFERROR(__xludf.DUMMYFUNCTION("""COMPUTED_VALUE"""),"示")</f>
        <v>示</v>
      </c>
    </row>
    <row r="33">
      <c r="A33" s="95" t="s">
        <v>10593</v>
      </c>
      <c r="D33" s="122" t="str">
        <f>IFERROR(__xludf.DUMMYFUNCTION("""COMPUTED_VALUE"""),"２")</f>
        <v>２</v>
      </c>
      <c r="F33" s="122" t="s">
        <v>3876</v>
      </c>
      <c r="H33" s="122" t="str">
        <f>IFERROR(__xludf.DUMMYFUNCTION("""COMPUTED_VALUE"""),"礼")</f>
        <v>礼</v>
      </c>
      <c r="I33" s="122" t="str">
        <f>IFERROR(__xludf.DUMMYFUNCTION("""COMPUTED_VALUE"""),"社")</f>
        <v>社</v>
      </c>
      <c r="J33" s="122" t="str">
        <f>IFERROR(__xludf.DUMMYFUNCTION("""COMPUTED_VALUE"""),"祝")</f>
        <v>祝</v>
      </c>
      <c r="K33" s="122" t="str">
        <f>IFERROR(__xludf.DUMMYFUNCTION("""COMPUTED_VALUE"""),"神")</f>
        <v>神</v>
      </c>
      <c r="L33" s="122" t="str">
        <f>IFERROR(__xludf.DUMMYFUNCTION("""COMPUTED_VALUE"""),"福")</f>
        <v>福</v>
      </c>
      <c r="M33" s="122" t="str">
        <f>IFERROR(__xludf.DUMMYFUNCTION("""COMPUTED_VALUE"""),"种")</f>
        <v>种</v>
      </c>
      <c r="N33" s="122" t="str">
        <f>IFERROR(__xludf.DUMMYFUNCTION("""COMPUTED_VALUE"""),"科")</f>
        <v>科</v>
      </c>
      <c r="O33" s="122" t="str">
        <f>IFERROR(__xludf.DUMMYFUNCTION("""COMPUTED_VALUE"""),"秘")</f>
        <v>秘</v>
      </c>
      <c r="P33" s="122" t="str">
        <f>IFERROR(__xludf.DUMMYFUNCTION("""COMPUTED_VALUE"""),"称")</f>
        <v>称</v>
      </c>
      <c r="Q33" s="122" t="str">
        <f>IFERROR(__xludf.DUMMYFUNCTION("""COMPUTED_VALUE"""),"移")</f>
        <v>移</v>
      </c>
      <c r="R33" s="122" t="str">
        <f>IFERROR(__xludf.DUMMYFUNCTION("""COMPUTED_VALUE"""),"稀")</f>
        <v>稀</v>
      </c>
      <c r="S33" s="122" t="str">
        <f>IFERROR(__xludf.DUMMYFUNCTION("""COMPUTED_VALUE"""),"程")</f>
        <v>程</v>
      </c>
      <c r="T33" s="122" t="str">
        <f>IFERROR(__xludf.DUMMYFUNCTION("""COMPUTED_VALUE"""),"稍")</f>
        <v>稍</v>
      </c>
      <c r="U33" s="122" t="str">
        <f>IFERROR(__xludf.DUMMYFUNCTION("""COMPUTED_VALUE"""),"稳")</f>
        <v>稳</v>
      </c>
      <c r="V33" s="122" t="str">
        <f>IFERROR(__xludf.DUMMYFUNCTION("""COMPUTED_VALUE"""),"究")</f>
        <v>究</v>
      </c>
      <c r="W33" s="122" t="str">
        <f>IFERROR(__xludf.DUMMYFUNCTION("""COMPUTED_VALUE"""),"空")</f>
        <v>空</v>
      </c>
    </row>
    <row r="34">
      <c r="A34" s="95" t="s">
        <v>10594</v>
      </c>
      <c r="D34" s="122" t="str">
        <f>IFERROR(__xludf.DUMMYFUNCTION("""COMPUTED_VALUE"""),"3")</f>
        <v>3</v>
      </c>
      <c r="F34" s="122" t="s">
        <v>4133</v>
      </c>
      <c r="H34" s="122" t="str">
        <f>IFERROR(__xludf.DUMMYFUNCTION("""COMPUTED_VALUE"""),"穿")</f>
        <v>穿</v>
      </c>
      <c r="I34" s="122" t="str">
        <f>IFERROR(__xludf.DUMMYFUNCTION("""COMPUTED_VALUE"""),"突")</f>
        <v>突</v>
      </c>
      <c r="J34" s="122" t="str">
        <f>IFERROR(__xludf.DUMMYFUNCTION("""COMPUTED_VALUE"""),"立")</f>
        <v>立</v>
      </c>
      <c r="K34" s="122" t="str">
        <f>IFERROR(__xludf.DUMMYFUNCTION("""COMPUTED_VALUE"""),"竟")</f>
        <v>竟</v>
      </c>
      <c r="L34" s="122" t="str">
        <f>IFERROR(__xludf.DUMMYFUNCTION("""COMPUTED_VALUE"""),"章")</f>
        <v>章</v>
      </c>
      <c r="M34" s="122" t="str">
        <f>IFERROR(__xludf.DUMMYFUNCTION("""COMPUTED_VALUE"""),"竺")</f>
        <v>竺</v>
      </c>
      <c r="N34" s="122" t="str">
        <f>IFERROR(__xludf.DUMMYFUNCTION("""COMPUTED_VALUE"""),"符")</f>
        <v>符</v>
      </c>
      <c r="O34" s="122" t="str">
        <f>IFERROR(__xludf.DUMMYFUNCTION("""COMPUTED_VALUE"""),"第")</f>
        <v>第</v>
      </c>
      <c r="P34" s="122" t="str">
        <f>IFERROR(__xludf.DUMMYFUNCTION("""COMPUTED_VALUE"""),"笼")</f>
        <v>笼</v>
      </c>
      <c r="Q34" s="122" t="str">
        <f>IFERROR(__xludf.DUMMYFUNCTION("""COMPUTED_VALUE"""),"等")</f>
        <v>等</v>
      </c>
      <c r="R34" s="122" t="str">
        <f>IFERROR(__xludf.DUMMYFUNCTION("""COMPUTED_VALUE"""),"简")</f>
        <v>简</v>
      </c>
      <c r="S34" s="122" t="str">
        <f>IFERROR(__xludf.DUMMYFUNCTION("""COMPUTED_VALUE"""),"箭")</f>
        <v>箭</v>
      </c>
      <c r="T34" s="122" t="str">
        <f>IFERROR(__xludf.DUMMYFUNCTION("""COMPUTED_VALUE"""),"箱")</f>
        <v>箱</v>
      </c>
      <c r="U34" s="122" t="str">
        <f>IFERROR(__xludf.DUMMYFUNCTION("""COMPUTED_VALUE"""),"精")</f>
        <v>精</v>
      </c>
      <c r="V34" s="122" t="str">
        <f>IFERROR(__xludf.DUMMYFUNCTION("""COMPUTED_VALUE"""),"系")</f>
        <v>系</v>
      </c>
      <c r="W34" s="122" t="str">
        <f>IFERROR(__xludf.DUMMYFUNCTION("""COMPUTED_VALUE"""),"素")</f>
        <v>素</v>
      </c>
    </row>
    <row r="35">
      <c r="A35" s="95" t="s">
        <v>10595</v>
      </c>
      <c r="D35" s="122" t="str">
        <f>IFERROR(__xludf.DUMMYFUNCTION("""COMPUTED_VALUE"""),"4")</f>
        <v>4</v>
      </c>
      <c r="F35" s="122" t="s">
        <v>3072</v>
      </c>
      <c r="H35" s="122" t="str">
        <f>IFERROR(__xludf.DUMMYFUNCTION("""COMPUTED_VALUE"""),"红")</f>
        <v>红</v>
      </c>
      <c r="I35" s="122" t="str">
        <f>IFERROR(__xludf.DUMMYFUNCTION("""COMPUTED_VALUE"""),"线")</f>
        <v>线</v>
      </c>
      <c r="J35" s="122" t="str">
        <f>IFERROR(__xludf.DUMMYFUNCTION("""COMPUTED_VALUE"""),"练")</f>
        <v>练</v>
      </c>
      <c r="K35" s="122" t="str">
        <f>IFERROR(__xludf.DUMMYFUNCTION("""COMPUTED_VALUE"""),"组")</f>
        <v>组</v>
      </c>
      <c r="L35" s="122" t="str">
        <f>IFERROR(__xludf.DUMMYFUNCTION("""COMPUTED_VALUE"""),"终")</f>
        <v>终</v>
      </c>
      <c r="M35" s="122" t="str">
        <f>IFERROR(__xludf.DUMMYFUNCTION("""COMPUTED_VALUE"""),"经")</f>
        <v>经</v>
      </c>
      <c r="N35" s="122" t="str">
        <f>IFERROR(__xludf.DUMMYFUNCTION("""COMPUTED_VALUE"""),"结")</f>
        <v>结</v>
      </c>
      <c r="O35" s="122" t="str">
        <f>IFERROR(__xludf.DUMMYFUNCTION("""COMPUTED_VALUE"""),"给")</f>
        <v>给</v>
      </c>
      <c r="P35" s="122" t="str">
        <f>IFERROR(__xludf.DUMMYFUNCTION("""COMPUTED_VALUE"""),"绝")</f>
        <v>绝</v>
      </c>
      <c r="Q35" s="122" t="str">
        <f>IFERROR(__xludf.DUMMYFUNCTION("""COMPUTED_VALUE"""),"统")</f>
        <v>统</v>
      </c>
      <c r="R35" s="122" t="str">
        <f>IFERROR(__xludf.DUMMYFUNCTION("""COMPUTED_VALUE"""),"继")</f>
        <v>继</v>
      </c>
      <c r="S35" s="122" t="str">
        <f>IFERROR(__xludf.DUMMYFUNCTION("""COMPUTED_VALUE"""),"绪")</f>
        <v>绪</v>
      </c>
      <c r="T35" s="122" t="str">
        <f>IFERROR(__xludf.DUMMYFUNCTION("""COMPUTED_VALUE"""),"续")</f>
        <v>续</v>
      </c>
      <c r="U35" s="122" t="str">
        <f>IFERROR(__xludf.DUMMYFUNCTION("""COMPUTED_VALUE"""),"绿")</f>
        <v>绿</v>
      </c>
      <c r="V35" s="122" t="str">
        <f>IFERROR(__xludf.DUMMYFUNCTION("""COMPUTED_VALUE"""),"缆")</f>
        <v>缆</v>
      </c>
      <c r="W35" s="122" t="str">
        <f>IFERROR(__xludf.DUMMYFUNCTION("""COMPUTED_VALUE"""),"编")</f>
        <v>编</v>
      </c>
    </row>
    <row r="36">
      <c r="A36" s="26" t="s">
        <v>586</v>
      </c>
      <c r="D36" s="122" t="str">
        <f>IFERROR(__xludf.DUMMYFUNCTION("""COMPUTED_VALUE"""),"5")</f>
        <v>5</v>
      </c>
      <c r="F36" s="122" t="s">
        <v>3183</v>
      </c>
      <c r="H36" s="122" t="str">
        <f>IFERROR(__xludf.DUMMYFUNCTION("""COMPUTED_VALUE"""),"缺")</f>
        <v>缺</v>
      </c>
      <c r="I36" s="122" t="str">
        <f>IFERROR(__xludf.DUMMYFUNCTION("""COMPUTED_VALUE"""),"罐")</f>
        <v>罐</v>
      </c>
      <c r="J36" s="122" t="str">
        <f>IFERROR(__xludf.DUMMYFUNCTION("""COMPUTED_VALUE"""),"罗")</f>
        <v>罗</v>
      </c>
      <c r="K36" s="122" t="str">
        <f>IFERROR(__xludf.DUMMYFUNCTION("""COMPUTED_VALUE"""),"羊")</f>
        <v>羊</v>
      </c>
      <c r="L36" s="122" t="str">
        <f>IFERROR(__xludf.DUMMYFUNCTION("""COMPUTED_VALUE"""),"美")</f>
        <v>美</v>
      </c>
      <c r="M36" s="122" t="str">
        <f>IFERROR(__xludf.DUMMYFUNCTION("""COMPUTED_VALUE"""),"翁")</f>
        <v>翁</v>
      </c>
      <c r="N36" s="122" t="str">
        <f>IFERROR(__xludf.DUMMYFUNCTION("""COMPUTED_VALUE"""),"翅")</f>
        <v>翅</v>
      </c>
      <c r="O36" s="122" t="str">
        <f>IFERROR(__xludf.DUMMYFUNCTION("""COMPUTED_VALUE"""),"翼")</f>
        <v>翼</v>
      </c>
      <c r="P36" s="122" t="str">
        <f>IFERROR(__xludf.DUMMYFUNCTION("""COMPUTED_VALUE"""),"老")</f>
        <v>老</v>
      </c>
      <c r="Q36" s="122" t="str">
        <f>IFERROR(__xludf.DUMMYFUNCTION("""COMPUTED_VALUE"""),"者")</f>
        <v>者</v>
      </c>
      <c r="R36" s="122" t="str">
        <f>IFERROR(__xludf.DUMMYFUNCTION("""COMPUTED_VALUE"""),"而")</f>
        <v>而</v>
      </c>
      <c r="S36" s="122" t="str">
        <f>IFERROR(__xludf.DUMMYFUNCTION("""COMPUTED_VALUE"""),"耿")</f>
        <v>耿</v>
      </c>
      <c r="T36" s="122" t="str">
        <f>IFERROR(__xludf.DUMMYFUNCTION("""COMPUTED_VALUE"""),"肯")</f>
        <v>肯</v>
      </c>
      <c r="U36" s="122" t="str">
        <f>IFERROR(__xludf.DUMMYFUNCTION("""COMPUTED_VALUE"""),"胖")</f>
        <v>胖</v>
      </c>
      <c r="V36" s="122" t="str">
        <f>IFERROR(__xludf.DUMMYFUNCTION("""COMPUTED_VALUE"""),"胡")</f>
        <v>胡</v>
      </c>
      <c r="W36" s="122" t="str">
        <f>IFERROR(__xludf.DUMMYFUNCTION("""COMPUTED_VALUE"""),"能")</f>
        <v>能</v>
      </c>
    </row>
    <row r="37">
      <c r="A37" s="26" t="s">
        <v>597</v>
      </c>
      <c r="D37" s="122" t="str">
        <f>IFERROR(__xludf.DUMMYFUNCTION("""COMPUTED_VALUE"""),"6")</f>
        <v>6</v>
      </c>
      <c r="F37" s="122" t="s">
        <v>4858</v>
      </c>
      <c r="H37" s="122" t="str">
        <f>IFERROR(__xludf.DUMMYFUNCTION("""COMPUTED_VALUE"""),"脑")</f>
        <v>脑</v>
      </c>
      <c r="I37" s="122" t="str">
        <f>IFERROR(__xludf.DUMMYFUNCTION("""COMPUTED_VALUE"""),"腕")</f>
        <v>腕</v>
      </c>
      <c r="J37" s="122" t="str">
        <f>IFERROR(__xludf.DUMMYFUNCTION("""COMPUTED_VALUE"""),"腾")</f>
        <v>腾</v>
      </c>
      <c r="K37" s="122" t="str">
        <f>IFERROR(__xludf.DUMMYFUNCTION("""COMPUTED_VALUE"""),"腿")</f>
        <v>腿</v>
      </c>
      <c r="L37" s="122" t="str">
        <f>IFERROR(__xludf.DUMMYFUNCTION("""COMPUTED_VALUE"""),"自")</f>
        <v>自</v>
      </c>
      <c r="M37" s="122" t="str">
        <f>IFERROR(__xludf.DUMMYFUNCTION("""COMPUTED_VALUE"""),"臭")</f>
        <v>臭</v>
      </c>
      <c r="N37" s="122" t="str">
        <f>IFERROR(__xludf.DUMMYFUNCTION("""COMPUTED_VALUE"""),"至")</f>
        <v>至</v>
      </c>
      <c r="O37" s="122" t="str">
        <f>IFERROR(__xludf.DUMMYFUNCTION("""COMPUTED_VALUE"""),"舌")</f>
        <v>舌</v>
      </c>
      <c r="P37" s="122" t="str">
        <f>IFERROR(__xludf.DUMMYFUNCTION("""COMPUTED_VALUE"""),"舞")</f>
        <v>舞</v>
      </c>
      <c r="Q37" s="122" t="str">
        <f>IFERROR(__xludf.DUMMYFUNCTION("""COMPUTED_VALUE"""),"艺")</f>
        <v>艺</v>
      </c>
      <c r="R37" s="122" t="str">
        <f>IFERROR(__xludf.DUMMYFUNCTION("""COMPUTED_VALUE"""),"芭")</f>
        <v>芭</v>
      </c>
      <c r="S37" s="122" t="str">
        <f>IFERROR(__xludf.DUMMYFUNCTION("""COMPUTED_VALUE"""),"花")</f>
        <v>花</v>
      </c>
      <c r="T37" s="122" t="str">
        <f>IFERROR(__xludf.DUMMYFUNCTION("""COMPUTED_VALUE"""),"芽")</f>
        <v>芽</v>
      </c>
      <c r="U37" s="122" t="str">
        <f>IFERROR(__xludf.DUMMYFUNCTION("""COMPUTED_VALUE"""),"若")</f>
        <v>若</v>
      </c>
      <c r="V37" s="122" t="str">
        <f>IFERROR(__xludf.DUMMYFUNCTION("""COMPUTED_VALUE"""),"英")</f>
        <v>英</v>
      </c>
      <c r="W37" s="122" t="str">
        <f>IFERROR(__xludf.DUMMYFUNCTION("""COMPUTED_VALUE"""),"茸")</f>
        <v>茸</v>
      </c>
    </row>
    <row r="38">
      <c r="A38" s="26" t="s">
        <v>608</v>
      </c>
      <c r="D38" s="122" t="str">
        <f>IFERROR(__xludf.DUMMYFUNCTION("""COMPUTED_VALUE"""),"8")</f>
        <v>8</v>
      </c>
      <c r="F38" s="122" t="s">
        <v>4502</v>
      </c>
      <c r="H38" s="122" t="str">
        <f>IFERROR(__xludf.DUMMYFUNCTION("""COMPUTED_VALUE"""),"草")</f>
        <v>草</v>
      </c>
      <c r="I38" s="122" t="str">
        <f>IFERROR(__xludf.DUMMYFUNCTION("""COMPUTED_VALUE"""),"荷")</f>
        <v>荷</v>
      </c>
      <c r="J38" s="122" t="str">
        <f>IFERROR(__xludf.DUMMYFUNCTION("""COMPUTED_VALUE"""),"获")</f>
        <v>获</v>
      </c>
      <c r="K38" s="122" t="str">
        <f>IFERROR(__xludf.DUMMYFUNCTION("""COMPUTED_VALUE"""),"菊")</f>
        <v>菊</v>
      </c>
      <c r="L38" s="122" t="str">
        <f>IFERROR(__xludf.DUMMYFUNCTION("""COMPUTED_VALUE"""),"菰")</f>
        <v>菰</v>
      </c>
      <c r="M38" s="122" t="str">
        <f>IFERROR(__xludf.DUMMYFUNCTION("""COMPUTED_VALUE"""),"萄")</f>
        <v>萄</v>
      </c>
      <c r="N38" s="122" t="str">
        <f>IFERROR(__xludf.DUMMYFUNCTION("""COMPUTED_VALUE"""),"营")</f>
        <v>营</v>
      </c>
      <c r="O38" s="122" t="str">
        <f>IFERROR(__xludf.DUMMYFUNCTION("""COMPUTED_VALUE"""),"葡")</f>
        <v>葡</v>
      </c>
      <c r="P38" s="122" t="str">
        <f>IFERROR(__xludf.DUMMYFUNCTION("""COMPUTED_VALUE"""),"葱")</f>
        <v>葱</v>
      </c>
      <c r="Q38" s="122" t="str">
        <f>IFERROR(__xludf.DUMMYFUNCTION("""COMPUTED_VALUE"""),"葵")</f>
        <v>葵</v>
      </c>
      <c r="R38" s="122" t="str">
        <f>IFERROR(__xludf.DUMMYFUNCTION("""COMPUTED_VALUE"""),"蒂")</f>
        <v>蒂</v>
      </c>
      <c r="S38" s="122" t="str">
        <f>IFERROR(__xludf.DUMMYFUNCTION("""COMPUTED_VALUE"""),"蓝")</f>
        <v>蓝</v>
      </c>
      <c r="T38" s="122" t="str">
        <f>IFERROR(__xludf.DUMMYFUNCTION("""COMPUTED_VALUE"""),"蔓")</f>
        <v>蔓</v>
      </c>
      <c r="U38" s="122" t="str">
        <f>IFERROR(__xludf.DUMMYFUNCTION("""COMPUTED_VALUE"""),"藤")</f>
        <v>藤</v>
      </c>
      <c r="V38" s="122" t="str">
        <f>IFERROR(__xludf.DUMMYFUNCTION("""COMPUTED_VALUE"""),"虚")</f>
        <v>虚</v>
      </c>
      <c r="W38" s="122" t="str">
        <f>IFERROR(__xludf.DUMMYFUNCTION("""COMPUTED_VALUE"""),"虫")</f>
        <v>虫</v>
      </c>
    </row>
    <row r="39">
      <c r="A39" s="26" t="s">
        <v>619</v>
      </c>
      <c r="D39" s="122" t="str">
        <f>IFERROR(__xludf.DUMMYFUNCTION("""COMPUTED_VALUE"""),"9")</f>
        <v>9</v>
      </c>
      <c r="F39" s="122" t="s">
        <v>3358</v>
      </c>
      <c r="H39" s="122" t="str">
        <f>IFERROR(__xludf.DUMMYFUNCTION("""COMPUTED_VALUE"""),"虽")</f>
        <v>虽</v>
      </c>
      <c r="I39" s="122" t="str">
        <f>IFERROR(__xludf.DUMMYFUNCTION("""COMPUTED_VALUE"""),"蚊")</f>
        <v>蚊</v>
      </c>
      <c r="J39" s="122" t="str">
        <f>IFERROR(__xludf.DUMMYFUNCTION("""COMPUTED_VALUE"""),"蚪")</f>
        <v>蚪</v>
      </c>
      <c r="K39" s="122" t="str">
        <f>IFERROR(__xludf.DUMMYFUNCTION("""COMPUTED_VALUE"""),"蛇")</f>
        <v>蛇</v>
      </c>
      <c r="L39" s="122" t="str">
        <f>IFERROR(__xludf.DUMMYFUNCTION("""COMPUTED_VALUE"""),"蛋")</f>
        <v>蛋</v>
      </c>
      <c r="M39" s="122" t="str">
        <f>IFERROR(__xludf.DUMMYFUNCTION("""COMPUTED_VALUE"""),"蛙")</f>
        <v>蛙</v>
      </c>
      <c r="N39" s="122" t="str">
        <f>IFERROR(__xludf.DUMMYFUNCTION("""COMPUTED_VALUE"""),"蛛")</f>
        <v>蛛</v>
      </c>
      <c r="O39" s="122" t="str">
        <f>IFERROR(__xludf.DUMMYFUNCTION("""COMPUTED_VALUE"""),"蛹")</f>
        <v>蛹</v>
      </c>
      <c r="P39" s="122" t="str">
        <f>IFERROR(__xludf.DUMMYFUNCTION("""COMPUTED_VALUE"""),"蛾")</f>
        <v>蛾</v>
      </c>
      <c r="Q39" s="122" t="str">
        <f>IFERROR(__xludf.DUMMYFUNCTION("""COMPUTED_VALUE"""),"蜂")</f>
        <v>蜂</v>
      </c>
      <c r="R39" s="122" t="str">
        <f>IFERROR(__xludf.DUMMYFUNCTION("""COMPUTED_VALUE"""),"蜓")</f>
        <v>蜓</v>
      </c>
      <c r="S39" s="122" t="str">
        <f>IFERROR(__xludf.DUMMYFUNCTION("""COMPUTED_VALUE"""),"蜗")</f>
        <v>蜗</v>
      </c>
      <c r="T39" s="122" t="str">
        <f>IFERROR(__xludf.DUMMYFUNCTION("""COMPUTED_VALUE"""),"蜻")</f>
        <v>蜻</v>
      </c>
      <c r="U39" s="122" t="str">
        <f>IFERROR(__xludf.DUMMYFUNCTION("""COMPUTED_VALUE"""),"蝌")</f>
        <v>蝌</v>
      </c>
      <c r="V39" s="122" t="str">
        <f>IFERROR(__xludf.DUMMYFUNCTION("""COMPUTED_VALUE"""),"蝎")</f>
        <v>蝎</v>
      </c>
      <c r="W39" s="122" t="str">
        <f>IFERROR(__xludf.DUMMYFUNCTION("""COMPUTED_VALUE"""),"蝠")</f>
        <v>蝠</v>
      </c>
    </row>
    <row r="40">
      <c r="A40" s="29" t="s">
        <v>630</v>
      </c>
      <c r="D40" s="122" t="str">
        <f>IFERROR(__xludf.DUMMYFUNCTION("""COMPUTED_VALUE"""),"A")</f>
        <v>A</v>
      </c>
      <c r="F40" s="122" t="s">
        <v>3146</v>
      </c>
      <c r="H40" s="122" t="str">
        <f>IFERROR(__xludf.DUMMYFUNCTION("""COMPUTED_VALUE"""),"蝶")</f>
        <v>蝶</v>
      </c>
      <c r="I40" s="122" t="str">
        <f>IFERROR(__xludf.DUMMYFUNCTION("""COMPUTED_VALUE"""),"螂")</f>
        <v>螂</v>
      </c>
      <c r="J40" s="122" t="str">
        <f>IFERROR(__xludf.DUMMYFUNCTION("""COMPUTED_VALUE"""),"螳")</f>
        <v>螳</v>
      </c>
      <c r="K40" s="122" t="str">
        <f>IFERROR(__xludf.DUMMYFUNCTION("""COMPUTED_VALUE"""),"蟹")</f>
        <v>蟹</v>
      </c>
      <c r="L40" s="122" t="str">
        <f>IFERROR(__xludf.DUMMYFUNCTION("""COMPUTED_VALUE"""),"行")</f>
        <v>行</v>
      </c>
      <c r="M40" s="122" t="str">
        <f>IFERROR(__xludf.DUMMYFUNCTION("""COMPUTED_VALUE"""),"袋")</f>
        <v>袋</v>
      </c>
      <c r="N40" s="122" t="str">
        <f>IFERROR(__xludf.DUMMYFUNCTION("""COMPUTED_VALUE"""),"被")</f>
        <v>被</v>
      </c>
      <c r="O40" s="122" t="str">
        <f>IFERROR(__xludf.DUMMYFUNCTION("""COMPUTED_VALUE"""),"西")</f>
        <v>西</v>
      </c>
      <c r="P40" s="122" t="str">
        <f>IFERROR(__xludf.DUMMYFUNCTION("""COMPUTED_VALUE"""),"要")</f>
        <v>要</v>
      </c>
      <c r="Q40" s="122" t="str">
        <f>IFERROR(__xludf.DUMMYFUNCTION("""COMPUTED_VALUE"""),"覆")</f>
        <v>覆</v>
      </c>
      <c r="R40" s="122" t="str">
        <f>IFERROR(__xludf.DUMMYFUNCTION("""COMPUTED_VALUE"""),"见")</f>
        <v>见</v>
      </c>
      <c r="S40" s="122" t="str">
        <f>IFERROR(__xludf.DUMMYFUNCTION("""COMPUTED_VALUE"""),"角")</f>
        <v>角</v>
      </c>
      <c r="T40" s="122" t="str">
        <f>IFERROR(__xludf.DUMMYFUNCTION("""COMPUTED_VALUE"""),"言")</f>
        <v>言</v>
      </c>
      <c r="U40" s="122" t="str">
        <f>IFERROR(__xludf.DUMMYFUNCTION("""COMPUTED_VALUE"""),"认")</f>
        <v>认</v>
      </c>
      <c r="V40" s="122" t="str">
        <f>IFERROR(__xludf.DUMMYFUNCTION("""COMPUTED_VALUE"""),"让")</f>
        <v>让</v>
      </c>
      <c r="W40" s="122" t="str">
        <f>IFERROR(__xludf.DUMMYFUNCTION("""COMPUTED_VALUE"""),"训")</f>
        <v>训</v>
      </c>
    </row>
    <row r="41">
      <c r="A41" s="29" t="s">
        <v>640</v>
      </c>
      <c r="D41" s="122" t="str">
        <f>IFERROR(__xludf.DUMMYFUNCTION("""COMPUTED_VALUE"""),"a")</f>
        <v>a</v>
      </c>
      <c r="F41" s="122" t="s">
        <v>4459</v>
      </c>
      <c r="H41" s="122" t="str">
        <f>IFERROR(__xludf.DUMMYFUNCTION("""COMPUTED_VALUE"""),"议")</f>
        <v>议</v>
      </c>
      <c r="I41" s="122" t="str">
        <f>IFERROR(__xludf.DUMMYFUNCTION("""COMPUTED_VALUE"""),"设")</f>
        <v>设</v>
      </c>
      <c r="J41" s="122" t="str">
        <f>IFERROR(__xludf.DUMMYFUNCTION("""COMPUTED_VALUE"""),"证")</f>
        <v>证</v>
      </c>
      <c r="K41" s="122" t="str">
        <f>IFERROR(__xludf.DUMMYFUNCTION("""COMPUTED_VALUE"""),"诉")</f>
        <v>诉</v>
      </c>
      <c r="L41" s="122" t="str">
        <f>IFERROR(__xludf.DUMMYFUNCTION("""COMPUTED_VALUE"""),"译")</f>
        <v>译</v>
      </c>
      <c r="M41" s="122" t="str">
        <f>IFERROR(__xludf.DUMMYFUNCTION("""COMPUTED_VALUE"""),"试")</f>
        <v>试</v>
      </c>
      <c r="N41" s="122" t="str">
        <f>IFERROR(__xludf.DUMMYFUNCTION("""COMPUTED_VALUE"""),"话")</f>
        <v>话</v>
      </c>
      <c r="O41" s="122" t="str">
        <f>IFERROR(__xludf.DUMMYFUNCTION("""COMPUTED_VALUE"""),"该")</f>
        <v>该</v>
      </c>
      <c r="P41" s="122" t="str">
        <f>IFERROR(__xludf.DUMMYFUNCTION("""COMPUTED_VALUE"""),"语")</f>
        <v>语</v>
      </c>
      <c r="Q41" s="122" t="str">
        <f>IFERROR(__xludf.DUMMYFUNCTION("""COMPUTED_VALUE"""),"误")</f>
        <v>误</v>
      </c>
      <c r="R41" s="122" t="str">
        <f>IFERROR(__xludf.DUMMYFUNCTION("""COMPUTED_VALUE"""),"说")</f>
        <v>说</v>
      </c>
      <c r="S41" s="122" t="str">
        <f>IFERROR(__xludf.DUMMYFUNCTION("""COMPUTED_VALUE"""),"请")</f>
        <v>请</v>
      </c>
      <c r="T41" s="122" t="str">
        <f>IFERROR(__xludf.DUMMYFUNCTION("""COMPUTED_VALUE"""),"诺")</f>
        <v>诺</v>
      </c>
      <c r="U41" s="122" t="str">
        <f>IFERROR(__xludf.DUMMYFUNCTION("""COMPUTED_VALUE"""),"读")</f>
        <v>读</v>
      </c>
      <c r="V41" s="122" t="str">
        <f>IFERROR(__xludf.DUMMYFUNCTION("""COMPUTED_VALUE"""),"课")</f>
        <v>课</v>
      </c>
      <c r="W41" s="122" t="str">
        <f>IFERROR(__xludf.DUMMYFUNCTION("""COMPUTED_VALUE"""),"谢")</f>
        <v>谢</v>
      </c>
    </row>
    <row r="42">
      <c r="A42" s="29" t="s">
        <v>649</v>
      </c>
      <c r="D42" s="122" t="str">
        <f>IFERROR(__xludf.DUMMYFUNCTION("""COMPUTED_VALUE"""),"B")</f>
        <v>B</v>
      </c>
      <c r="F42" s="122" t="s">
        <v>3842</v>
      </c>
      <c r="H42" s="122" t="str">
        <f>IFERROR(__xludf.DUMMYFUNCTION("""COMPUTED_VALUE"""),"象")</f>
        <v>象</v>
      </c>
      <c r="I42" s="122" t="str">
        <f>IFERROR(__xludf.DUMMYFUNCTION("""COMPUTED_VALUE"""),"豪")</f>
        <v>豪</v>
      </c>
      <c r="J42" s="122" t="str">
        <f>IFERROR(__xludf.DUMMYFUNCTION("""COMPUTED_VALUE"""),"貘")</f>
        <v>貘</v>
      </c>
      <c r="K42" s="122" t="str">
        <f>IFERROR(__xludf.DUMMYFUNCTION("""COMPUTED_VALUE"""),"贝")</f>
        <v>贝</v>
      </c>
      <c r="L42" s="122" t="str">
        <f>IFERROR(__xludf.DUMMYFUNCTION("""COMPUTED_VALUE"""),"负")</f>
        <v>负</v>
      </c>
      <c r="M42" s="122" t="str">
        <f>IFERROR(__xludf.DUMMYFUNCTION("""COMPUTED_VALUE"""),"费")</f>
        <v>费</v>
      </c>
      <c r="N42" s="122" t="str">
        <f>IFERROR(__xludf.DUMMYFUNCTION("""COMPUTED_VALUE"""),"资")</f>
        <v>资</v>
      </c>
      <c r="O42" s="122" t="str">
        <f>IFERROR(__xludf.DUMMYFUNCTION("""COMPUTED_VALUE"""),"赛")</f>
        <v>赛</v>
      </c>
      <c r="P42" s="122" t="str">
        <f>IFERROR(__xludf.DUMMYFUNCTION("""COMPUTED_VALUE"""),"赫")</f>
        <v>赫</v>
      </c>
      <c r="Q42" s="122" t="str">
        <f>IFERROR(__xludf.DUMMYFUNCTION("""COMPUTED_VALUE"""),"走")</f>
        <v>走</v>
      </c>
      <c r="R42" s="122" t="str">
        <f>IFERROR(__xludf.DUMMYFUNCTION("""COMPUTED_VALUE"""),"起")</f>
        <v>起</v>
      </c>
      <c r="S42" s="122" t="str">
        <f>IFERROR(__xludf.DUMMYFUNCTION("""COMPUTED_VALUE"""),"超")</f>
        <v>超</v>
      </c>
      <c r="T42" s="122" t="str">
        <f>IFERROR(__xludf.DUMMYFUNCTION("""COMPUTED_VALUE"""),"足")</f>
        <v>足</v>
      </c>
      <c r="U42" s="122" t="str">
        <f>IFERROR(__xludf.DUMMYFUNCTION("""COMPUTED_VALUE"""),"路")</f>
        <v>路</v>
      </c>
      <c r="V42" s="122" t="str">
        <f>IFERROR(__xludf.DUMMYFUNCTION("""COMPUTED_VALUE"""),"转")</f>
        <v>转</v>
      </c>
      <c r="W42" s="122" t="str">
        <f>IFERROR(__xludf.DUMMYFUNCTION("""COMPUTED_VALUE"""),"载")</f>
        <v>载</v>
      </c>
    </row>
    <row r="43">
      <c r="A43" s="26" t="s">
        <v>658</v>
      </c>
      <c r="D43" s="122" t="str">
        <f>IFERROR(__xludf.DUMMYFUNCTION("""COMPUTED_VALUE"""),"b")</f>
        <v>b</v>
      </c>
      <c r="F43" s="122" t="s">
        <v>3145</v>
      </c>
      <c r="H43" s="122" t="str">
        <f>IFERROR(__xludf.DUMMYFUNCTION("""COMPUTED_VALUE"""),"输")</f>
        <v>输</v>
      </c>
      <c r="I43" s="122" t="str">
        <f>IFERROR(__xludf.DUMMYFUNCTION("""COMPUTED_VALUE"""),"边")</f>
        <v>边</v>
      </c>
      <c r="J43" s="122" t="str">
        <f>IFERROR(__xludf.DUMMYFUNCTION("""COMPUTED_VALUE"""),"达")</f>
        <v>达</v>
      </c>
      <c r="K43" s="122" t="str">
        <f>IFERROR(__xludf.DUMMYFUNCTION("""COMPUTED_VALUE"""),"过")</f>
        <v>过</v>
      </c>
      <c r="L43" s="122" t="str">
        <f>IFERROR(__xludf.DUMMYFUNCTION("""COMPUTED_VALUE"""),"迎")</f>
        <v>迎</v>
      </c>
      <c r="M43" s="122" t="str">
        <f>IFERROR(__xludf.DUMMYFUNCTION("""COMPUTED_VALUE"""),"运")</f>
        <v>运</v>
      </c>
      <c r="N43" s="122" t="str">
        <f>IFERROR(__xludf.DUMMYFUNCTION("""COMPUTED_VALUE"""),"近")</f>
        <v>近</v>
      </c>
      <c r="O43" s="122" t="str">
        <f>IFERROR(__xludf.DUMMYFUNCTION("""COMPUTED_VALUE"""),"返")</f>
        <v>返</v>
      </c>
      <c r="P43" s="122" t="str">
        <f>IFERROR(__xludf.DUMMYFUNCTION("""COMPUTED_VALUE"""),"还")</f>
        <v>还</v>
      </c>
      <c r="Q43" s="122" t="str">
        <f>IFERROR(__xludf.DUMMYFUNCTION("""COMPUTED_VALUE"""),"这")</f>
        <v>这</v>
      </c>
      <c r="R43" s="122" t="str">
        <f>IFERROR(__xludf.DUMMYFUNCTION("""COMPUTED_VALUE"""),"进")</f>
        <v>进</v>
      </c>
      <c r="S43" s="122" t="str">
        <f>IFERROR(__xludf.DUMMYFUNCTION("""COMPUTED_VALUE"""),"远")</f>
        <v>远</v>
      </c>
      <c r="T43" s="122" t="str">
        <f>IFERROR(__xludf.DUMMYFUNCTION("""COMPUTED_VALUE"""),"连")</f>
        <v>连</v>
      </c>
      <c r="U43" s="122" t="str">
        <f>IFERROR(__xludf.DUMMYFUNCTION("""COMPUTED_VALUE"""),"迷")</f>
        <v>迷</v>
      </c>
      <c r="V43" s="122" t="str">
        <f>IFERROR(__xludf.DUMMYFUNCTION("""COMPUTED_VALUE"""),"送")</f>
        <v>送</v>
      </c>
      <c r="W43" s="122" t="str">
        <f>IFERROR(__xludf.DUMMYFUNCTION("""COMPUTED_VALUE"""),"适")</f>
        <v>适</v>
      </c>
    </row>
    <row r="44">
      <c r="A44" s="26" t="s">
        <v>668</v>
      </c>
      <c r="D44" s="122" t="str">
        <f>IFERROR(__xludf.DUMMYFUNCTION("""COMPUTED_VALUE"""),"C")</f>
        <v>C</v>
      </c>
      <c r="F44" s="122" t="s">
        <v>4128</v>
      </c>
      <c r="H44" s="122" t="str">
        <f>IFERROR(__xludf.DUMMYFUNCTION("""COMPUTED_VALUE"""),"选")</f>
        <v>选</v>
      </c>
      <c r="I44" s="122" t="str">
        <f>IFERROR(__xludf.DUMMYFUNCTION("""COMPUTED_VALUE"""),"通")</f>
        <v>通</v>
      </c>
      <c r="J44" s="122" t="str">
        <f>IFERROR(__xludf.DUMMYFUNCTION("""COMPUTED_VALUE"""),"速")</f>
        <v>速</v>
      </c>
      <c r="K44" s="122" t="str">
        <f>IFERROR(__xludf.DUMMYFUNCTION("""COMPUTED_VALUE"""),"遇")</f>
        <v>遇</v>
      </c>
      <c r="L44" s="122" t="str">
        <f>IFERROR(__xludf.DUMMYFUNCTION("""COMPUTED_VALUE"""),"道")</f>
        <v>道</v>
      </c>
      <c r="M44" s="122" t="str">
        <f>IFERROR(__xludf.DUMMYFUNCTION("""COMPUTED_VALUE"""),"那")</f>
        <v>那</v>
      </c>
      <c r="N44" s="122" t="str">
        <f>IFERROR(__xludf.DUMMYFUNCTION("""COMPUTED_VALUE"""),"郎")</f>
        <v>郎</v>
      </c>
      <c r="O44" s="122" t="str">
        <f>IFERROR(__xludf.DUMMYFUNCTION("""COMPUTED_VALUE"""),"部")</f>
        <v>部</v>
      </c>
      <c r="P44" s="122" t="str">
        <f>IFERROR(__xludf.DUMMYFUNCTION("""COMPUTED_VALUE"""),"都")</f>
        <v>都</v>
      </c>
      <c r="Q44" s="122" t="str">
        <f>IFERROR(__xludf.DUMMYFUNCTION("""COMPUTED_VALUE"""),"醒")</f>
        <v>醒</v>
      </c>
      <c r="R44" s="122" t="str">
        <f>IFERROR(__xludf.DUMMYFUNCTION("""COMPUTED_VALUE"""),"里")</f>
        <v>里</v>
      </c>
      <c r="S44" s="122" t="str">
        <f>IFERROR(__xludf.DUMMYFUNCTION("""COMPUTED_VALUE"""),"重")</f>
        <v>重</v>
      </c>
      <c r="T44" s="122" t="str">
        <f>IFERROR(__xludf.DUMMYFUNCTION("""COMPUTED_VALUE"""),"金")</f>
        <v>金</v>
      </c>
      <c r="U44" s="122" t="str">
        <f>IFERROR(__xludf.DUMMYFUNCTION("""COMPUTED_VALUE"""),"鉴")</f>
        <v>鉴</v>
      </c>
      <c r="V44" s="122" t="str">
        <f>IFERROR(__xludf.DUMMYFUNCTION("""COMPUTED_VALUE"""),"针")</f>
        <v>针</v>
      </c>
      <c r="W44" s="122" t="str">
        <f>IFERROR(__xludf.DUMMYFUNCTION("""COMPUTED_VALUE"""),"钢")</f>
        <v>钢</v>
      </c>
    </row>
    <row r="45">
      <c r="A45" s="26" t="s">
        <v>678</v>
      </c>
      <c r="D45" s="122" t="str">
        <f>IFERROR(__xludf.DUMMYFUNCTION("""COMPUTED_VALUE"""),"c")</f>
        <v>c</v>
      </c>
      <c r="F45" s="122" t="s">
        <v>4467</v>
      </c>
      <c r="H45" s="122" t="str">
        <f>IFERROR(__xludf.DUMMYFUNCTION("""COMPUTED_VALUE"""),"钮")</f>
        <v>钮</v>
      </c>
      <c r="I45" s="122" t="str">
        <f>IFERROR(__xludf.DUMMYFUNCTION("""COMPUTED_VALUE"""),"钳")</f>
        <v>钳</v>
      </c>
      <c r="J45" s="122" t="str">
        <f>IFERROR(__xludf.DUMMYFUNCTION("""COMPUTED_VALUE"""),"钻")</f>
        <v>钻</v>
      </c>
      <c r="K45" s="122" t="str">
        <f>IFERROR(__xludf.DUMMYFUNCTION("""COMPUTED_VALUE"""),"铁")</f>
        <v>铁</v>
      </c>
      <c r="L45" s="122" t="str">
        <f>IFERROR(__xludf.DUMMYFUNCTION("""COMPUTED_VALUE"""),"银")</f>
        <v>银</v>
      </c>
      <c r="M45" s="122" t="str">
        <f>IFERROR(__xludf.DUMMYFUNCTION("""COMPUTED_VALUE"""),"链")</f>
        <v>链</v>
      </c>
      <c r="N45" s="122" t="str">
        <f>IFERROR(__xludf.DUMMYFUNCTION("""COMPUTED_VALUE"""),"销")</f>
        <v>销</v>
      </c>
      <c r="O45" s="122" t="str">
        <f>IFERROR(__xludf.DUMMYFUNCTION("""COMPUTED_VALUE"""),"错")</f>
        <v>错</v>
      </c>
      <c r="P45" s="122" t="str">
        <f>IFERROR(__xludf.DUMMYFUNCTION("""COMPUTED_VALUE"""),"键")</f>
        <v>键</v>
      </c>
      <c r="Q45" s="122" t="str">
        <f>IFERROR(__xludf.DUMMYFUNCTION("""COMPUTED_VALUE"""),"锯")</f>
        <v>锯</v>
      </c>
      <c r="R45" s="122" t="str">
        <f>IFERROR(__xludf.DUMMYFUNCTION("""COMPUTED_VALUE"""),"镰")</f>
        <v>镰</v>
      </c>
      <c r="S45" s="122" t="str">
        <f>IFERROR(__xludf.DUMMYFUNCTION("""COMPUTED_VALUE"""),"长")</f>
        <v>长</v>
      </c>
      <c r="T45" s="122" t="str">
        <f>IFERROR(__xludf.DUMMYFUNCTION("""COMPUTED_VALUE"""),"闪")</f>
        <v>闪</v>
      </c>
      <c r="U45" s="122" t="str">
        <f>IFERROR(__xludf.DUMMYFUNCTION("""COMPUTED_VALUE"""),"闭")</f>
        <v>闭</v>
      </c>
      <c r="V45" s="122" t="str">
        <f>IFERROR(__xludf.DUMMYFUNCTION("""COMPUTED_VALUE"""),"问")</f>
        <v>问</v>
      </c>
      <c r="W45" s="122" t="str">
        <f>IFERROR(__xludf.DUMMYFUNCTION("""COMPUTED_VALUE"""),"间")</f>
        <v>间</v>
      </c>
    </row>
    <row r="46">
      <c r="A46" s="26" t="s">
        <v>688</v>
      </c>
      <c r="D46" s="122" t="str">
        <f>IFERROR(__xludf.DUMMYFUNCTION("""COMPUTED_VALUE"""),"D")</f>
        <v>D</v>
      </c>
      <c r="F46" s="122" t="s">
        <v>3943</v>
      </c>
      <c r="H46" s="122" t="str">
        <f>IFERROR(__xludf.DUMMYFUNCTION("""COMPUTED_VALUE"""),"队")</f>
        <v>队</v>
      </c>
      <c r="I46" s="122" t="str">
        <f>IFERROR(__xludf.DUMMYFUNCTION("""COMPUTED_VALUE"""),"防")</f>
        <v>防</v>
      </c>
      <c r="J46" s="122" t="str">
        <f>IFERROR(__xludf.DUMMYFUNCTION("""COMPUTED_VALUE"""),"阳")</f>
        <v>阳</v>
      </c>
      <c r="K46" s="122" t="str">
        <f>IFERROR(__xludf.DUMMYFUNCTION("""COMPUTED_VALUE"""),"阶")</f>
        <v>阶</v>
      </c>
      <c r="L46" s="122" t="str">
        <f>IFERROR(__xludf.DUMMYFUNCTION("""COMPUTED_VALUE"""),"阿")</f>
        <v>阿</v>
      </c>
      <c r="M46" s="122" t="str">
        <f>IFERROR(__xludf.DUMMYFUNCTION("""COMPUTED_VALUE"""),"除")</f>
        <v>除</v>
      </c>
      <c r="N46" s="122" t="str">
        <f>IFERROR(__xludf.DUMMYFUNCTION("""COMPUTED_VALUE"""),"隆")</f>
        <v>隆</v>
      </c>
      <c r="O46" s="122" t="str">
        <f>IFERROR(__xludf.DUMMYFUNCTION("""COMPUTED_VALUE"""),"随")</f>
        <v>随</v>
      </c>
      <c r="P46" s="122" t="str">
        <f>IFERROR(__xludf.DUMMYFUNCTION("""COMPUTED_VALUE"""),"雀")</f>
        <v>雀</v>
      </c>
      <c r="Q46" s="122" t="str">
        <f>IFERROR(__xludf.DUMMYFUNCTION("""COMPUTED_VALUE"""),"集")</f>
        <v>集</v>
      </c>
      <c r="R46" s="122" t="str">
        <f>IFERROR(__xludf.DUMMYFUNCTION("""COMPUTED_VALUE"""),"雳")</f>
        <v>雳</v>
      </c>
      <c r="S46" s="122" t="str">
        <f>IFERROR(__xludf.DUMMYFUNCTION("""COMPUTED_VALUE"""),"雷")</f>
        <v>雷</v>
      </c>
      <c r="T46" s="122" t="str">
        <f>IFERROR(__xludf.DUMMYFUNCTION("""COMPUTED_VALUE"""),"需")</f>
        <v>需</v>
      </c>
      <c r="U46" s="122" t="str">
        <f>IFERROR(__xludf.DUMMYFUNCTION("""COMPUTED_VALUE"""),"露")</f>
        <v>露</v>
      </c>
      <c r="V46" s="122" t="str">
        <f>IFERROR(__xludf.DUMMYFUNCTION("""COMPUTED_VALUE"""),"霸")</f>
        <v>霸</v>
      </c>
      <c r="W46" s="122" t="str">
        <f>IFERROR(__xludf.DUMMYFUNCTION("""COMPUTED_VALUE"""),"霹")</f>
        <v>霹</v>
      </c>
    </row>
    <row r="47">
      <c r="A47" s="26" t="s">
        <v>696</v>
      </c>
      <c r="D47" s="122" t="str">
        <f>IFERROR(__xludf.DUMMYFUNCTION("""COMPUTED_VALUE"""),"d")</f>
        <v>d</v>
      </c>
      <c r="F47" s="122" t="s">
        <v>7801</v>
      </c>
      <c r="H47" s="122" t="str">
        <f>IFERROR(__xludf.DUMMYFUNCTION("""COMPUTED_VALUE"""),"非")</f>
        <v>非</v>
      </c>
      <c r="I47" s="122" t="str">
        <f>IFERROR(__xludf.DUMMYFUNCTION("""COMPUTED_VALUE"""),"面")</f>
        <v>面</v>
      </c>
      <c r="J47" s="122" t="str">
        <f>IFERROR(__xludf.DUMMYFUNCTION("""COMPUTED_VALUE"""),"韩")</f>
        <v>韩</v>
      </c>
      <c r="K47" s="122" t="str">
        <f>IFERROR(__xludf.DUMMYFUNCTION("""COMPUTED_VALUE"""),"音")</f>
        <v>音</v>
      </c>
      <c r="L47" s="122" t="str">
        <f>IFERROR(__xludf.DUMMYFUNCTION("""COMPUTED_VALUE"""),"页")</f>
        <v>页</v>
      </c>
      <c r="M47" s="122" t="str">
        <f>IFERROR(__xludf.DUMMYFUNCTION("""COMPUTED_VALUE"""),"顶")</f>
        <v>顶</v>
      </c>
      <c r="N47" s="122" t="str">
        <f>IFERROR(__xludf.DUMMYFUNCTION("""COMPUTED_VALUE"""),"项")</f>
        <v>项</v>
      </c>
      <c r="O47" s="122" t="str">
        <f>IFERROR(__xludf.DUMMYFUNCTION("""COMPUTED_VALUE"""),"顽")</f>
        <v>顽</v>
      </c>
      <c r="P47" s="122" t="str">
        <f>IFERROR(__xludf.DUMMYFUNCTION("""COMPUTED_VALUE"""),"顿")</f>
        <v>顿</v>
      </c>
      <c r="Q47" s="122" t="str">
        <f>IFERROR(__xludf.DUMMYFUNCTION("""COMPUTED_VALUE"""),"预")</f>
        <v>预</v>
      </c>
      <c r="R47" s="122" t="str">
        <f>IFERROR(__xludf.DUMMYFUNCTION("""COMPUTED_VALUE"""),"领")</f>
        <v>领</v>
      </c>
      <c r="S47" s="122" t="str">
        <f>IFERROR(__xludf.DUMMYFUNCTION("""COMPUTED_VALUE"""),"题")</f>
        <v>题</v>
      </c>
      <c r="T47" s="122" t="str">
        <f>IFERROR(__xludf.DUMMYFUNCTION("""COMPUTED_VALUE"""),"风")</f>
        <v>风</v>
      </c>
      <c r="U47" s="122" t="str">
        <f>IFERROR(__xludf.DUMMYFUNCTION("""COMPUTED_VALUE"""),"飞")</f>
        <v>飞</v>
      </c>
      <c r="V47" s="122" t="str">
        <f>IFERROR(__xludf.DUMMYFUNCTION("""COMPUTED_VALUE"""),"食")</f>
        <v>食</v>
      </c>
      <c r="W47" s="122" t="str">
        <f>IFERROR(__xludf.DUMMYFUNCTION("""COMPUTED_VALUE"""),"首")</f>
        <v>首</v>
      </c>
    </row>
    <row r="48">
      <c r="A48" s="26" t="s">
        <v>705</v>
      </c>
      <c r="D48" s="122" t="str">
        <f>IFERROR(__xludf.DUMMYFUNCTION("""COMPUTED_VALUE"""),"E")</f>
        <v>E</v>
      </c>
      <c r="F48" s="122" t="s">
        <v>3439</v>
      </c>
      <c r="H48" s="122" t="str">
        <f>IFERROR(__xludf.DUMMYFUNCTION("""COMPUTED_VALUE"""),"香")</f>
        <v>香</v>
      </c>
      <c r="I48" s="122" t="str">
        <f>IFERROR(__xludf.DUMMYFUNCTION("""COMPUTED_VALUE"""),"馨")</f>
        <v>馨</v>
      </c>
      <c r="J48" s="122" t="str">
        <f>IFERROR(__xludf.DUMMYFUNCTION("""COMPUTED_VALUE"""),"马")</f>
        <v>马</v>
      </c>
      <c r="K48" s="122" t="str">
        <f>IFERROR(__xludf.DUMMYFUNCTION("""COMPUTED_VALUE"""),"验")</f>
        <v>验</v>
      </c>
      <c r="L48" s="122" t="str">
        <f>IFERROR(__xludf.DUMMYFUNCTION("""COMPUTED_VALUE"""),"骤")</f>
        <v>骤</v>
      </c>
      <c r="M48" s="122" t="str">
        <f>IFERROR(__xludf.DUMMYFUNCTION("""COMPUTED_VALUE"""),"高")</f>
        <v>高</v>
      </c>
      <c r="N48" s="122" t="str">
        <f>IFERROR(__xludf.DUMMYFUNCTION("""COMPUTED_VALUE"""),"鬼")</f>
        <v>鬼</v>
      </c>
      <c r="O48" s="122" t="str">
        <f>IFERROR(__xludf.DUMMYFUNCTION("""COMPUTED_VALUE"""),"魔")</f>
        <v>魔</v>
      </c>
      <c r="P48" s="122" t="str">
        <f>IFERROR(__xludf.DUMMYFUNCTION("""COMPUTED_VALUE"""),"鱼")</f>
        <v>鱼</v>
      </c>
      <c r="Q48" s="122" t="str">
        <f>IFERROR(__xludf.DUMMYFUNCTION("""COMPUTED_VALUE"""),"鲁")</f>
        <v>鲁</v>
      </c>
      <c r="R48" s="122" t="str">
        <f>IFERROR(__xludf.DUMMYFUNCTION("""COMPUTED_VALUE"""),"鲜")</f>
        <v>鲜</v>
      </c>
      <c r="S48" s="122" t="str">
        <f>IFERROR(__xludf.DUMMYFUNCTION("""COMPUTED_VALUE"""),"鲤")</f>
        <v>鲤</v>
      </c>
      <c r="T48" s="122" t="str">
        <f>IFERROR(__xludf.DUMMYFUNCTION("""COMPUTED_VALUE"""),"鳄")</f>
        <v>鳄</v>
      </c>
      <c r="U48" s="122" t="str">
        <f>IFERROR(__xludf.DUMMYFUNCTION("""COMPUTED_VALUE"""),"鸟")</f>
        <v>鸟</v>
      </c>
      <c r="V48" s="122" t="str">
        <f>IFERROR(__xludf.DUMMYFUNCTION("""COMPUTED_VALUE"""),"鸦")</f>
        <v>鸦</v>
      </c>
      <c r="W48" s="122" t="str">
        <f>IFERROR(__xludf.DUMMYFUNCTION("""COMPUTED_VALUE"""),"鸭")</f>
        <v>鸭</v>
      </c>
    </row>
    <row r="49">
      <c r="A49" s="26" t="s">
        <v>714</v>
      </c>
      <c r="D49" s="122" t="str">
        <f>IFERROR(__xludf.DUMMYFUNCTION("""COMPUTED_VALUE"""),"e")</f>
        <v>e</v>
      </c>
      <c r="F49" s="122" t="s">
        <v>4756</v>
      </c>
      <c r="H49" s="122" t="str">
        <f>IFERROR(__xludf.DUMMYFUNCTION("""COMPUTED_VALUE"""),"鹰")</f>
        <v>鹰</v>
      </c>
      <c r="I49" s="122" t="str">
        <f>IFERROR(__xludf.DUMMYFUNCTION("""COMPUTED_VALUE"""),"鹿")</f>
        <v>鹿</v>
      </c>
      <c r="J49" s="122" t="str">
        <f>IFERROR(__xludf.DUMMYFUNCTION("""COMPUTED_VALUE"""),"麒")</f>
        <v>麒</v>
      </c>
      <c r="K49" s="122" t="str">
        <f>IFERROR(__xludf.DUMMYFUNCTION("""COMPUTED_VALUE"""),"麟")</f>
        <v>麟</v>
      </c>
      <c r="L49" s="122" t="str">
        <f>IFERROR(__xludf.DUMMYFUNCTION("""COMPUTED_VALUE"""),"黑")</f>
        <v>黑</v>
      </c>
      <c r="M49" s="122" t="str">
        <f>IFERROR(__xludf.DUMMYFUNCTION("""COMPUTED_VALUE"""),"鼓")</f>
        <v>鼓</v>
      </c>
      <c r="N49" s="122" t="str">
        <f>IFERROR(__xludf.DUMMYFUNCTION("""COMPUTED_VALUE"""),"鼠")</f>
        <v>鼠</v>
      </c>
      <c r="O49" s="122" t="str">
        <f>IFERROR(__xludf.DUMMYFUNCTION("""COMPUTED_VALUE"""),"齐")</f>
        <v>齐</v>
      </c>
      <c r="P49" s="122" t="str">
        <f>IFERROR(__xludf.DUMMYFUNCTION("""COMPUTED_VALUE"""),"龙")</f>
        <v>龙</v>
      </c>
      <c r="Q49" s="122" t="str">
        <f>IFERROR(__xludf.DUMMYFUNCTION("""COMPUTED_VALUE"""),"龟")</f>
        <v>龟</v>
      </c>
      <c r="R49" s="122" t="str">
        <f>IFERROR(__xludf.DUMMYFUNCTION("""COMPUTED_VALUE"""),"")</f>
        <v/>
      </c>
      <c r="S49" s="122" t="str">
        <f>IFERROR(__xludf.DUMMYFUNCTION("""COMPUTED_VALUE"""),"")</f>
        <v/>
      </c>
      <c r="T49" s="122" t="str">
        <f>IFERROR(__xludf.DUMMYFUNCTION("""COMPUTED_VALUE"""),"")</f>
        <v/>
      </c>
      <c r="U49" s="122" t="str">
        <f>IFERROR(__xludf.DUMMYFUNCTION("""COMPUTED_VALUE"""),"")</f>
        <v/>
      </c>
      <c r="V49" s="122" t="str">
        <f>IFERROR(__xludf.DUMMYFUNCTION("""COMPUTED_VALUE"""),"")</f>
        <v/>
      </c>
      <c r="W49" s="122" t="str">
        <f>IFERROR(__xludf.DUMMYFUNCTION("""COMPUTED_VALUE"""),"")</f>
        <v/>
      </c>
    </row>
    <row r="50">
      <c r="A50" s="95" t="s">
        <v>10596</v>
      </c>
      <c r="D50" s="122" t="str">
        <f>IFERROR(__xludf.DUMMYFUNCTION("""COMPUTED_VALUE"""),"é")</f>
        <v>é</v>
      </c>
      <c r="F50" s="122" t="s">
        <v>4679</v>
      </c>
    </row>
    <row r="51">
      <c r="A51" s="95" t="s">
        <v>10597</v>
      </c>
      <c r="D51" s="122" t="str">
        <f>IFERROR(__xludf.DUMMYFUNCTION("""COMPUTED_VALUE"""),"f")</f>
        <v>f</v>
      </c>
      <c r="F51" s="122" t="s">
        <v>3955</v>
      </c>
    </row>
    <row r="52">
      <c r="A52" s="95" t="s">
        <v>10598</v>
      </c>
      <c r="D52" s="122" t="str">
        <f>IFERROR(__xludf.DUMMYFUNCTION("""COMPUTED_VALUE"""),"F")</f>
        <v>F</v>
      </c>
      <c r="F52" s="122" t="s">
        <v>3873</v>
      </c>
    </row>
    <row r="53">
      <c r="A53" s="95" t="s">
        <v>10599</v>
      </c>
      <c r="D53" s="122" t="str">
        <f>IFERROR(__xludf.DUMMYFUNCTION("""COMPUTED_VALUE"""),"G")</f>
        <v>G</v>
      </c>
      <c r="F53" s="122" t="s">
        <v>3392</v>
      </c>
    </row>
    <row r="54">
      <c r="A54" s="95" t="s">
        <v>10600</v>
      </c>
      <c r="D54" s="122" t="str">
        <f>IFERROR(__xludf.DUMMYFUNCTION("""COMPUTED_VALUE"""),"g")</f>
        <v>g</v>
      </c>
      <c r="F54" s="122" t="s">
        <v>3695</v>
      </c>
    </row>
    <row r="55">
      <c r="A55" s="95" t="s">
        <v>10601</v>
      </c>
      <c r="D55" s="122" t="str">
        <f>IFERROR(__xludf.DUMMYFUNCTION("""COMPUTED_VALUE"""),"H")</f>
        <v>H</v>
      </c>
      <c r="F55" s="122" t="s">
        <v>4638</v>
      </c>
    </row>
    <row r="56">
      <c r="A56" s="95" t="s">
        <v>10602</v>
      </c>
      <c r="D56" s="122" t="str">
        <f>IFERROR(__xludf.DUMMYFUNCTION("""COMPUTED_VALUE"""),"h")</f>
        <v>h</v>
      </c>
      <c r="F56" s="122" t="s">
        <v>6749</v>
      </c>
    </row>
    <row r="57">
      <c r="A57" s="95" t="s">
        <v>10603</v>
      </c>
      <c r="D57" s="122" t="str">
        <f>IFERROR(__xludf.DUMMYFUNCTION("""COMPUTED_VALUE"""),"I")</f>
        <v>I</v>
      </c>
      <c r="F57" s="122" t="s">
        <v>3149</v>
      </c>
    </row>
    <row r="58">
      <c r="A58" s="95" t="s">
        <v>10604</v>
      </c>
      <c r="D58" s="122" t="str">
        <f>IFERROR(__xludf.DUMMYFUNCTION("""COMPUTED_VALUE"""),"i")</f>
        <v>i</v>
      </c>
      <c r="F58" s="122" t="s">
        <v>3467</v>
      </c>
    </row>
    <row r="59">
      <c r="A59" s="95" t="s">
        <v>10605</v>
      </c>
      <c r="D59" s="122" t="str">
        <f>IFERROR(__xludf.DUMMYFUNCTION("""COMPUTED_VALUE"""),"J")</f>
        <v>J</v>
      </c>
      <c r="F59" s="122" t="s">
        <v>3958</v>
      </c>
    </row>
    <row r="60">
      <c r="A60" s="95" t="s">
        <v>10606</v>
      </c>
      <c r="D60" s="122" t="str">
        <f>IFERROR(__xludf.DUMMYFUNCTION("""COMPUTED_VALUE"""),"j")</f>
        <v>j</v>
      </c>
      <c r="F60" s="122" t="s">
        <v>4235</v>
      </c>
    </row>
    <row r="61">
      <c r="A61" s="95" t="s">
        <v>10607</v>
      </c>
      <c r="D61" s="122" t="str">
        <f>IFERROR(__xludf.DUMMYFUNCTION("""COMPUTED_VALUE"""),"K")</f>
        <v>K</v>
      </c>
      <c r="F61" s="122" t="s">
        <v>5529</v>
      </c>
    </row>
    <row r="62">
      <c r="A62" s="95" t="s">
        <v>10608</v>
      </c>
      <c r="D62" s="122" t="str">
        <f>IFERROR(__xludf.DUMMYFUNCTION("""COMPUTED_VALUE"""),"k")</f>
        <v>k</v>
      </c>
      <c r="F62" s="122" t="s">
        <v>3989</v>
      </c>
    </row>
    <row r="63">
      <c r="A63" s="95" t="s">
        <v>10609</v>
      </c>
      <c r="D63" s="122" t="str">
        <f>IFERROR(__xludf.DUMMYFUNCTION("""COMPUTED_VALUE"""),"L")</f>
        <v>L</v>
      </c>
      <c r="F63" s="122" t="s">
        <v>4636</v>
      </c>
    </row>
    <row r="64">
      <c r="A64" s="26" t="s">
        <v>838</v>
      </c>
      <c r="D64" s="122" t="str">
        <f>IFERROR(__xludf.DUMMYFUNCTION("""COMPUTED_VALUE"""),"l")</f>
        <v>l</v>
      </c>
      <c r="F64" s="122" t="s">
        <v>4089</v>
      </c>
    </row>
    <row r="65">
      <c r="A65" s="26" t="s">
        <v>845</v>
      </c>
      <c r="D65" s="122" t="str">
        <f>IFERROR(__xludf.DUMMYFUNCTION("""COMPUTED_VALUE"""),"M")</f>
        <v>M</v>
      </c>
      <c r="F65" s="122" t="s">
        <v>4712</v>
      </c>
    </row>
    <row r="66">
      <c r="A66" s="95" t="s">
        <v>10610</v>
      </c>
      <c r="D66" s="122" t="str">
        <f>IFERROR(__xludf.DUMMYFUNCTION("""COMPUTED_VALUE"""),"m")</f>
        <v>m</v>
      </c>
      <c r="F66" s="122" t="s">
        <v>3700</v>
      </c>
    </row>
    <row r="67">
      <c r="A67" s="95" t="s">
        <v>10611</v>
      </c>
      <c r="D67" s="122" t="str">
        <f>IFERROR(__xludf.DUMMYFUNCTION("""COMPUTED_VALUE"""),"N")</f>
        <v>N</v>
      </c>
      <c r="F67" s="122" t="s">
        <v>3475</v>
      </c>
    </row>
    <row r="68">
      <c r="A68" s="95" t="s">
        <v>10612</v>
      </c>
      <c r="D68" s="122" t="str">
        <f>IFERROR(__xludf.DUMMYFUNCTION("""COMPUTED_VALUE"""),"n")</f>
        <v>n</v>
      </c>
      <c r="F68" s="122" t="s">
        <v>6118</v>
      </c>
    </row>
    <row r="69">
      <c r="A69" s="95" t="s">
        <v>10613</v>
      </c>
      <c r="D69" s="122" t="str">
        <f>IFERROR(__xludf.DUMMYFUNCTION("""COMPUTED_VALUE"""),"O")</f>
        <v>O</v>
      </c>
      <c r="F69" s="122" t="s">
        <v>7498</v>
      </c>
    </row>
    <row r="70">
      <c r="A70" s="40" t="s">
        <v>1106</v>
      </c>
      <c r="D70" s="122" t="str">
        <f>IFERROR(__xludf.DUMMYFUNCTION("""COMPUTED_VALUE"""),"o")</f>
        <v>o</v>
      </c>
      <c r="F70" s="122" t="s">
        <v>4206</v>
      </c>
    </row>
    <row r="71">
      <c r="A71" s="40" t="s">
        <v>1113</v>
      </c>
      <c r="D71" s="122" t="str">
        <f>IFERROR(__xludf.DUMMYFUNCTION("""COMPUTED_VALUE"""),"ó")</f>
        <v>ó</v>
      </c>
      <c r="F71" s="122" t="s">
        <v>3554</v>
      </c>
    </row>
    <row r="72">
      <c r="A72" s="40" t="s">
        <v>1119</v>
      </c>
      <c r="D72" s="122" t="str">
        <f>IFERROR(__xludf.DUMMYFUNCTION("""COMPUTED_VALUE"""),"P")</f>
        <v>P</v>
      </c>
      <c r="F72" s="122" t="s">
        <v>4635</v>
      </c>
    </row>
    <row r="73">
      <c r="A73" s="40" t="s">
        <v>1125</v>
      </c>
      <c r="D73" s="122" t="str">
        <f>IFERROR(__xludf.DUMMYFUNCTION("""COMPUTED_VALUE"""),"p")</f>
        <v>p</v>
      </c>
      <c r="F73" s="122" t="s">
        <v>4017</v>
      </c>
    </row>
    <row r="74">
      <c r="A74" s="40" t="s">
        <v>1132</v>
      </c>
      <c r="D74" s="122" t="str">
        <f>IFERROR(__xludf.DUMMYFUNCTION("""COMPUTED_VALUE"""),"q")</f>
        <v>q</v>
      </c>
      <c r="F74" s="122" t="s">
        <v>5238</v>
      </c>
    </row>
    <row r="75">
      <c r="A75" s="40" t="s">
        <v>1139</v>
      </c>
      <c r="D75" s="122" t="str">
        <f>IFERROR(__xludf.DUMMYFUNCTION("""COMPUTED_VALUE"""),"R")</f>
        <v>R</v>
      </c>
      <c r="F75" s="122" t="s">
        <v>3786</v>
      </c>
    </row>
    <row r="76">
      <c r="A76" s="40" t="s">
        <v>1146</v>
      </c>
      <c r="D76" s="122" t="str">
        <f>IFERROR(__xludf.DUMMYFUNCTION("""COMPUTED_VALUE"""),"r")</f>
        <v>r</v>
      </c>
      <c r="F76" s="122" t="s">
        <v>3795</v>
      </c>
    </row>
    <row r="77">
      <c r="A77" s="40" t="s">
        <v>1153</v>
      </c>
      <c r="D77" s="122" t="str">
        <f>IFERROR(__xludf.DUMMYFUNCTION("""COMPUTED_VALUE"""),"S")</f>
        <v>S</v>
      </c>
      <c r="F77" s="122" t="s">
        <v>3792</v>
      </c>
    </row>
    <row r="78">
      <c r="A78" s="40" t="s">
        <v>1160</v>
      </c>
      <c r="D78" s="122" t="str">
        <f>IFERROR(__xludf.DUMMYFUNCTION("""COMPUTED_VALUE"""),"s")</f>
        <v>s</v>
      </c>
      <c r="F78" s="122" t="s">
        <v>3223</v>
      </c>
    </row>
    <row r="79">
      <c r="A79" s="40" t="s">
        <v>1167</v>
      </c>
      <c r="D79" s="122" t="str">
        <f>IFERROR(__xludf.DUMMYFUNCTION("""COMPUTED_VALUE"""),"T")</f>
        <v>T</v>
      </c>
      <c r="F79" s="122" t="s">
        <v>8952</v>
      </c>
    </row>
    <row r="80">
      <c r="A80" s="40" t="s">
        <v>1174</v>
      </c>
      <c r="D80" s="122" t="str">
        <f>IFERROR(__xludf.DUMMYFUNCTION("""COMPUTED_VALUE"""),"t")</f>
        <v>t</v>
      </c>
      <c r="F80" s="122" t="s">
        <v>3357</v>
      </c>
    </row>
    <row r="81">
      <c r="A81" s="40" t="s">
        <v>1181</v>
      </c>
      <c r="D81" s="122" t="str">
        <f>IFERROR(__xludf.DUMMYFUNCTION("""COMPUTED_VALUE"""),"u")</f>
        <v>u</v>
      </c>
      <c r="F81" s="122" t="s">
        <v>3657</v>
      </c>
    </row>
    <row r="82">
      <c r="A82" s="40" t="s">
        <v>1187</v>
      </c>
      <c r="D82" s="122" t="str">
        <f>IFERROR(__xludf.DUMMYFUNCTION("""COMPUTED_VALUE"""),"U")</f>
        <v>U</v>
      </c>
      <c r="F82" s="122" t="s">
        <v>3952</v>
      </c>
    </row>
    <row r="83">
      <c r="A83" s="40" t="s">
        <v>1194</v>
      </c>
      <c r="D83" s="122" t="str">
        <f>IFERROR(__xludf.DUMMYFUNCTION("""COMPUTED_VALUE"""),"V")</f>
        <v>V</v>
      </c>
      <c r="F83" s="122" t="s">
        <v>4677</v>
      </c>
    </row>
    <row r="84">
      <c r="A84" s="40" t="s">
        <v>1201</v>
      </c>
      <c r="D84" s="122" t="str">
        <f>IFERROR(__xludf.DUMMYFUNCTION("""COMPUTED_VALUE"""),"v")</f>
        <v>v</v>
      </c>
      <c r="F84" s="122" t="s">
        <v>9181</v>
      </c>
    </row>
    <row r="85">
      <c r="A85" s="40" t="s">
        <v>1208</v>
      </c>
      <c r="D85" s="122" t="str">
        <f>IFERROR(__xludf.DUMMYFUNCTION("""COMPUTED_VALUE"""),"W")</f>
        <v>W</v>
      </c>
      <c r="F85" s="122" t="s">
        <v>4463</v>
      </c>
    </row>
    <row r="86">
      <c r="A86" s="40" t="s">
        <v>1214</v>
      </c>
      <c r="D86" s="122" t="str">
        <f>IFERROR(__xludf.DUMMYFUNCTION("""COMPUTED_VALUE"""),"w")</f>
        <v>w</v>
      </c>
      <c r="F86" s="122" t="s">
        <v>3195</v>
      </c>
    </row>
    <row r="87">
      <c r="A87" s="40" t="s">
        <v>1221</v>
      </c>
      <c r="D87" s="122" t="str">
        <f>IFERROR(__xludf.DUMMYFUNCTION("""COMPUTED_VALUE"""),"X")</f>
        <v>X</v>
      </c>
      <c r="F87" s="122" t="s">
        <v>3582</v>
      </c>
    </row>
    <row r="88">
      <c r="A88" s="40" t="s">
        <v>1227</v>
      </c>
      <c r="D88" s="122" t="str">
        <f>IFERROR(__xludf.DUMMYFUNCTION("""COMPUTED_VALUE"""),"x")</f>
        <v>x</v>
      </c>
      <c r="F88" s="122" t="s">
        <v>5913</v>
      </c>
    </row>
    <row r="89">
      <c r="A89" s="40" t="s">
        <v>1234</v>
      </c>
      <c r="D89" s="122" t="str">
        <f>IFERROR(__xludf.DUMMYFUNCTION("""COMPUTED_VALUE"""),"Y")</f>
        <v>Y</v>
      </c>
      <c r="F89" s="122" t="s">
        <v>6117</v>
      </c>
    </row>
    <row r="90">
      <c r="A90" s="40" t="s">
        <v>1241</v>
      </c>
      <c r="D90" s="122" t="str">
        <f>IFERROR(__xludf.DUMMYFUNCTION("""COMPUTED_VALUE"""),"y")</f>
        <v>y</v>
      </c>
      <c r="F90" s="122" t="s">
        <v>4669</v>
      </c>
    </row>
    <row r="91">
      <c r="A91" s="40" t="s">
        <v>1247</v>
      </c>
      <c r="D91" s="122" t="str">
        <f>IFERROR(__xludf.DUMMYFUNCTION("""COMPUTED_VALUE"""),"z")</f>
        <v>z</v>
      </c>
      <c r="F91" s="122" t="s">
        <v>4681</v>
      </c>
    </row>
    <row r="92">
      <c r="A92" s="40" t="s">
        <v>1253</v>
      </c>
      <c r="D92" s="122" t="str">
        <f>IFERROR(__xludf.DUMMYFUNCTION("""COMPUTED_VALUE"""),"一")</f>
        <v>一</v>
      </c>
      <c r="F92" s="122" t="s">
        <v>5904</v>
      </c>
    </row>
    <row r="93">
      <c r="A93" s="40" t="s">
        <v>1257</v>
      </c>
      <c r="D93" s="122" t="str">
        <f>IFERROR(__xludf.DUMMYFUNCTION("""COMPUTED_VALUE"""),"丁")</f>
        <v>丁</v>
      </c>
      <c r="F93" s="122" t="s">
        <v>3282</v>
      </c>
    </row>
    <row r="94">
      <c r="A94" s="40" t="s">
        <v>688</v>
      </c>
      <c r="D94" s="122" t="str">
        <f>IFERROR(__xludf.DUMMYFUNCTION("""COMPUTED_VALUE"""),"万")</f>
        <v>万</v>
      </c>
      <c r="F94" s="122" t="s">
        <v>3633</v>
      </c>
    </row>
    <row r="95">
      <c r="A95" s="40" t="s">
        <v>1262</v>
      </c>
      <c r="D95" s="122" t="str">
        <f>IFERROR(__xludf.DUMMYFUNCTION("""COMPUTED_VALUE"""),"三")</f>
        <v>三</v>
      </c>
      <c r="F95" s="122" t="s">
        <v>9182</v>
      </c>
    </row>
    <row r="96">
      <c r="A96" s="40" t="s">
        <v>1268</v>
      </c>
      <c r="D96" s="122" t="str">
        <f>IFERROR(__xludf.DUMMYFUNCTION("""COMPUTED_VALUE"""),"上")</f>
        <v>上</v>
      </c>
      <c r="F96" s="122" t="s">
        <v>7468</v>
      </c>
    </row>
    <row r="97">
      <c r="A97" s="40" t="s">
        <v>1274</v>
      </c>
      <c r="D97" s="122" t="str">
        <f>IFERROR(__xludf.DUMMYFUNCTION("""COMPUTED_VALUE"""),"下")</f>
        <v>下</v>
      </c>
      <c r="F97" s="122" t="s">
        <v>3076</v>
      </c>
    </row>
    <row r="98">
      <c r="A98" s="40" t="s">
        <v>1278</v>
      </c>
      <c r="D98" s="122" t="str">
        <f>IFERROR(__xludf.DUMMYFUNCTION("""COMPUTED_VALUE"""),"不")</f>
        <v>不</v>
      </c>
      <c r="F98" s="122" t="s">
        <v>6183</v>
      </c>
    </row>
    <row r="99">
      <c r="A99" s="40" t="s">
        <v>1283</v>
      </c>
      <c r="D99" s="122" t="str">
        <f>IFERROR(__xludf.DUMMYFUNCTION("""COMPUTED_VALUE"""),"与")</f>
        <v>与</v>
      </c>
      <c r="F99" s="122" t="s">
        <v>4436</v>
      </c>
    </row>
    <row r="100">
      <c r="A100" s="40" t="s">
        <v>1287</v>
      </c>
      <c r="D100" s="122" t="str">
        <f>IFERROR(__xludf.DUMMYFUNCTION("""COMPUTED_VALUE"""),"且")</f>
        <v>且</v>
      </c>
      <c r="F100" s="122" t="s">
        <v>4474</v>
      </c>
    </row>
    <row r="101">
      <c r="A101" s="40" t="s">
        <v>1291</v>
      </c>
      <c r="D101" s="122" t="str">
        <f>IFERROR(__xludf.DUMMYFUNCTION("""COMPUTED_VALUE"""),"世")</f>
        <v>世</v>
      </c>
      <c r="F101" s="122" t="s">
        <v>5420</v>
      </c>
    </row>
    <row r="102">
      <c r="A102" s="40" t="s">
        <v>1295</v>
      </c>
      <c r="D102" s="122" t="str">
        <f>IFERROR(__xludf.DUMMYFUNCTION("""COMPUTED_VALUE"""),"丘")</f>
        <v>丘</v>
      </c>
      <c r="F102" s="122" t="s">
        <v>5315</v>
      </c>
    </row>
    <row r="103">
      <c r="A103" s="40" t="s">
        <v>1300</v>
      </c>
      <c r="D103" s="122" t="str">
        <f>IFERROR(__xludf.DUMMYFUNCTION("""COMPUTED_VALUE"""),"东")</f>
        <v>东</v>
      </c>
      <c r="F103" s="122" t="s">
        <v>4977</v>
      </c>
    </row>
    <row r="104">
      <c r="A104" s="40" t="s">
        <v>1306</v>
      </c>
      <c r="D104" s="122" t="str">
        <f>IFERROR(__xludf.DUMMYFUNCTION("""COMPUTED_VALUE"""),"丝")</f>
        <v>丝</v>
      </c>
      <c r="F104" s="122" t="s">
        <v>3816</v>
      </c>
    </row>
    <row r="105">
      <c r="A105" s="40" t="s">
        <v>1312</v>
      </c>
      <c r="D105" s="122" t="str">
        <f>IFERROR(__xludf.DUMMYFUNCTION("""COMPUTED_VALUE"""),"两")</f>
        <v>两</v>
      </c>
      <c r="F105" s="122" t="s">
        <v>3276</v>
      </c>
    </row>
    <row r="106">
      <c r="A106" s="40" t="s">
        <v>1317</v>
      </c>
      <c r="D106" s="122" t="str">
        <f>IFERROR(__xludf.DUMMYFUNCTION("""COMPUTED_VALUE"""),"丽")</f>
        <v>丽</v>
      </c>
      <c r="F106" s="122" t="s">
        <v>3540</v>
      </c>
    </row>
    <row r="107">
      <c r="A107" s="40" t="s">
        <v>1323</v>
      </c>
      <c r="D107" s="122" t="str">
        <f>IFERROR(__xludf.DUMMYFUNCTION("""COMPUTED_VALUE"""),"个")</f>
        <v>个</v>
      </c>
      <c r="F107" s="122" t="s">
        <v>5013</v>
      </c>
    </row>
    <row r="108">
      <c r="A108" s="40" t="s">
        <v>1329</v>
      </c>
      <c r="D108" s="122" t="str">
        <f>IFERROR(__xludf.DUMMYFUNCTION("""COMPUTED_VALUE"""),"中")</f>
        <v>中</v>
      </c>
      <c r="F108" s="122" t="s">
        <v>5566</v>
      </c>
    </row>
    <row r="109">
      <c r="A109" s="40" t="s">
        <v>1335</v>
      </c>
      <c r="D109" s="122" t="str">
        <f>IFERROR(__xludf.DUMMYFUNCTION("""COMPUTED_VALUE"""),"为")</f>
        <v>为</v>
      </c>
      <c r="F109" s="122" t="s">
        <v>3546</v>
      </c>
    </row>
    <row r="110">
      <c r="A110" s="40" t="s">
        <v>1340</v>
      </c>
      <c r="D110" s="122" t="str">
        <f>IFERROR(__xludf.DUMMYFUNCTION("""COMPUTED_VALUE"""),"主")</f>
        <v>主</v>
      </c>
      <c r="F110" s="122" t="s">
        <v>3753</v>
      </c>
    </row>
    <row r="111">
      <c r="A111" s="40" t="s">
        <v>1345</v>
      </c>
      <c r="D111" s="122" t="str">
        <f>IFERROR(__xludf.DUMMYFUNCTION("""COMPUTED_VALUE"""),"么")</f>
        <v>么</v>
      </c>
      <c r="F111" s="122" t="s">
        <v>4468</v>
      </c>
    </row>
    <row r="112">
      <c r="A112" s="40" t="s">
        <v>1351</v>
      </c>
      <c r="D112" s="122" t="str">
        <f>IFERROR(__xludf.DUMMYFUNCTION("""COMPUTED_VALUE"""),"之")</f>
        <v>之</v>
      </c>
      <c r="F112" s="122" t="s">
        <v>3798</v>
      </c>
    </row>
    <row r="113">
      <c r="A113" s="40" t="s">
        <v>1357</v>
      </c>
      <c r="D113" s="122" t="str">
        <f>IFERROR(__xludf.DUMMYFUNCTION("""COMPUTED_VALUE"""),"乌")</f>
        <v>乌</v>
      </c>
      <c r="F113" s="122" t="s">
        <v>3706</v>
      </c>
    </row>
    <row r="114">
      <c r="A114" s="40" t="s">
        <v>1363</v>
      </c>
      <c r="D114" s="122" t="str">
        <f>IFERROR(__xludf.DUMMYFUNCTION("""COMPUTED_VALUE"""),"乎")</f>
        <v>乎</v>
      </c>
      <c r="F114" s="122" t="s">
        <v>4013</v>
      </c>
    </row>
    <row r="115">
      <c r="A115" s="40" t="s">
        <v>1367</v>
      </c>
      <c r="D115" s="122" t="str">
        <f>IFERROR(__xludf.DUMMYFUNCTION("""COMPUTED_VALUE"""),"乐")</f>
        <v>乐</v>
      </c>
      <c r="F115" s="122" t="s">
        <v>6335</v>
      </c>
    </row>
    <row r="116">
      <c r="A116" s="40" t="s">
        <v>1372</v>
      </c>
      <c r="D116" s="122" t="str">
        <f>IFERROR(__xludf.DUMMYFUNCTION("""COMPUTED_VALUE"""),"九")</f>
        <v>九</v>
      </c>
      <c r="F116" s="122" t="s">
        <v>5384</v>
      </c>
    </row>
    <row r="117">
      <c r="A117" s="40" t="s">
        <v>1378</v>
      </c>
      <c r="D117" s="122" t="str">
        <f>IFERROR(__xludf.DUMMYFUNCTION("""COMPUTED_VALUE"""),"也")</f>
        <v>也</v>
      </c>
      <c r="F117" s="122" t="s">
        <v>4460</v>
      </c>
    </row>
    <row r="118">
      <c r="A118" s="40" t="s">
        <v>1384</v>
      </c>
      <c r="D118" s="122" t="str">
        <f>IFERROR(__xludf.DUMMYFUNCTION("""COMPUTED_VALUE"""),"了")</f>
        <v>了</v>
      </c>
      <c r="F118" s="122" t="s">
        <v>4540</v>
      </c>
    </row>
    <row r="119">
      <c r="A119" s="40" t="s">
        <v>1391</v>
      </c>
      <c r="D119" s="122" t="str">
        <f>IFERROR(__xludf.DUMMYFUNCTION("""COMPUTED_VALUE"""),"事")</f>
        <v>事</v>
      </c>
      <c r="F119" s="122" t="s">
        <v>3910</v>
      </c>
    </row>
    <row r="120">
      <c r="A120" s="40" t="s">
        <v>1397</v>
      </c>
      <c r="D120" s="122" t="str">
        <f>IFERROR(__xludf.DUMMYFUNCTION("""COMPUTED_VALUE"""),"二")</f>
        <v>二</v>
      </c>
      <c r="F120" s="122" t="s">
        <v>4564</v>
      </c>
    </row>
    <row r="121">
      <c r="A121" s="40" t="s">
        <v>1403</v>
      </c>
      <c r="D121" s="122" t="str">
        <f>IFERROR(__xludf.DUMMYFUNCTION("""COMPUTED_VALUE"""),"于")</f>
        <v>于</v>
      </c>
      <c r="F121" s="122" t="s">
        <v>5841</v>
      </c>
    </row>
    <row r="122">
      <c r="A122" s="40" t="s">
        <v>1408</v>
      </c>
      <c r="D122" s="122" t="str">
        <f>IFERROR(__xludf.DUMMYFUNCTION("""COMPUTED_VALUE"""),"亚")</f>
        <v>亚</v>
      </c>
      <c r="F122" s="122" t="s">
        <v>4122</v>
      </c>
    </row>
    <row r="123">
      <c r="A123" s="40" t="s">
        <v>1415</v>
      </c>
      <c r="D123" s="122" t="str">
        <f>IFERROR(__xludf.DUMMYFUNCTION("""COMPUTED_VALUE"""),"些")</f>
        <v>些</v>
      </c>
      <c r="F123" s="122" t="s">
        <v>3656</v>
      </c>
    </row>
    <row r="124">
      <c r="A124" s="40" t="s">
        <v>1422</v>
      </c>
      <c r="D124" s="122" t="str">
        <f>IFERROR(__xludf.DUMMYFUNCTION("""COMPUTED_VALUE"""),"交")</f>
        <v>交</v>
      </c>
      <c r="F124" s="122" t="s">
        <v>6185</v>
      </c>
    </row>
    <row r="125">
      <c r="A125" s="40" t="s">
        <v>1429</v>
      </c>
      <c r="D125" s="122" t="str">
        <f>IFERROR(__xludf.DUMMYFUNCTION("""COMPUTED_VALUE"""),"亮")</f>
        <v>亮</v>
      </c>
      <c r="F125" s="122" t="s">
        <v>4049</v>
      </c>
    </row>
    <row r="126">
      <c r="A126" s="40" t="s">
        <v>1435</v>
      </c>
      <c r="D126" s="122" t="str">
        <f>IFERROR(__xludf.DUMMYFUNCTION("""COMPUTED_VALUE"""),"人")</f>
        <v>人</v>
      </c>
      <c r="F126" s="122" t="s">
        <v>5213</v>
      </c>
    </row>
    <row r="127">
      <c r="A127" s="40" t="s">
        <v>1442</v>
      </c>
      <c r="D127" s="122" t="str">
        <f>IFERROR(__xludf.DUMMYFUNCTION("""COMPUTED_VALUE"""),"什")</f>
        <v>什</v>
      </c>
      <c r="F127" s="122" t="s">
        <v>5209</v>
      </c>
    </row>
    <row r="128">
      <c r="A128" s="40" t="s">
        <v>1448</v>
      </c>
      <c r="D128" s="122" t="str">
        <f>IFERROR(__xludf.DUMMYFUNCTION("""COMPUTED_VALUE"""),"仅")</f>
        <v>仅</v>
      </c>
      <c r="F128" s="122" t="s">
        <v>4323</v>
      </c>
    </row>
    <row r="129">
      <c r="A129" s="40" t="s">
        <v>1455</v>
      </c>
      <c r="D129" s="122" t="str">
        <f>IFERROR(__xludf.DUMMYFUNCTION("""COMPUTED_VALUE"""),"仍")</f>
        <v>仍</v>
      </c>
      <c r="F129" s="122" t="s">
        <v>3348</v>
      </c>
    </row>
    <row r="130">
      <c r="A130" s="40" t="s">
        <v>1461</v>
      </c>
      <c r="D130" s="122" t="str">
        <f>IFERROR(__xludf.DUMMYFUNCTION("""COMPUTED_VALUE"""),"从")</f>
        <v>从</v>
      </c>
      <c r="F130" s="122" t="s">
        <v>5909</v>
      </c>
    </row>
    <row r="131">
      <c r="A131" s="40" t="s">
        <v>1467</v>
      </c>
      <c r="D131" s="122" t="str">
        <f>IFERROR(__xludf.DUMMYFUNCTION("""COMPUTED_VALUE"""),"他")</f>
        <v>他</v>
      </c>
      <c r="F131" s="122" t="s">
        <v>4566</v>
      </c>
    </row>
    <row r="132">
      <c r="A132" s="40" t="s">
        <v>1471</v>
      </c>
      <c r="D132" s="122" t="str">
        <f>IFERROR(__xludf.DUMMYFUNCTION("""COMPUTED_VALUE"""),"代")</f>
        <v>代</v>
      </c>
      <c r="F132" s="122" t="s">
        <v>3187</v>
      </c>
    </row>
    <row r="133">
      <c r="A133" s="40" t="s">
        <v>1476</v>
      </c>
      <c r="D133" s="122" t="str">
        <f>IFERROR(__xludf.DUMMYFUNCTION("""COMPUTED_VALUE"""),"以")</f>
        <v>以</v>
      </c>
      <c r="F133" s="122" t="s">
        <v>4498</v>
      </c>
    </row>
    <row r="134">
      <c r="A134" s="40" t="s">
        <v>1481</v>
      </c>
      <c r="D134" s="122" t="str">
        <f>IFERROR(__xludf.DUMMYFUNCTION("""COMPUTED_VALUE"""),"们")</f>
        <v>们</v>
      </c>
      <c r="F134" s="122" t="s">
        <v>4538</v>
      </c>
    </row>
    <row r="135">
      <c r="A135" s="40" t="s">
        <v>1487</v>
      </c>
      <c r="D135" s="122" t="str">
        <f>IFERROR(__xludf.DUMMYFUNCTION("""COMPUTED_VALUE"""),"件")</f>
        <v>件</v>
      </c>
      <c r="F135" s="122" t="s">
        <v>4061</v>
      </c>
    </row>
    <row r="136">
      <c r="A136" s="40" t="s">
        <v>1493</v>
      </c>
      <c r="D136" s="122" t="str">
        <f>IFERROR(__xludf.DUMMYFUNCTION("""COMPUTED_VALUE"""),"任")</f>
        <v>任</v>
      </c>
      <c r="F136" s="122" t="s">
        <v>3825</v>
      </c>
    </row>
    <row r="137">
      <c r="A137" s="40" t="s">
        <v>1499</v>
      </c>
      <c r="D137" s="122" t="str">
        <f>IFERROR(__xludf.DUMMYFUNCTION("""COMPUTED_VALUE"""),"份")</f>
        <v>份</v>
      </c>
      <c r="F137" s="122" t="s">
        <v>3872</v>
      </c>
    </row>
    <row r="138">
      <c r="A138" s="40" t="s">
        <v>1505</v>
      </c>
      <c r="D138" s="122" t="str">
        <f>IFERROR(__xludf.DUMMYFUNCTION("""COMPUTED_VALUE"""),"伊")</f>
        <v>伊</v>
      </c>
      <c r="F138" s="122" t="s">
        <v>4425</v>
      </c>
    </row>
    <row r="139">
      <c r="A139" s="40" t="s">
        <v>1511</v>
      </c>
      <c r="D139" s="122" t="str">
        <f>IFERROR(__xludf.DUMMYFUNCTION("""COMPUTED_VALUE"""),"会")</f>
        <v>会</v>
      </c>
      <c r="F139" s="122" t="s">
        <v>3108</v>
      </c>
    </row>
    <row r="140">
      <c r="A140" s="40" t="s">
        <v>1517</v>
      </c>
      <c r="D140" s="122" t="str">
        <f>IFERROR(__xludf.DUMMYFUNCTION("""COMPUTED_VALUE"""),"传")</f>
        <v>传</v>
      </c>
      <c r="F140" s="122" t="s">
        <v>4563</v>
      </c>
    </row>
    <row r="141">
      <c r="A141" s="40" t="s">
        <v>1522</v>
      </c>
      <c r="D141" s="122" t="str">
        <f>IFERROR(__xludf.DUMMYFUNCTION("""COMPUTED_VALUE"""),"似")</f>
        <v>似</v>
      </c>
      <c r="F141" s="122" t="s">
        <v>3917</v>
      </c>
    </row>
    <row r="142">
      <c r="A142" s="40" t="s">
        <v>1528</v>
      </c>
      <c r="D142" s="122" t="str">
        <f>IFERROR(__xludf.DUMMYFUNCTION("""COMPUTED_VALUE"""),"但")</f>
        <v>但</v>
      </c>
      <c r="F142" s="122" t="s">
        <v>4501</v>
      </c>
    </row>
    <row r="143">
      <c r="A143" s="40" t="s">
        <v>1534</v>
      </c>
      <c r="D143" s="122" t="str">
        <f>IFERROR(__xludf.DUMMYFUNCTION("""COMPUTED_VALUE"""),"位")</f>
        <v>位</v>
      </c>
      <c r="F143" s="122" t="s">
        <v>7355</v>
      </c>
    </row>
    <row r="144">
      <c r="A144" s="40" t="s">
        <v>1540</v>
      </c>
      <c r="D144" s="122" t="str">
        <f>IFERROR(__xludf.DUMMYFUNCTION("""COMPUTED_VALUE"""),"住")</f>
        <v>住</v>
      </c>
      <c r="F144" s="122" t="s">
        <v>3797</v>
      </c>
    </row>
    <row r="145">
      <c r="A145" s="40" t="s">
        <v>1546</v>
      </c>
      <c r="D145" s="122" t="str">
        <f>IFERROR(__xludf.DUMMYFUNCTION("""COMPUTED_VALUE"""),"体")</f>
        <v>体</v>
      </c>
      <c r="F145" s="122" t="s">
        <v>7359</v>
      </c>
    </row>
    <row r="146">
      <c r="A146" s="40" t="s">
        <v>1551</v>
      </c>
      <c r="D146" s="122" t="str">
        <f>IFERROR(__xludf.DUMMYFUNCTION("""COMPUTED_VALUE"""),"何")</f>
        <v>何</v>
      </c>
      <c r="F146" s="122" t="s">
        <v>3843</v>
      </c>
    </row>
    <row r="147">
      <c r="A147" s="40" t="s">
        <v>1558</v>
      </c>
      <c r="D147" s="122" t="str">
        <f>IFERROR(__xludf.DUMMYFUNCTION("""COMPUTED_VALUE"""),"佛")</f>
        <v>佛</v>
      </c>
      <c r="F147" s="122" t="s">
        <v>4532</v>
      </c>
    </row>
    <row r="148">
      <c r="A148" s="40" t="s">
        <v>1565</v>
      </c>
      <c r="D148" s="122" t="str">
        <f>IFERROR(__xludf.DUMMYFUNCTION("""COMPUTED_VALUE"""),"作")</f>
        <v>作</v>
      </c>
      <c r="F148" s="122" t="s">
        <v>5214</v>
      </c>
    </row>
    <row r="149">
      <c r="A149" s="40" t="s">
        <v>1572</v>
      </c>
      <c r="D149" s="122" t="str">
        <f>IFERROR(__xludf.DUMMYFUNCTION("""COMPUTED_VALUE"""),"你")</f>
        <v>你</v>
      </c>
      <c r="F149" s="122" t="s">
        <v>4567</v>
      </c>
    </row>
    <row r="150">
      <c r="A150" s="40" t="s">
        <v>1579</v>
      </c>
      <c r="D150" s="122" t="str">
        <f>IFERROR(__xludf.DUMMYFUNCTION("""COMPUTED_VALUE"""),"使")</f>
        <v>使</v>
      </c>
      <c r="F150" s="122" t="s">
        <v>4087</v>
      </c>
    </row>
    <row r="151">
      <c r="A151" s="40" t="s">
        <v>1583</v>
      </c>
      <c r="D151" s="122" t="str">
        <f>IFERROR(__xludf.DUMMYFUNCTION("""COMPUTED_VALUE"""),"例")</f>
        <v>例</v>
      </c>
      <c r="F151" s="122" t="s">
        <v>6541</v>
      </c>
    </row>
    <row r="152">
      <c r="A152" s="40" t="s">
        <v>1590</v>
      </c>
      <c r="D152" s="122" t="str">
        <f>IFERROR(__xludf.DUMMYFUNCTION("""COMPUTED_VALUE"""),"供")</f>
        <v>供</v>
      </c>
      <c r="F152" s="122" t="s">
        <v>3353</v>
      </c>
    </row>
    <row r="153">
      <c r="A153" s="40" t="s">
        <v>1596</v>
      </c>
      <c r="D153" s="122" t="str">
        <f>IFERROR(__xludf.DUMMYFUNCTION("""COMPUTED_VALUE"""),"便")</f>
        <v>便</v>
      </c>
      <c r="F153" s="122" t="s">
        <v>3273</v>
      </c>
    </row>
    <row r="154">
      <c r="A154" s="40" t="s">
        <v>1601</v>
      </c>
      <c r="D154" s="122" t="str">
        <f>IFERROR(__xludf.DUMMYFUNCTION("""COMPUTED_VALUE"""),"保")</f>
        <v>保</v>
      </c>
      <c r="F154" s="122" t="s">
        <v>3350</v>
      </c>
    </row>
    <row r="155">
      <c r="A155" s="40" t="s">
        <v>1607</v>
      </c>
      <c r="D155" s="122" t="str">
        <f>IFERROR(__xludf.DUMMYFUNCTION("""COMPUTED_VALUE"""),"信")</f>
        <v>信</v>
      </c>
      <c r="F155" s="122" t="s">
        <v>3980</v>
      </c>
    </row>
    <row r="156">
      <c r="A156" s="40" t="s">
        <v>1614</v>
      </c>
      <c r="D156" s="122" t="str">
        <f>IFERROR(__xludf.DUMMYFUNCTION("""COMPUTED_VALUE"""),"修")</f>
        <v>修</v>
      </c>
      <c r="F156" s="122" t="s">
        <v>3509</v>
      </c>
    </row>
    <row r="157">
      <c r="A157" s="40" t="s">
        <v>1621</v>
      </c>
      <c r="D157" s="122" t="str">
        <f>IFERROR(__xludf.DUMMYFUNCTION("""COMPUTED_VALUE"""),"候")</f>
        <v>候</v>
      </c>
      <c r="F157" s="122" t="s">
        <v>7830</v>
      </c>
    </row>
    <row r="158">
      <c r="A158" s="40" t="s">
        <v>1627</v>
      </c>
      <c r="D158" s="122" t="str">
        <f>IFERROR(__xludf.DUMMYFUNCTION("""COMPUTED_VALUE"""),"做")</f>
        <v>做</v>
      </c>
      <c r="F158" s="122" t="s">
        <v>4499</v>
      </c>
    </row>
    <row r="159">
      <c r="A159" s="40" t="s">
        <v>1633</v>
      </c>
      <c r="D159" s="122" t="str">
        <f>IFERROR(__xludf.DUMMYFUNCTION("""COMPUTED_VALUE"""),"偶")</f>
        <v>偶</v>
      </c>
      <c r="F159" s="122" t="s">
        <v>3222</v>
      </c>
    </row>
    <row r="160">
      <c r="A160" s="40" t="s">
        <v>1640</v>
      </c>
      <c r="D160" s="122" t="str">
        <f>IFERROR(__xludf.DUMMYFUNCTION("""COMPUTED_VALUE"""),"催")</f>
        <v>催</v>
      </c>
      <c r="F160" s="122" t="s">
        <v>3632</v>
      </c>
    </row>
    <row r="161">
      <c r="A161" s="40" t="s">
        <v>1647</v>
      </c>
      <c r="D161" s="122" t="str">
        <f>IFERROR(__xludf.DUMMYFUNCTION("""COMPUTED_VALUE"""),"像")</f>
        <v>像</v>
      </c>
      <c r="F161" s="122" t="s">
        <v>5942</v>
      </c>
    </row>
    <row r="162">
      <c r="A162" s="40" t="s">
        <v>1653</v>
      </c>
      <c r="D162" s="122" t="str">
        <f>IFERROR(__xludf.DUMMYFUNCTION("""COMPUTED_VALUE"""),"先")</f>
        <v>先</v>
      </c>
      <c r="F162" s="122" t="s">
        <v>5979</v>
      </c>
    </row>
    <row r="163">
      <c r="A163" s="40" t="s">
        <v>1658</v>
      </c>
      <c r="D163" s="122" t="str">
        <f>IFERROR(__xludf.DUMMYFUNCTION("""COMPUTED_VALUE"""),"光")</f>
        <v>光</v>
      </c>
      <c r="F163" s="122" t="s">
        <v>3551</v>
      </c>
    </row>
    <row r="164">
      <c r="A164" s="40" t="s">
        <v>1662</v>
      </c>
      <c r="D164" s="122" t="str">
        <f>IFERROR(__xludf.DUMMYFUNCTION("""COMPUTED_VALUE"""),"克")</f>
        <v>克</v>
      </c>
      <c r="F164" s="122" t="s">
        <v>4754</v>
      </c>
    </row>
    <row r="165">
      <c r="A165" s="40" t="s">
        <v>1668</v>
      </c>
      <c r="D165" s="122" t="str">
        <f>IFERROR(__xludf.DUMMYFUNCTION("""COMPUTED_VALUE"""),"免")</f>
        <v>免</v>
      </c>
      <c r="F165" s="122" t="s">
        <v>3907</v>
      </c>
    </row>
    <row r="166">
      <c r="A166" s="40" t="s">
        <v>1673</v>
      </c>
      <c r="D166" s="122" t="str">
        <f>IFERROR(__xludf.DUMMYFUNCTION("""COMPUTED_VALUE"""),"入")</f>
        <v>入</v>
      </c>
      <c r="F166" s="122" t="s">
        <v>3182</v>
      </c>
    </row>
    <row r="167">
      <c r="A167" s="40" t="s">
        <v>1678</v>
      </c>
      <c r="D167" s="122" t="str">
        <f>IFERROR(__xludf.DUMMYFUNCTION("""COMPUTED_VALUE"""),"全")</f>
        <v>全</v>
      </c>
      <c r="F167" s="122" t="s">
        <v>9745</v>
      </c>
    </row>
    <row r="168">
      <c r="A168" s="40" t="s">
        <v>1684</v>
      </c>
      <c r="D168" s="122" t="str">
        <f>IFERROR(__xludf.DUMMYFUNCTION("""COMPUTED_VALUE"""),"公")</f>
        <v>公</v>
      </c>
      <c r="F168" s="122" t="s">
        <v>10614</v>
      </c>
    </row>
    <row r="169">
      <c r="A169" s="40" t="s">
        <v>1691</v>
      </c>
      <c r="D169" s="122" t="str">
        <f>IFERROR(__xludf.DUMMYFUNCTION("""COMPUTED_VALUE"""),"六")</f>
        <v>六</v>
      </c>
      <c r="F169" s="122" t="s">
        <v>9527</v>
      </c>
    </row>
    <row r="170">
      <c r="A170" s="40" t="s">
        <v>1697</v>
      </c>
      <c r="D170" s="122" t="str">
        <f>IFERROR(__xludf.DUMMYFUNCTION("""COMPUTED_VALUE"""),"兰")</f>
        <v>兰</v>
      </c>
      <c r="F170" s="122" t="s">
        <v>4943</v>
      </c>
    </row>
    <row r="171">
      <c r="A171" s="40" t="s">
        <v>1704</v>
      </c>
      <c r="D171" s="122" t="str">
        <f>IFERROR(__xludf.DUMMYFUNCTION("""COMPUTED_VALUE"""),"关")</f>
        <v>关</v>
      </c>
      <c r="F171" s="122" t="s">
        <v>3426</v>
      </c>
    </row>
    <row r="172">
      <c r="A172" s="40" t="s">
        <v>1710</v>
      </c>
      <c r="D172" s="122" t="str">
        <f>IFERROR(__xludf.DUMMYFUNCTION("""COMPUTED_VALUE"""),"兴")</f>
        <v>兴</v>
      </c>
      <c r="F172" s="122" t="s">
        <v>3434</v>
      </c>
    </row>
    <row r="173">
      <c r="A173" s="40" t="s">
        <v>1717</v>
      </c>
      <c r="D173" s="122" t="str">
        <f>IFERROR(__xludf.DUMMYFUNCTION("""COMPUTED_VALUE"""),"其")</f>
        <v>其</v>
      </c>
      <c r="F173" s="122" t="s">
        <v>8600</v>
      </c>
    </row>
    <row r="174">
      <c r="A174" s="40" t="s">
        <v>1723</v>
      </c>
      <c r="D174" s="122" t="str">
        <f>IFERROR(__xludf.DUMMYFUNCTION("""COMPUTED_VALUE"""),"具")</f>
        <v>具</v>
      </c>
      <c r="F174" s="122" t="s">
        <v>8451</v>
      </c>
    </row>
    <row r="175">
      <c r="A175" s="40" t="s">
        <v>1728</v>
      </c>
      <c r="D175" s="122" t="str">
        <f>IFERROR(__xludf.DUMMYFUNCTION("""COMPUTED_VALUE"""),"兽")</f>
        <v>兽</v>
      </c>
      <c r="F175" s="122" t="s">
        <v>5175</v>
      </c>
    </row>
    <row r="176">
      <c r="A176" s="40" t="s">
        <v>1735</v>
      </c>
      <c r="D176" s="122" t="str">
        <f>IFERROR(__xludf.DUMMYFUNCTION("""COMPUTED_VALUE"""),"内")</f>
        <v>内</v>
      </c>
      <c r="F176" s="122" t="s">
        <v>3478</v>
      </c>
    </row>
    <row r="177">
      <c r="A177" s="40" t="s">
        <v>1741</v>
      </c>
      <c r="D177" s="122" t="str">
        <f>IFERROR(__xludf.DUMMYFUNCTION("""COMPUTED_VALUE"""),"再")</f>
        <v>再</v>
      </c>
      <c r="F177" s="122" t="s">
        <v>6680</v>
      </c>
    </row>
    <row r="178">
      <c r="A178" s="40" t="s">
        <v>1748</v>
      </c>
      <c r="D178" s="122" t="str">
        <f>IFERROR(__xludf.DUMMYFUNCTION("""COMPUTED_VALUE"""),"最")</f>
        <v>最</v>
      </c>
      <c r="F178" s="122" t="s">
        <v>8348</v>
      </c>
    </row>
    <row r="179">
      <c r="A179" s="40" t="s">
        <v>1755</v>
      </c>
      <c r="D179" s="122" t="str">
        <f>IFERROR(__xludf.DUMMYFUNCTION("""COMPUTED_VALUE"""),"写")</f>
        <v>写</v>
      </c>
      <c r="F179" s="122" t="s">
        <v>10615</v>
      </c>
    </row>
    <row r="180">
      <c r="A180" s="40" t="s">
        <v>1762</v>
      </c>
      <c r="D180" s="122" t="str">
        <f>IFERROR(__xludf.DUMMYFUNCTION("""COMPUTED_VALUE"""),"军")</f>
        <v>军</v>
      </c>
      <c r="F180" s="122" t="s">
        <v>6223</v>
      </c>
    </row>
    <row r="181">
      <c r="A181" s="40" t="s">
        <v>1769</v>
      </c>
      <c r="D181" s="122" t="str">
        <f>IFERROR(__xludf.DUMMYFUNCTION("""COMPUTED_VALUE"""),"冠")</f>
        <v>冠</v>
      </c>
      <c r="F181" s="122" t="s">
        <v>9980</v>
      </c>
    </row>
    <row r="182">
      <c r="A182" s="40" t="s">
        <v>1776</v>
      </c>
      <c r="D182" s="122" t="str">
        <f>IFERROR(__xludf.DUMMYFUNCTION("""COMPUTED_VALUE"""),"决")</f>
        <v>决</v>
      </c>
      <c r="F182" s="122" t="s">
        <v>10056</v>
      </c>
    </row>
    <row r="183">
      <c r="A183" s="40" t="s">
        <v>1781</v>
      </c>
      <c r="D183" s="122" t="str">
        <f>IFERROR(__xludf.DUMMYFUNCTION("""COMPUTED_VALUE"""),"况")</f>
        <v>况</v>
      </c>
      <c r="F183" s="122" t="s">
        <v>6810</v>
      </c>
    </row>
    <row r="184">
      <c r="A184" s="40" t="s">
        <v>1787</v>
      </c>
      <c r="D184" s="122" t="str">
        <f>IFERROR(__xludf.DUMMYFUNCTION("""COMPUTED_VALUE"""),"冻")</f>
        <v>冻</v>
      </c>
      <c r="F184" s="122" t="s">
        <v>10303</v>
      </c>
    </row>
    <row r="185">
      <c r="A185" s="40" t="s">
        <v>1794</v>
      </c>
      <c r="D185" s="122" t="str">
        <f>IFERROR(__xludf.DUMMYFUNCTION("""COMPUTED_VALUE"""),"准")</f>
        <v>准</v>
      </c>
      <c r="F185" s="122" t="s">
        <v>4363</v>
      </c>
    </row>
    <row r="186">
      <c r="A186" s="40" t="s">
        <v>1801</v>
      </c>
      <c r="D186" s="122" t="str">
        <f>IFERROR(__xludf.DUMMYFUNCTION("""COMPUTED_VALUE"""),"几")</f>
        <v>几</v>
      </c>
      <c r="F186" s="122" t="s">
        <v>9103</v>
      </c>
    </row>
    <row r="187">
      <c r="A187" s="40" t="s">
        <v>1808</v>
      </c>
      <c r="D187" s="122" t="str">
        <f>IFERROR(__xludf.DUMMYFUNCTION("""COMPUTED_VALUE"""),"凤")</f>
        <v>凤</v>
      </c>
      <c r="F187" s="122" t="s">
        <v>4790</v>
      </c>
    </row>
    <row r="188">
      <c r="A188" s="40" t="s">
        <v>1815</v>
      </c>
      <c r="D188" s="122" t="str">
        <f>IFERROR(__xludf.DUMMYFUNCTION("""COMPUTED_VALUE"""),"凯")</f>
        <v>凯</v>
      </c>
      <c r="F188" s="122" t="s">
        <v>3180</v>
      </c>
    </row>
    <row r="189">
      <c r="A189" s="40" t="s">
        <v>1822</v>
      </c>
      <c r="D189" s="122" t="str">
        <f>IFERROR(__xludf.DUMMYFUNCTION("""COMPUTED_VALUE"""),"出")</f>
        <v>出</v>
      </c>
      <c r="F189" s="122" t="s">
        <v>3793</v>
      </c>
    </row>
    <row r="190">
      <c r="A190" s="40" t="s">
        <v>1827</v>
      </c>
      <c r="D190" s="122" t="str">
        <f>IFERROR(__xludf.DUMMYFUNCTION("""COMPUTED_VALUE"""),"击")</f>
        <v>击</v>
      </c>
      <c r="F190" s="122" t="s">
        <v>4788</v>
      </c>
    </row>
    <row r="191">
      <c r="A191" s="40" t="s">
        <v>1834</v>
      </c>
      <c r="D191" s="122" t="str">
        <f>IFERROR(__xludf.DUMMYFUNCTION("""COMPUTED_VALUE"""),"刀")</f>
        <v>刀</v>
      </c>
      <c r="F191" s="122" t="s">
        <v>3424</v>
      </c>
    </row>
    <row r="192">
      <c r="A192" s="40" t="s">
        <v>1841</v>
      </c>
      <c r="D192" s="122" t="str">
        <f>IFERROR(__xludf.DUMMYFUNCTION("""COMPUTED_VALUE"""),"切")</f>
        <v>切</v>
      </c>
      <c r="F192" s="122" t="s">
        <v>5556</v>
      </c>
    </row>
    <row r="193">
      <c r="A193" s="40" t="s">
        <v>1848</v>
      </c>
      <c r="D193" s="122" t="str">
        <f>IFERROR(__xludf.DUMMYFUNCTION("""COMPUTED_VALUE"""),"列")</f>
        <v>列</v>
      </c>
      <c r="F193" s="122" t="s">
        <v>5277</v>
      </c>
    </row>
    <row r="194">
      <c r="A194" s="40" t="s">
        <v>1853</v>
      </c>
      <c r="D194" s="122" t="str">
        <f>IFERROR(__xludf.DUMMYFUNCTION("""COMPUTED_VALUE"""),"则")</f>
        <v>则</v>
      </c>
      <c r="F194" s="122" t="s">
        <v>4539</v>
      </c>
    </row>
    <row r="195">
      <c r="A195" s="40" t="s">
        <v>1858</v>
      </c>
      <c r="D195" s="122" t="str">
        <f>IFERROR(__xludf.DUMMYFUNCTION("""COMPUTED_VALUE"""),"创")</f>
        <v>创</v>
      </c>
      <c r="F195" s="122" t="s">
        <v>3321</v>
      </c>
    </row>
    <row r="196">
      <c r="A196" s="40" t="s">
        <v>1864</v>
      </c>
      <c r="D196" s="122" t="str">
        <f>IFERROR(__xludf.DUMMYFUNCTION("""COMPUTED_VALUE"""),"利")</f>
        <v>利</v>
      </c>
      <c r="F196" s="122" t="s">
        <v>3323</v>
      </c>
    </row>
    <row r="197">
      <c r="A197" s="40" t="s">
        <v>1869</v>
      </c>
      <c r="D197" s="122" t="str">
        <f>IFERROR(__xludf.DUMMYFUNCTION("""COMPUTED_VALUE"""),"别")</f>
        <v>别</v>
      </c>
      <c r="F197" s="122" t="s">
        <v>3550</v>
      </c>
    </row>
    <row r="198">
      <c r="A198" s="40" t="s">
        <v>1876</v>
      </c>
      <c r="D198" s="122" t="str">
        <f>IFERROR(__xludf.DUMMYFUNCTION("""COMPUTED_VALUE"""),"到")</f>
        <v>到</v>
      </c>
      <c r="F198" s="122" t="s">
        <v>5487</v>
      </c>
    </row>
    <row r="199">
      <c r="A199" s="40" t="s">
        <v>1883</v>
      </c>
      <c r="D199" s="122" t="str">
        <f>IFERROR(__xludf.DUMMYFUNCTION("""COMPUTED_VALUE"""),"制")</f>
        <v>制</v>
      </c>
      <c r="F199" s="122" t="s">
        <v>5522</v>
      </c>
    </row>
    <row r="200">
      <c r="A200" s="40" t="s">
        <v>1889</v>
      </c>
      <c r="D200" s="122" t="str">
        <f>IFERROR(__xludf.DUMMYFUNCTION("""COMPUTED_VALUE"""),"刺")</f>
        <v>刺</v>
      </c>
      <c r="F200" s="122" t="s">
        <v>5040</v>
      </c>
    </row>
    <row r="201">
      <c r="A201" s="40" t="s">
        <v>1894</v>
      </c>
      <c r="D201" s="122" t="str">
        <f>IFERROR(__xludf.DUMMYFUNCTION("""COMPUTED_VALUE"""),"前")</f>
        <v>前</v>
      </c>
      <c r="F201" s="122" t="s">
        <v>4980</v>
      </c>
    </row>
    <row r="202">
      <c r="A202" s="40" t="s">
        <v>1900</v>
      </c>
      <c r="D202" s="122" t="str">
        <f>IFERROR(__xludf.DUMMYFUNCTION("""COMPUTED_VALUE"""),"力")</f>
        <v>力</v>
      </c>
      <c r="F202" s="122" t="s">
        <v>4310</v>
      </c>
    </row>
    <row r="203">
      <c r="A203" s="40" t="s">
        <v>1906</v>
      </c>
      <c r="D203" s="122" t="str">
        <f>IFERROR(__xludf.DUMMYFUNCTION("""COMPUTED_VALUE"""),"功")</f>
        <v>功</v>
      </c>
      <c r="F203" s="122" t="s">
        <v>5667</v>
      </c>
    </row>
    <row r="204">
      <c r="A204" s="40" t="s">
        <v>1912</v>
      </c>
      <c r="D204" s="122" t="str">
        <f>IFERROR(__xludf.DUMMYFUNCTION("""COMPUTED_VALUE"""),"加")</f>
        <v>加</v>
      </c>
      <c r="F204" s="122" t="s">
        <v>5055</v>
      </c>
    </row>
    <row r="205">
      <c r="A205" s="40" t="s">
        <v>1918</v>
      </c>
      <c r="D205" s="122" t="str">
        <f>IFERROR(__xludf.DUMMYFUNCTION("""COMPUTED_VALUE"""),"动")</f>
        <v>动</v>
      </c>
      <c r="F205" s="122" t="s">
        <v>4364</v>
      </c>
    </row>
    <row r="206">
      <c r="A206" s="40" t="s">
        <v>1922</v>
      </c>
      <c r="D206" s="122" t="str">
        <f>IFERROR(__xludf.DUMMYFUNCTION("""COMPUTED_VALUE"""),"助")</f>
        <v>助</v>
      </c>
      <c r="F206" s="122" t="s">
        <v>6995</v>
      </c>
    </row>
    <row r="207">
      <c r="A207" s="40" t="s">
        <v>1929</v>
      </c>
      <c r="D207" s="122" t="str">
        <f>IFERROR(__xludf.DUMMYFUNCTION("""COMPUTED_VALUE"""),"励")</f>
        <v>励</v>
      </c>
      <c r="F207" s="122" t="s">
        <v>5134</v>
      </c>
    </row>
    <row r="208">
      <c r="A208" s="40" t="s">
        <v>1936</v>
      </c>
      <c r="D208" s="122" t="str">
        <f>IFERROR(__xludf.DUMMYFUNCTION("""COMPUTED_VALUE"""),"勇")</f>
        <v>勇</v>
      </c>
      <c r="F208" s="122" t="s">
        <v>8990</v>
      </c>
    </row>
    <row r="209">
      <c r="A209" s="40" t="s">
        <v>1941</v>
      </c>
      <c r="D209" s="122" t="str">
        <f>IFERROR(__xludf.DUMMYFUNCTION("""COMPUTED_VALUE"""),"化")</f>
        <v>化</v>
      </c>
      <c r="F209" s="122" t="s">
        <v>6648</v>
      </c>
    </row>
    <row r="210">
      <c r="A210" s="40" t="s">
        <v>1945</v>
      </c>
      <c r="D210" s="122" t="str">
        <f>IFERROR(__xludf.DUMMYFUNCTION("""COMPUTED_VALUE"""),"区")</f>
        <v>区</v>
      </c>
      <c r="F210" s="122" t="s">
        <v>4208</v>
      </c>
    </row>
    <row r="211">
      <c r="A211" s="40" t="s">
        <v>1951</v>
      </c>
      <c r="D211" s="122" t="str">
        <f>IFERROR(__xludf.DUMMYFUNCTION("""COMPUTED_VALUE"""),"千")</f>
        <v>千</v>
      </c>
      <c r="F211" s="122" t="s">
        <v>3583</v>
      </c>
    </row>
    <row r="212">
      <c r="A212" s="40" t="s">
        <v>1958</v>
      </c>
      <c r="D212" s="122" t="str">
        <f>IFERROR(__xludf.DUMMYFUNCTION("""COMPUTED_VALUE"""),"华")</f>
        <v>华</v>
      </c>
      <c r="F212" s="122" t="s">
        <v>3245</v>
      </c>
    </row>
    <row r="213">
      <c r="A213" s="40" t="s">
        <v>1965</v>
      </c>
      <c r="D213" s="122" t="str">
        <f>IFERROR(__xludf.DUMMYFUNCTION("""COMPUTED_VALUE"""),"协")</f>
        <v>协</v>
      </c>
      <c r="F213" s="122" t="s">
        <v>3242</v>
      </c>
    </row>
    <row r="214">
      <c r="A214" s="40" t="s">
        <v>1971</v>
      </c>
      <c r="D214" s="122" t="str">
        <f>IFERROR(__xludf.DUMMYFUNCTION("""COMPUTED_VALUE"""),"单")</f>
        <v>单</v>
      </c>
      <c r="F214" s="122" t="s">
        <v>4213</v>
      </c>
    </row>
    <row r="215">
      <c r="A215" s="40" t="s">
        <v>1978</v>
      </c>
      <c r="D215" s="122" t="str">
        <f>IFERROR(__xludf.DUMMYFUNCTION("""COMPUTED_VALUE"""),"南")</f>
        <v>南</v>
      </c>
      <c r="F215" s="122" t="s">
        <v>4241</v>
      </c>
    </row>
    <row r="216">
      <c r="A216" s="40" t="s">
        <v>1984</v>
      </c>
      <c r="D216" s="122" t="str">
        <f>IFERROR(__xludf.DUMMYFUNCTION("""COMPUTED_VALUE"""),"博")</f>
        <v>博</v>
      </c>
      <c r="F216" s="122" t="s">
        <v>3074</v>
      </c>
    </row>
    <row r="217">
      <c r="A217" s="40" t="s">
        <v>1991</v>
      </c>
      <c r="D217" s="122" t="str">
        <f>IFERROR(__xludf.DUMMYFUNCTION("""COMPUTED_VALUE"""),"卡")</f>
        <v>卡</v>
      </c>
      <c r="F217" s="122" t="s">
        <v>3238</v>
      </c>
    </row>
    <row r="218">
      <c r="A218" s="40" t="s">
        <v>1998</v>
      </c>
      <c r="D218" s="122" t="str">
        <f>IFERROR(__xludf.DUMMYFUNCTION("""COMPUTED_VALUE"""),"即")</f>
        <v>即</v>
      </c>
      <c r="F218" s="122" t="s">
        <v>3189</v>
      </c>
    </row>
    <row r="219">
      <c r="A219" s="40" t="s">
        <v>2004</v>
      </c>
      <c r="D219" s="122" t="str">
        <f>IFERROR(__xludf.DUMMYFUNCTION("""COMPUTED_VALUE"""),"卷")</f>
        <v>卷</v>
      </c>
      <c r="F219" s="122" t="s">
        <v>4201</v>
      </c>
    </row>
    <row r="220">
      <c r="A220" s="40" t="s">
        <v>2009</v>
      </c>
      <c r="D220" s="122" t="str">
        <f>IFERROR(__xludf.DUMMYFUNCTION("""COMPUTED_VALUE"""),"原")</f>
        <v>原</v>
      </c>
      <c r="F220" s="122" t="s">
        <v>4791</v>
      </c>
    </row>
    <row r="221">
      <c r="A221" s="40" t="s">
        <v>2016</v>
      </c>
      <c r="D221" s="122" t="str">
        <f>IFERROR(__xludf.DUMMYFUNCTION("""COMPUTED_VALUE"""),"去")</f>
        <v>去</v>
      </c>
      <c r="F221" s="122" t="s">
        <v>5629</v>
      </c>
    </row>
    <row r="222">
      <c r="A222" s="40" t="s">
        <v>2023</v>
      </c>
      <c r="D222" s="122" t="str">
        <f>IFERROR(__xludf.DUMMYFUNCTION("""COMPUTED_VALUE"""),"叉")</f>
        <v>叉</v>
      </c>
      <c r="F222" s="122" t="s">
        <v>3226</v>
      </c>
    </row>
    <row r="223">
      <c r="A223" s="40" t="s">
        <v>2029</v>
      </c>
      <c r="D223" s="122" t="str">
        <f>IFERROR(__xludf.DUMMYFUNCTION("""COMPUTED_VALUE"""),"及")</f>
        <v>及</v>
      </c>
      <c r="F223" s="122" t="s">
        <v>3148</v>
      </c>
    </row>
    <row r="224">
      <c r="A224" s="40" t="s">
        <v>2035</v>
      </c>
      <c r="D224" s="122" t="str">
        <f>IFERROR(__xludf.DUMMYFUNCTION("""COMPUTED_VALUE"""),"友")</f>
        <v>友</v>
      </c>
      <c r="F224" s="122" t="s">
        <v>3791</v>
      </c>
    </row>
    <row r="225">
      <c r="A225" s="40" t="s">
        <v>2041</v>
      </c>
      <c r="D225" s="122" t="str">
        <f>IFERROR(__xludf.DUMMYFUNCTION("""COMPUTED_VALUE"""),"双")</f>
        <v>双</v>
      </c>
      <c r="F225" s="122" t="s">
        <v>8070</v>
      </c>
    </row>
    <row r="226">
      <c r="A226" s="40" t="s">
        <v>2046</v>
      </c>
      <c r="D226" s="122" t="str">
        <f>IFERROR(__xludf.DUMMYFUNCTION("""COMPUTED_VALUE"""),"反")</f>
        <v>反</v>
      </c>
      <c r="F226" s="122" t="s">
        <v>6852</v>
      </c>
    </row>
    <row r="227">
      <c r="A227" s="40" t="s">
        <v>2053</v>
      </c>
      <c r="D227" s="122" t="str">
        <f>IFERROR(__xludf.DUMMYFUNCTION("""COMPUTED_VALUE"""),"发")</f>
        <v>发</v>
      </c>
      <c r="F227" s="122" t="s">
        <v>4541</v>
      </c>
    </row>
    <row r="228">
      <c r="A228" s="40" t="s">
        <v>2060</v>
      </c>
      <c r="D228" s="122" t="str">
        <f>IFERROR(__xludf.DUMMYFUNCTION("""COMPUTED_VALUE"""),"取")</f>
        <v>取</v>
      </c>
      <c r="F228" s="122" t="s">
        <v>3432</v>
      </c>
    </row>
    <row r="229">
      <c r="A229" s="40" t="s">
        <v>2067</v>
      </c>
      <c r="D229" s="122" t="str">
        <f>IFERROR(__xludf.DUMMYFUNCTION("""COMPUTED_VALUE"""),"受")</f>
        <v>受</v>
      </c>
      <c r="F229" s="122" t="s">
        <v>6771</v>
      </c>
    </row>
    <row r="230">
      <c r="A230" s="40" t="s">
        <v>2074</v>
      </c>
      <c r="D230" s="122" t="str">
        <f>IFERROR(__xludf.DUMMYFUNCTION("""COMPUTED_VALUE"""),"变")</f>
        <v>变</v>
      </c>
      <c r="F230" s="122" t="s">
        <v>9724</v>
      </c>
    </row>
    <row r="231">
      <c r="A231" s="40" t="s">
        <v>2080</v>
      </c>
      <c r="D231" s="122" t="str">
        <f>IFERROR(__xludf.DUMMYFUNCTION("""COMPUTED_VALUE"""),"口")</f>
        <v>口</v>
      </c>
      <c r="F231" s="122" t="s">
        <v>3075</v>
      </c>
    </row>
    <row r="232">
      <c r="A232" s="40" t="s">
        <v>2084</v>
      </c>
      <c r="D232" s="122" t="str">
        <f>IFERROR(__xludf.DUMMYFUNCTION("""COMPUTED_VALUE"""),"古")</f>
        <v>古</v>
      </c>
      <c r="F232" s="122" t="s">
        <v>3394</v>
      </c>
    </row>
    <row r="233">
      <c r="A233" s="40" t="s">
        <v>2090</v>
      </c>
      <c r="D233" s="122" t="str">
        <f>IFERROR(__xludf.DUMMYFUNCTION("""COMPUTED_VALUE"""),"句")</f>
        <v>句</v>
      </c>
      <c r="F233" s="122" t="s">
        <v>4493</v>
      </c>
    </row>
    <row r="234">
      <c r="A234" s="40" t="s">
        <v>2096</v>
      </c>
      <c r="D234" s="122" t="str">
        <f>IFERROR(__xludf.DUMMYFUNCTION("""COMPUTED_VALUE"""),"另")</f>
        <v>另</v>
      </c>
      <c r="F234" s="122" t="s">
        <v>3437</v>
      </c>
    </row>
    <row r="235">
      <c r="A235" s="40" t="s">
        <v>2102</v>
      </c>
      <c r="D235" s="122" t="str">
        <f>IFERROR(__xludf.DUMMYFUNCTION("""COMPUTED_VALUE"""),"叨")</f>
        <v>叨</v>
      </c>
      <c r="F235" s="122" t="s">
        <v>4012</v>
      </c>
    </row>
    <row r="236">
      <c r="A236" s="40" t="s">
        <v>2109</v>
      </c>
      <c r="D236" s="122" t="str">
        <f>IFERROR(__xludf.DUMMYFUNCTION("""COMPUTED_VALUE"""),"只")</f>
        <v>只</v>
      </c>
      <c r="F236" s="122" t="s">
        <v>3956</v>
      </c>
    </row>
    <row r="237">
      <c r="A237" s="40" t="s">
        <v>2115</v>
      </c>
      <c r="D237" s="122" t="str">
        <f>IFERROR(__xludf.DUMMYFUNCTION("""COMPUTED_VALUE"""),"叭")</f>
        <v>叭</v>
      </c>
      <c r="F237" s="122" t="s">
        <v>4211</v>
      </c>
    </row>
    <row r="238">
      <c r="A238" s="40" t="s">
        <v>2121</v>
      </c>
      <c r="D238" s="122" t="str">
        <f>IFERROR(__xludf.DUMMYFUNCTION("""COMPUTED_VALUE"""),"可")</f>
        <v>可</v>
      </c>
      <c r="F238" s="122" t="s">
        <v>4199</v>
      </c>
    </row>
    <row r="239">
      <c r="A239" s="40" t="s">
        <v>2127</v>
      </c>
      <c r="D239" s="122" t="str">
        <f>IFERROR(__xludf.DUMMYFUNCTION("""COMPUTED_VALUE"""),"台")</f>
        <v>台</v>
      </c>
      <c r="F239" s="122" t="s">
        <v>5759</v>
      </c>
    </row>
    <row r="240">
      <c r="A240" s="40" t="s">
        <v>2132</v>
      </c>
      <c r="D240" s="122" t="str">
        <f>IFERROR(__xludf.DUMMYFUNCTION("""COMPUTED_VALUE"""),"叶")</f>
        <v>叶</v>
      </c>
      <c r="F240" s="122" t="s">
        <v>4320</v>
      </c>
    </row>
    <row r="241">
      <c r="A241" s="40" t="s">
        <v>2137</v>
      </c>
      <c r="D241" s="122" t="str">
        <f>IFERROR(__xludf.DUMMYFUNCTION("""COMPUTED_VALUE"""),"各")</f>
        <v>各</v>
      </c>
      <c r="F241" s="122" t="s">
        <v>4356</v>
      </c>
    </row>
    <row r="242">
      <c r="A242" s="40" t="s">
        <v>2143</v>
      </c>
      <c r="D242" s="122" t="str">
        <f>IFERROR(__xludf.DUMMYFUNCTION("""COMPUTED_VALUE"""),"合")</f>
        <v>合</v>
      </c>
      <c r="F242" s="122" t="s">
        <v>3346</v>
      </c>
    </row>
    <row r="243">
      <c r="A243" s="40" t="s">
        <v>2150</v>
      </c>
      <c r="D243" s="122" t="str">
        <f>IFERROR(__xludf.DUMMYFUNCTION("""COMPUTED_VALUE"""),"吉")</f>
        <v>吉</v>
      </c>
      <c r="F243" s="122" t="s">
        <v>5091</v>
      </c>
    </row>
    <row r="244">
      <c r="A244" s="40" t="s">
        <v>2155</v>
      </c>
      <c r="D244" s="122" t="str">
        <f>IFERROR(__xludf.DUMMYFUNCTION("""COMPUTED_VALUE"""),"同")</f>
        <v>同</v>
      </c>
      <c r="F244" s="122" t="s">
        <v>3354</v>
      </c>
    </row>
    <row r="245">
      <c r="A245" s="40" t="s">
        <v>2159</v>
      </c>
      <c r="D245" s="122" t="str">
        <f>IFERROR(__xludf.DUMMYFUNCTION("""COMPUTED_VALUE"""),"名")</f>
        <v>名</v>
      </c>
      <c r="F245" s="122" t="s">
        <v>4678</v>
      </c>
    </row>
    <row r="246">
      <c r="A246" s="40" t="s">
        <v>2163</v>
      </c>
      <c r="D246" s="122" t="str">
        <f>IFERROR(__xludf.DUMMYFUNCTION("""COMPUTED_VALUE"""),"后")</f>
        <v>后</v>
      </c>
      <c r="F246" s="122" t="s">
        <v>3237</v>
      </c>
    </row>
    <row r="247">
      <c r="A247" s="40" t="s">
        <v>2167</v>
      </c>
      <c r="D247" s="122" t="str">
        <f>IFERROR(__xludf.DUMMYFUNCTION("""COMPUTED_VALUE"""),"向")</f>
        <v>向</v>
      </c>
      <c r="F247" s="122" t="s">
        <v>3471</v>
      </c>
    </row>
    <row r="248">
      <c r="A248" s="40" t="s">
        <v>2174</v>
      </c>
      <c r="D248" s="122" t="str">
        <f>IFERROR(__xludf.DUMMYFUNCTION("""COMPUTED_VALUE"""),"吗")</f>
        <v>吗</v>
      </c>
      <c r="F248" s="122" t="s">
        <v>6681</v>
      </c>
    </row>
    <row r="249">
      <c r="A249" s="40" t="s">
        <v>2180</v>
      </c>
      <c r="D249" s="122" t="str">
        <f>IFERROR(__xludf.DUMMYFUNCTION("""COMPUTED_VALUE"""),"君")</f>
        <v>君</v>
      </c>
      <c r="F249" s="122" t="s">
        <v>3741</v>
      </c>
    </row>
    <row r="250">
      <c r="A250" s="40" t="s">
        <v>2185</v>
      </c>
      <c r="D250" s="122" t="str">
        <f>IFERROR(__xludf.DUMMYFUNCTION("""COMPUTED_VALUE"""),"否")</f>
        <v>否</v>
      </c>
      <c r="F250" s="122" t="s">
        <v>7240</v>
      </c>
    </row>
    <row r="251">
      <c r="A251" s="40" t="s">
        <v>2192</v>
      </c>
      <c r="D251" s="122" t="str">
        <f>IFERROR(__xludf.DUMMYFUNCTION("""COMPUTED_VALUE"""),"吧")</f>
        <v>吧</v>
      </c>
      <c r="F251" s="122" t="s">
        <v>4573</v>
      </c>
    </row>
    <row r="252">
      <c r="A252" s="40" t="s">
        <v>2197</v>
      </c>
      <c r="D252" s="122" t="str">
        <f>IFERROR(__xludf.DUMMYFUNCTION("""COMPUTED_VALUE"""),"听")</f>
        <v>听</v>
      </c>
      <c r="F252" s="122" t="s">
        <v>5199</v>
      </c>
    </row>
    <row r="253">
      <c r="A253" s="40" t="s">
        <v>2202</v>
      </c>
      <c r="D253" s="122" t="str">
        <f>IFERROR(__xludf.DUMMYFUNCTION("""COMPUTED_VALUE"""),"启")</f>
        <v>启</v>
      </c>
      <c r="F253" s="122" t="s">
        <v>6710</v>
      </c>
    </row>
    <row r="254">
      <c r="A254" s="40" t="s">
        <v>2209</v>
      </c>
      <c r="D254" s="122" t="str">
        <f>IFERROR(__xludf.DUMMYFUNCTION("""COMPUTED_VALUE"""),"呆")</f>
        <v>呆</v>
      </c>
      <c r="F254" s="122" t="s">
        <v>3084</v>
      </c>
    </row>
    <row r="255">
      <c r="A255" s="40" t="s">
        <v>2216</v>
      </c>
      <c r="D255" s="122" t="str">
        <f>IFERROR(__xludf.DUMMYFUNCTION("""COMPUTED_VALUE"""),"告")</f>
        <v>告</v>
      </c>
      <c r="F255" s="122" t="s">
        <v>7825</v>
      </c>
    </row>
    <row r="256">
      <c r="A256" s="40" t="s">
        <v>2222</v>
      </c>
      <c r="D256" s="122" t="str">
        <f>IFERROR(__xludf.DUMMYFUNCTION("""COMPUTED_VALUE"""),"员")</f>
        <v>员</v>
      </c>
      <c r="F256" s="122" t="s">
        <v>7114</v>
      </c>
    </row>
    <row r="257">
      <c r="A257" s="40" t="s">
        <v>2228</v>
      </c>
      <c r="D257" s="122" t="str">
        <f>IFERROR(__xludf.DUMMYFUNCTION("""COMPUTED_VALUE"""),"味")</f>
        <v>味</v>
      </c>
      <c r="F257" s="122" t="s">
        <v>7341</v>
      </c>
    </row>
    <row r="258">
      <c r="A258" s="40" t="s">
        <v>2234</v>
      </c>
      <c r="D258" s="122" t="str">
        <f>IFERROR(__xludf.DUMMYFUNCTION("""COMPUTED_VALUE"""),"和")</f>
        <v>和</v>
      </c>
      <c r="F258" s="122" t="s">
        <v>3083</v>
      </c>
    </row>
    <row r="259">
      <c r="A259" s="40" t="s">
        <v>2240</v>
      </c>
      <c r="D259" s="122" t="str">
        <f>IFERROR(__xludf.DUMMYFUNCTION("""COMPUTED_VALUE"""),"咕")</f>
        <v>咕</v>
      </c>
      <c r="F259" s="122" t="s">
        <v>5139</v>
      </c>
    </row>
    <row r="260">
      <c r="A260" s="40" t="s">
        <v>2247</v>
      </c>
      <c r="D260" s="122" t="str">
        <f>IFERROR(__xludf.DUMMYFUNCTION("""COMPUTED_VALUE"""),"咩")</f>
        <v>咩</v>
      </c>
      <c r="F260" s="122" t="s">
        <v>3817</v>
      </c>
    </row>
    <row r="261">
      <c r="A261" s="40" t="s">
        <v>2254</v>
      </c>
      <c r="D261" s="122" t="str">
        <f>IFERROR(__xludf.DUMMYFUNCTION("""COMPUTED_VALUE"""),"咪")</f>
        <v>咪</v>
      </c>
      <c r="F261" s="122" t="s">
        <v>5135</v>
      </c>
    </row>
    <row r="262">
      <c r="A262" s="40" t="s">
        <v>2258</v>
      </c>
      <c r="D262" s="122" t="str">
        <f>IFERROR(__xludf.DUMMYFUNCTION("""COMPUTED_VALUE"""),"哈")</f>
        <v>哈</v>
      </c>
      <c r="F262" s="122" t="s">
        <v>3951</v>
      </c>
    </row>
    <row r="263">
      <c r="A263" s="40" t="s">
        <v>2264</v>
      </c>
      <c r="D263" s="122" t="str">
        <f>IFERROR(__xludf.DUMMYFUNCTION("""COMPUTED_VALUE"""),"哥")</f>
        <v>哥</v>
      </c>
      <c r="F263" s="122" t="s">
        <v>4670</v>
      </c>
    </row>
    <row r="264">
      <c r="A264" s="40" t="s">
        <v>2271</v>
      </c>
      <c r="D264" s="122" t="str">
        <f>IFERROR(__xludf.DUMMYFUNCTION("""COMPUTED_VALUE"""),"哪")</f>
        <v>哪</v>
      </c>
      <c r="F264" s="122" t="s">
        <v>5594</v>
      </c>
    </row>
    <row r="265">
      <c r="A265" s="40" t="s">
        <v>2277</v>
      </c>
      <c r="D265" s="122" t="str">
        <f>IFERROR(__xludf.DUMMYFUNCTION("""COMPUTED_VALUE"""),"唇")</f>
        <v>唇</v>
      </c>
      <c r="F265" s="122" t="s">
        <v>3628</v>
      </c>
    </row>
    <row r="266">
      <c r="A266" s="40" t="s">
        <v>2284</v>
      </c>
      <c r="D266" s="122" t="str">
        <f>IFERROR(__xludf.DUMMYFUNCTION("""COMPUTED_VALUE"""),"唠")</f>
        <v>唠</v>
      </c>
      <c r="F266" s="122" t="s">
        <v>6848</v>
      </c>
    </row>
    <row r="267">
      <c r="A267" s="40" t="s">
        <v>2290</v>
      </c>
      <c r="D267" s="122" t="str">
        <f>IFERROR(__xludf.DUMMYFUNCTION("""COMPUTED_VALUE"""),"售")</f>
        <v>售</v>
      </c>
      <c r="F267" s="122" t="s">
        <v>4095</v>
      </c>
    </row>
    <row r="268">
      <c r="A268" s="40" t="s">
        <v>2297</v>
      </c>
      <c r="D268" s="122" t="str">
        <f>IFERROR(__xludf.DUMMYFUNCTION("""COMPUTED_VALUE"""),"商")</f>
        <v>商</v>
      </c>
      <c r="F268" s="122" t="s">
        <v>3750</v>
      </c>
    </row>
    <row r="269">
      <c r="A269" s="40" t="s">
        <v>2303</v>
      </c>
      <c r="D269" s="122" t="str">
        <f>IFERROR(__xludf.DUMMYFUNCTION("""COMPUTED_VALUE"""),"啦")</f>
        <v>啦</v>
      </c>
      <c r="F269" s="122" t="s">
        <v>3627</v>
      </c>
    </row>
    <row r="270">
      <c r="A270" s="40" t="s">
        <v>2310</v>
      </c>
      <c r="D270" s="122" t="str">
        <f>IFERROR(__xludf.DUMMYFUNCTION("""COMPUTED_VALUE"""),"喇")</f>
        <v>喇</v>
      </c>
      <c r="F270" s="122" t="s">
        <v>6305</v>
      </c>
    </row>
    <row r="271">
      <c r="A271" s="40" t="s">
        <v>2317</v>
      </c>
      <c r="D271" s="122" t="str">
        <f>IFERROR(__xludf.DUMMYFUNCTION("""COMPUTED_VALUE"""),"喵")</f>
        <v>喵</v>
      </c>
      <c r="F271" s="122" t="s">
        <v>3541</v>
      </c>
    </row>
    <row r="272">
      <c r="A272" s="40" t="s">
        <v>2321</v>
      </c>
      <c r="D272" s="122" t="str">
        <f>IFERROR(__xludf.DUMMYFUNCTION("""COMPUTED_VALUE"""),"喷")</f>
        <v>喷</v>
      </c>
      <c r="F272" s="122" t="s">
        <v>4751</v>
      </c>
    </row>
    <row r="273">
      <c r="A273" s="40" t="s">
        <v>2327</v>
      </c>
      <c r="D273" s="122" t="str">
        <f>IFERROR(__xludf.DUMMYFUNCTION("""COMPUTED_VALUE"""),"嗨")</f>
        <v>嗨</v>
      </c>
      <c r="F273" s="122" t="s">
        <v>4942</v>
      </c>
    </row>
    <row r="274">
      <c r="A274" s="40" t="s">
        <v>2333</v>
      </c>
      <c r="D274" s="122" t="str">
        <f>IFERROR(__xludf.DUMMYFUNCTION("""COMPUTED_VALUE"""),"嘎")</f>
        <v>嘎</v>
      </c>
      <c r="F274" s="122" t="s">
        <v>6608</v>
      </c>
    </row>
    <row r="275">
      <c r="A275" s="40" t="s">
        <v>2339</v>
      </c>
      <c r="D275" s="122" t="str">
        <f>IFERROR(__xludf.DUMMYFUNCTION("""COMPUTED_VALUE"""),"嘛")</f>
        <v>嘛</v>
      </c>
      <c r="F275" s="122" t="s">
        <v>5239</v>
      </c>
    </row>
    <row r="276">
      <c r="A276" s="40" t="s">
        <v>2346</v>
      </c>
      <c r="D276" s="122" t="str">
        <f>IFERROR(__xludf.DUMMYFUNCTION("""COMPUTED_VALUE"""),"嘟")</f>
        <v>嘟</v>
      </c>
      <c r="F276" s="122" t="s">
        <v>5279</v>
      </c>
    </row>
    <row r="277">
      <c r="A277" s="40" t="s">
        <v>2352</v>
      </c>
      <c r="D277" s="122" t="str">
        <f>IFERROR(__xludf.DUMMYFUNCTION("""COMPUTED_VALUE"""),"嘴")</f>
        <v>嘴</v>
      </c>
      <c r="F277" s="122" t="s">
        <v>5952</v>
      </c>
    </row>
    <row r="278">
      <c r="A278" s="40" t="s">
        <v>2356</v>
      </c>
      <c r="D278" s="122" t="str">
        <f>IFERROR(__xludf.DUMMYFUNCTION("""COMPUTED_VALUE"""),"嘿")</f>
        <v>嘿</v>
      </c>
      <c r="F278" s="122" t="s">
        <v>3514</v>
      </c>
    </row>
    <row r="279">
      <c r="A279" s="40" t="s">
        <v>2361</v>
      </c>
      <c r="D279" s="122" t="str">
        <f>IFERROR(__xludf.DUMMYFUNCTION("""COMPUTED_VALUE"""),"器")</f>
        <v>器</v>
      </c>
      <c r="F279" s="122" t="s">
        <v>4465</v>
      </c>
    </row>
    <row r="280">
      <c r="A280" s="40" t="s">
        <v>2367</v>
      </c>
      <c r="D280" s="122" t="str">
        <f>IFERROR(__xludf.DUMMYFUNCTION("""COMPUTED_VALUE"""),"回")</f>
        <v>回</v>
      </c>
      <c r="F280" s="122" t="s">
        <v>3241</v>
      </c>
    </row>
    <row r="281">
      <c r="A281" s="40" t="s">
        <v>2374</v>
      </c>
      <c r="D281" s="122" t="str">
        <f>IFERROR(__xludf.DUMMYFUNCTION("""COMPUTED_VALUE"""),"因")</f>
        <v>因</v>
      </c>
      <c r="F281" s="122" t="s">
        <v>6840</v>
      </c>
    </row>
    <row r="282">
      <c r="A282" s="40" t="s">
        <v>2381</v>
      </c>
      <c r="D282" s="122" t="str">
        <f>IFERROR(__xludf.DUMMYFUNCTION("""COMPUTED_VALUE"""),"团")</f>
        <v>团</v>
      </c>
      <c r="F282" s="122" t="s">
        <v>4466</v>
      </c>
    </row>
    <row r="283">
      <c r="A283" s="40" t="s">
        <v>2388</v>
      </c>
      <c r="D283" s="122" t="str">
        <f>IFERROR(__xludf.DUMMYFUNCTION("""COMPUTED_VALUE"""),"图")</f>
        <v>图</v>
      </c>
      <c r="F283" s="122" t="s">
        <v>5166</v>
      </c>
    </row>
    <row r="284">
      <c r="A284" s="40" t="s">
        <v>2395</v>
      </c>
      <c r="D284" s="122" t="str">
        <f>IFERROR(__xludf.DUMMYFUNCTION("""COMPUTED_VALUE"""),"圆")</f>
        <v>圆</v>
      </c>
      <c r="F284" s="122" t="s">
        <v>3507</v>
      </c>
    </row>
    <row r="285">
      <c r="A285" s="40" t="s">
        <v>2399</v>
      </c>
      <c r="D285" s="122" t="str">
        <f>IFERROR(__xludf.DUMMYFUNCTION("""COMPUTED_VALUE"""),"圈")</f>
        <v>圈</v>
      </c>
      <c r="F285" s="122" t="s">
        <v>6186</v>
      </c>
    </row>
    <row r="286">
      <c r="A286" s="40" t="s">
        <v>2404</v>
      </c>
      <c r="D286" s="122" t="str">
        <f>IFERROR(__xludf.DUMMYFUNCTION("""COMPUTED_VALUE"""),"土")</f>
        <v>土</v>
      </c>
      <c r="F286" s="122" t="s">
        <v>5746</v>
      </c>
    </row>
    <row r="287">
      <c r="A287" s="40" t="s">
        <v>2410</v>
      </c>
      <c r="D287" s="122" t="str">
        <f>IFERROR(__xludf.DUMMYFUNCTION("""COMPUTED_VALUE"""),"在")</f>
        <v>在</v>
      </c>
      <c r="F287" s="122" t="s">
        <v>4082</v>
      </c>
    </row>
    <row r="288">
      <c r="A288" s="40" t="s">
        <v>2416</v>
      </c>
      <c r="D288" s="122" t="str">
        <f>IFERROR(__xludf.DUMMYFUNCTION("""COMPUTED_VALUE"""),"地")</f>
        <v>地</v>
      </c>
      <c r="F288" s="122" t="s">
        <v>5001</v>
      </c>
    </row>
    <row r="289">
      <c r="A289" s="40" t="s">
        <v>2423</v>
      </c>
      <c r="D289" s="122" t="str">
        <f>IFERROR(__xludf.DUMMYFUNCTION("""COMPUTED_VALUE"""),"场")</f>
        <v>场</v>
      </c>
      <c r="F289" s="122" t="s">
        <v>4537</v>
      </c>
    </row>
    <row r="290">
      <c r="A290" s="40" t="s">
        <v>2430</v>
      </c>
      <c r="D290" s="122" t="str">
        <f>IFERROR(__xludf.DUMMYFUNCTION("""COMPUTED_VALUE"""),"均")</f>
        <v>均</v>
      </c>
      <c r="F290" s="122" t="s">
        <v>3986</v>
      </c>
    </row>
    <row r="291">
      <c r="A291" s="40" t="s">
        <v>2437</v>
      </c>
      <c r="D291" s="122" t="str">
        <f>IFERROR(__xludf.DUMMYFUNCTION("""COMPUTED_VALUE"""),"型")</f>
        <v>型</v>
      </c>
      <c r="F291" s="122" t="s">
        <v>4713</v>
      </c>
    </row>
    <row r="292">
      <c r="A292" s="40" t="s">
        <v>2442</v>
      </c>
      <c r="D292" s="122" t="str">
        <f>IFERROR(__xludf.DUMMYFUNCTION("""COMPUTED_VALUE"""),"城")</f>
        <v>城</v>
      </c>
      <c r="F292" s="122" t="s">
        <v>3274</v>
      </c>
    </row>
    <row r="293">
      <c r="A293" s="40" t="s">
        <v>2447</v>
      </c>
      <c r="D293" s="122" t="str">
        <f>IFERROR(__xludf.DUMMYFUNCTION("""COMPUTED_VALUE"""),"基")</f>
        <v>基</v>
      </c>
      <c r="F293" s="122" t="s">
        <v>3464</v>
      </c>
    </row>
    <row r="294">
      <c r="A294" s="40" t="s">
        <v>2454</v>
      </c>
      <c r="D294" s="122" t="str">
        <f>IFERROR(__xludf.DUMMYFUNCTION("""COMPUTED_VALUE"""),"堂")</f>
        <v>堂</v>
      </c>
      <c r="F294" s="122" t="s">
        <v>6182</v>
      </c>
    </row>
    <row r="295">
      <c r="A295" s="40" t="s">
        <v>2461</v>
      </c>
      <c r="D295" s="122" t="str">
        <f>IFERROR(__xludf.DUMMYFUNCTION("""COMPUTED_VALUE"""),"填")</f>
        <v>填</v>
      </c>
      <c r="F295" s="122" t="s">
        <v>3752</v>
      </c>
    </row>
    <row r="296">
      <c r="A296" s="40" t="s">
        <v>2468</v>
      </c>
      <c r="D296" s="122" t="str">
        <f>IFERROR(__xludf.DUMMYFUNCTION("""COMPUTED_VALUE"""),"境")</f>
        <v>境</v>
      </c>
      <c r="F296" s="122" t="s">
        <v>3577</v>
      </c>
    </row>
    <row r="297">
      <c r="A297" s="40" t="s">
        <v>2475</v>
      </c>
      <c r="D297" s="122" t="str">
        <f>IFERROR(__xludf.DUMMYFUNCTION("""COMPUTED_VALUE"""),"墙")</f>
        <v>墙</v>
      </c>
      <c r="F297" s="122" t="s">
        <v>4130</v>
      </c>
    </row>
    <row r="298">
      <c r="A298" s="40" t="s">
        <v>2482</v>
      </c>
      <c r="D298" s="122" t="str">
        <f>IFERROR(__xludf.DUMMYFUNCTION("""COMPUTED_VALUE"""),"士")</f>
        <v>士</v>
      </c>
      <c r="F298" s="122" t="s">
        <v>3911</v>
      </c>
    </row>
    <row r="299">
      <c r="A299" s="40" t="s">
        <v>2489</v>
      </c>
      <c r="D299" s="122" t="str">
        <f>IFERROR(__xludf.DUMMYFUNCTION("""COMPUTED_VALUE"""),"壳")</f>
        <v>壳</v>
      </c>
      <c r="F299" s="122" t="s">
        <v>5003</v>
      </c>
    </row>
    <row r="300">
      <c r="A300" s="40" t="s">
        <v>2494</v>
      </c>
      <c r="D300" s="122" t="str">
        <f>IFERROR(__xludf.DUMMYFUNCTION("""COMPUTED_VALUE"""),"壶")</f>
        <v>壶</v>
      </c>
      <c r="F300" s="122" t="s">
        <v>4824</v>
      </c>
    </row>
    <row r="301">
      <c r="A301" s="40" t="s">
        <v>2498</v>
      </c>
      <c r="D301" s="122" t="str">
        <f>IFERROR(__xludf.DUMMYFUNCTION("""COMPUTED_VALUE"""),"处")</f>
        <v>处</v>
      </c>
      <c r="F301" s="122" t="s">
        <v>3429</v>
      </c>
    </row>
    <row r="302">
      <c r="A302" s="40" t="s">
        <v>2503</v>
      </c>
      <c r="D302" s="122" t="str">
        <f>IFERROR(__xludf.DUMMYFUNCTION("""COMPUTED_VALUE"""),"备")</f>
        <v>备</v>
      </c>
      <c r="F302" s="122" t="s">
        <v>3622</v>
      </c>
    </row>
    <row r="303">
      <c r="A303" s="40" t="s">
        <v>2510</v>
      </c>
      <c r="D303" s="122" t="str">
        <f>IFERROR(__xludf.DUMMYFUNCTION("""COMPUTED_VALUE"""),"外")</f>
        <v>外</v>
      </c>
      <c r="F303" s="122" t="s">
        <v>4084</v>
      </c>
    </row>
    <row r="304">
      <c r="A304" s="40" t="s">
        <v>2517</v>
      </c>
      <c r="D304" s="122" t="str">
        <f>IFERROR(__xludf.DUMMYFUNCTION("""COMPUTED_VALUE"""),"多")</f>
        <v>多</v>
      </c>
      <c r="F304" s="122" t="s">
        <v>5789</v>
      </c>
    </row>
    <row r="305">
      <c r="A305" s="40" t="s">
        <v>2524</v>
      </c>
      <c r="D305" s="122" t="str">
        <f>IFERROR(__xludf.DUMMYFUNCTION("""COMPUTED_VALUE"""),"夜")</f>
        <v>夜</v>
      </c>
      <c r="F305" s="122" t="s">
        <v>3247</v>
      </c>
    </row>
    <row r="306">
      <c r="A306" s="40" t="s">
        <v>2530</v>
      </c>
      <c r="D306" s="122" t="str">
        <f>IFERROR(__xludf.DUMMYFUNCTION("""COMPUTED_VALUE"""),"够")</f>
        <v>够</v>
      </c>
      <c r="F306" s="122" t="s">
        <v>7156</v>
      </c>
    </row>
    <row r="307">
      <c r="A307" s="40" t="s">
        <v>2537</v>
      </c>
      <c r="D307" s="122" t="str">
        <f>IFERROR(__xludf.DUMMYFUNCTION("""COMPUTED_VALUE"""),"大")</f>
        <v>大</v>
      </c>
      <c r="F307" s="122" t="s">
        <v>4083</v>
      </c>
    </row>
    <row r="308">
      <c r="A308" s="40" t="s">
        <v>2541</v>
      </c>
      <c r="D308" s="122" t="str">
        <f>IFERROR(__xludf.DUMMYFUNCTION("""COMPUTED_VALUE"""),"天")</f>
        <v>天</v>
      </c>
      <c r="F308" s="122" t="s">
        <v>4321</v>
      </c>
    </row>
    <row r="309">
      <c r="A309" s="40" t="s">
        <v>2546</v>
      </c>
      <c r="D309" s="122" t="str">
        <f>IFERROR(__xludf.DUMMYFUNCTION("""COMPUTED_VALUE"""),"太")</f>
        <v>太</v>
      </c>
      <c r="F309" s="122" t="s">
        <v>4426</v>
      </c>
    </row>
    <row r="310">
      <c r="A310" s="40" t="s">
        <v>2552</v>
      </c>
      <c r="D310" s="122" t="str">
        <f>IFERROR(__xludf.DUMMYFUNCTION("""COMPUTED_VALUE"""),"头")</f>
        <v>头</v>
      </c>
      <c r="F310" s="122" t="s">
        <v>4986</v>
      </c>
    </row>
    <row r="311">
      <c r="A311" s="40" t="s">
        <v>2558</v>
      </c>
      <c r="D311" s="122" t="str">
        <f>IFERROR(__xludf.DUMMYFUNCTION("""COMPUTED_VALUE"""),"奇")</f>
        <v>奇</v>
      </c>
      <c r="F311" s="122" t="s">
        <v>4059</v>
      </c>
    </row>
    <row r="312">
      <c r="A312" s="40" t="s">
        <v>2562</v>
      </c>
      <c r="D312" s="122" t="str">
        <f>IFERROR(__xludf.DUMMYFUNCTION("""COMPUTED_VALUE"""),"奖")</f>
        <v>奖</v>
      </c>
      <c r="F312" s="122" t="s">
        <v>3318</v>
      </c>
    </row>
    <row r="313">
      <c r="A313" s="40" t="s">
        <v>2566</v>
      </c>
      <c r="D313" s="122" t="str">
        <f>IFERROR(__xludf.DUMMYFUNCTION("""COMPUTED_VALUE"""),"奶")</f>
        <v>奶</v>
      </c>
      <c r="F313" s="122" t="s">
        <v>4011</v>
      </c>
    </row>
    <row r="314">
      <c r="A314" s="40" t="s">
        <v>2570</v>
      </c>
      <c r="D314" s="122" t="str">
        <f>IFERROR(__xludf.DUMMYFUNCTION("""COMPUTED_VALUE"""),"好")</f>
        <v>好</v>
      </c>
      <c r="F314" s="122" t="s">
        <v>5622</v>
      </c>
    </row>
    <row r="315">
      <c r="A315" s="40" t="s">
        <v>2575</v>
      </c>
      <c r="D315" s="122" t="str">
        <f>IFERROR(__xludf.DUMMYFUNCTION("""COMPUTED_VALUE"""),"如")</f>
        <v>如</v>
      </c>
      <c r="F315" s="122" t="s">
        <v>5796</v>
      </c>
    </row>
    <row r="316">
      <c r="A316" s="40" t="s">
        <v>2580</v>
      </c>
      <c r="D316" s="122" t="str">
        <f>IFERROR(__xludf.DUMMYFUNCTION("""COMPUTED_VALUE"""),"妖")</f>
        <v>妖</v>
      </c>
      <c r="F316" s="122" t="s">
        <v>3794</v>
      </c>
    </row>
    <row r="317">
      <c r="A317" s="40" t="s">
        <v>2586</v>
      </c>
      <c r="D317" s="122" t="str">
        <f>IFERROR(__xludf.DUMMYFUNCTION("""COMPUTED_VALUE"""),"妙")</f>
        <v>妙</v>
      </c>
      <c r="F317" s="122" t="s">
        <v>3085</v>
      </c>
    </row>
    <row r="318">
      <c r="A318" s="40" t="s">
        <v>2590</v>
      </c>
      <c r="D318" s="122" t="str">
        <f>IFERROR(__xludf.DUMMYFUNCTION("""COMPUTED_VALUE"""),"始")</f>
        <v>始</v>
      </c>
      <c r="F318" s="122" t="s">
        <v>3788</v>
      </c>
    </row>
    <row r="319">
      <c r="A319" s="40" t="s">
        <v>2595</v>
      </c>
      <c r="D319" s="122" t="str">
        <f>IFERROR(__xludf.DUMMYFUNCTION("""COMPUTED_VALUE"""),"姐")</f>
        <v>姐</v>
      </c>
      <c r="F319" s="122" t="s">
        <v>5873</v>
      </c>
    </row>
    <row r="320">
      <c r="A320" s="40" t="s">
        <v>2600</v>
      </c>
      <c r="D320" s="122" t="str">
        <f>IFERROR(__xludf.DUMMYFUNCTION("""COMPUTED_VALUE"""),"娃")</f>
        <v>娃</v>
      </c>
      <c r="F320" s="122" t="s">
        <v>3283</v>
      </c>
    </row>
    <row r="321">
      <c r="D321" s="122" t="str">
        <f>IFERROR(__xludf.DUMMYFUNCTION("""COMPUTED_VALUE"""),"娜")</f>
        <v>娜</v>
      </c>
      <c r="F321" s="122" t="s">
        <v>4464</v>
      </c>
    </row>
    <row r="322">
      <c r="D322" s="122" t="str">
        <f>IFERROR(__xludf.DUMMYFUNCTION("""COMPUTED_VALUE"""),"子")</f>
        <v>子</v>
      </c>
      <c r="F322" s="122" t="s">
        <v>4526</v>
      </c>
    </row>
    <row r="323">
      <c r="D323" s="122" t="str">
        <f>IFERROR(__xludf.DUMMYFUNCTION("""COMPUTED_VALUE"""),"字")</f>
        <v>字</v>
      </c>
      <c r="F323" s="122" t="s">
        <v>5454</v>
      </c>
    </row>
    <row r="324">
      <c r="D324" s="122" t="str">
        <f>IFERROR(__xludf.DUMMYFUNCTION("""COMPUTED_VALUE"""),"存")</f>
        <v>存</v>
      </c>
      <c r="F324" s="122" t="s">
        <v>3883</v>
      </c>
    </row>
    <row r="325">
      <c r="D325" s="122" t="str">
        <f>IFERROR(__xludf.DUMMYFUNCTION("""COMPUTED_VALUE"""),"学")</f>
        <v>学</v>
      </c>
      <c r="F325" s="122" t="s">
        <v>9450</v>
      </c>
    </row>
    <row r="326">
      <c r="D326" s="122" t="str">
        <f>IFERROR(__xludf.DUMMYFUNCTION("""COMPUTED_VALUE"""),"它")</f>
        <v>它</v>
      </c>
      <c r="F326" s="122" t="s">
        <v>6095</v>
      </c>
    </row>
    <row r="327">
      <c r="D327" s="122" t="str">
        <f>IFERROR(__xludf.DUMMYFUNCTION("""COMPUTED_VALUE"""),"安")</f>
        <v>安</v>
      </c>
      <c r="F327" s="122" t="s">
        <v>5676</v>
      </c>
    </row>
    <row r="328">
      <c r="D328" s="122" t="str">
        <f>IFERROR(__xludf.DUMMYFUNCTION("""COMPUTED_VALUE"""),"完")</f>
        <v>完</v>
      </c>
      <c r="F328" s="122" t="s">
        <v>7331</v>
      </c>
    </row>
    <row r="329">
      <c r="D329" s="122" t="str">
        <f>IFERROR(__xludf.DUMMYFUNCTION("""COMPUTED_VALUE"""),"定")</f>
        <v>定</v>
      </c>
      <c r="F329" s="122" t="s">
        <v>4648</v>
      </c>
    </row>
    <row r="330">
      <c r="D330" s="122" t="str">
        <f>IFERROR(__xludf.DUMMYFUNCTION("""COMPUTED_VALUE"""),"宝")</f>
        <v>宝</v>
      </c>
      <c r="F330" s="122" t="s">
        <v>4868</v>
      </c>
    </row>
    <row r="331">
      <c r="D331" s="122" t="str">
        <f>IFERROR(__xludf.DUMMYFUNCTION("""COMPUTED_VALUE"""),"实")</f>
        <v>实</v>
      </c>
      <c r="F331" s="122" t="s">
        <v>4244</v>
      </c>
    </row>
    <row r="332">
      <c r="D332" s="122" t="str">
        <f>IFERROR(__xludf.DUMMYFUNCTION("""COMPUTED_VALUE"""),"室")</f>
        <v>室</v>
      </c>
      <c r="F332" s="122" t="s">
        <v>9264</v>
      </c>
    </row>
    <row r="333">
      <c r="D333" s="122" t="str">
        <f>IFERROR(__xludf.DUMMYFUNCTION("""COMPUTED_VALUE"""),"家")</f>
        <v>家</v>
      </c>
      <c r="F333" s="122" t="s">
        <v>4909</v>
      </c>
    </row>
    <row r="334">
      <c r="D334" s="122" t="str">
        <f>IFERROR(__xludf.DUMMYFUNCTION("""COMPUTED_VALUE"""),"容")</f>
        <v>容</v>
      </c>
      <c r="F334" s="122" t="s">
        <v>3979</v>
      </c>
    </row>
    <row r="335">
      <c r="D335" s="122" t="str">
        <f>IFERROR(__xludf.DUMMYFUNCTION("""COMPUTED_VALUE"""),"对")</f>
        <v>对</v>
      </c>
      <c r="F335" s="122" t="s">
        <v>3822</v>
      </c>
    </row>
    <row r="336">
      <c r="D336" s="122" t="str">
        <f>IFERROR(__xludf.DUMMYFUNCTION("""COMPUTED_VALUE"""),"将")</f>
        <v>将</v>
      </c>
      <c r="F336" s="122" t="s">
        <v>4090</v>
      </c>
    </row>
    <row r="337">
      <c r="D337" s="122" t="str">
        <f>IFERROR(__xludf.DUMMYFUNCTION("""COMPUTED_VALUE"""),"小")</f>
        <v>小</v>
      </c>
      <c r="F337" s="122" t="s">
        <v>6151</v>
      </c>
    </row>
    <row r="338">
      <c r="D338" s="122" t="str">
        <f>IFERROR(__xludf.DUMMYFUNCTION("""COMPUTED_VALUE"""),"少")</f>
        <v>少</v>
      </c>
      <c r="F338" s="122" t="s">
        <v>8717</v>
      </c>
    </row>
    <row r="339">
      <c r="D339" s="122" t="str">
        <f>IFERROR(__xludf.DUMMYFUNCTION("""COMPUTED_VALUE"""),"尖")</f>
        <v>尖</v>
      </c>
      <c r="F339" s="122" t="s">
        <v>6120</v>
      </c>
    </row>
    <row r="340">
      <c r="D340" s="122" t="str">
        <f>IFERROR(__xludf.DUMMYFUNCTION("""COMPUTED_VALUE"""),"就")</f>
        <v>就</v>
      </c>
      <c r="F340" s="122" t="s">
        <v>5343</v>
      </c>
    </row>
    <row r="341">
      <c r="D341" s="122" t="str">
        <f>IFERROR(__xludf.DUMMYFUNCTION("""COMPUTED_VALUE"""),"尼")</f>
        <v>尼</v>
      </c>
      <c r="F341" s="122" t="s">
        <v>4572</v>
      </c>
    </row>
    <row r="342">
      <c r="D342" s="122" t="str">
        <f>IFERROR(__xludf.DUMMYFUNCTION("""COMPUTED_VALUE"""),"尽")</f>
        <v>尽</v>
      </c>
      <c r="F342" s="122" t="s">
        <v>3818</v>
      </c>
    </row>
    <row r="343">
      <c r="D343" s="122" t="str">
        <f>IFERROR(__xludf.DUMMYFUNCTION("""COMPUTED_VALUE"""),"尾")</f>
        <v>尾</v>
      </c>
      <c r="F343" s="122" t="s">
        <v>3821</v>
      </c>
    </row>
    <row r="344">
      <c r="D344" s="122" t="str">
        <f>IFERROR(__xludf.DUMMYFUNCTION("""COMPUTED_VALUE"""),"屏")</f>
        <v>屏</v>
      </c>
      <c r="F344" s="122" t="s">
        <v>4680</v>
      </c>
    </row>
    <row r="345">
      <c r="D345" s="122" t="str">
        <f>IFERROR(__xludf.DUMMYFUNCTION("""COMPUTED_VALUE"""),"山")</f>
        <v>山</v>
      </c>
      <c r="F345" s="122" t="s">
        <v>3625</v>
      </c>
    </row>
    <row r="346">
      <c r="D346" s="122" t="str">
        <f>IFERROR(__xludf.DUMMYFUNCTION("""COMPUTED_VALUE"""),"岩")</f>
        <v>岩</v>
      </c>
      <c r="F346" s="122" t="s">
        <v>3874</v>
      </c>
    </row>
    <row r="347">
      <c r="D347" s="122" t="str">
        <f>IFERROR(__xludf.DUMMYFUNCTION("""COMPUTED_VALUE"""),"崇")</f>
        <v>崇</v>
      </c>
      <c r="F347" s="122" t="s">
        <v>4976</v>
      </c>
    </row>
    <row r="348">
      <c r="D348" s="122" t="str">
        <f>IFERROR(__xludf.DUMMYFUNCTION("""COMPUTED_VALUE"""),"崩")</f>
        <v>崩</v>
      </c>
      <c r="F348" s="122" t="s">
        <v>3082</v>
      </c>
    </row>
    <row r="349">
      <c r="D349" s="122" t="str">
        <f>IFERROR(__xludf.DUMMYFUNCTION("""COMPUTED_VALUE"""),"工")</f>
        <v>工</v>
      </c>
      <c r="F349" s="122" t="s">
        <v>5305</v>
      </c>
    </row>
    <row r="350">
      <c r="D350" s="122" t="str">
        <f>IFERROR(__xludf.DUMMYFUNCTION("""COMPUTED_VALUE"""),"巨")</f>
        <v>巨</v>
      </c>
      <c r="F350" s="122" t="s">
        <v>4675</v>
      </c>
    </row>
    <row r="351">
      <c r="D351" s="122" t="str">
        <f>IFERROR(__xludf.DUMMYFUNCTION("""COMPUTED_VALUE"""),"已")</f>
        <v>已</v>
      </c>
      <c r="F351" s="122" t="s">
        <v>8197</v>
      </c>
    </row>
    <row r="352">
      <c r="D352" s="122" t="str">
        <f>IFERROR(__xludf.DUMMYFUNCTION("""COMPUTED_VALUE"""),"巴")</f>
        <v>巴</v>
      </c>
      <c r="F352" s="122" t="s">
        <v>3355</v>
      </c>
    </row>
    <row r="353">
      <c r="D353" s="122" t="str">
        <f>IFERROR(__xludf.DUMMYFUNCTION("""COMPUTED_VALUE"""),"市")</f>
        <v>市</v>
      </c>
      <c r="F353" s="122" t="s">
        <v>3243</v>
      </c>
    </row>
    <row r="354">
      <c r="D354" s="122" t="str">
        <f>IFERROR(__xludf.DUMMYFUNCTION("""COMPUTED_VALUE"""),"布")</f>
        <v>布</v>
      </c>
      <c r="F354" s="122" t="s">
        <v>3621</v>
      </c>
    </row>
    <row r="355">
      <c r="D355" s="122" t="str">
        <f>IFERROR(__xludf.DUMMYFUNCTION("""COMPUTED_VALUE"""),"帅")</f>
        <v>帅</v>
      </c>
      <c r="F355" s="122" t="s">
        <v>5143</v>
      </c>
    </row>
    <row r="356">
      <c r="D356" s="122" t="str">
        <f>IFERROR(__xludf.DUMMYFUNCTION("""COMPUTED_VALUE"""),"师")</f>
        <v>师</v>
      </c>
      <c r="F356" s="122" t="s">
        <v>3081</v>
      </c>
    </row>
    <row r="357">
      <c r="D357" s="122" t="str">
        <f>IFERROR(__xludf.DUMMYFUNCTION("""COMPUTED_VALUE"""),"帝")</f>
        <v>帝</v>
      </c>
      <c r="F357" s="122" t="s">
        <v>5946</v>
      </c>
    </row>
    <row r="358">
      <c r="D358" s="122" t="str">
        <f>IFERROR(__xludf.DUMMYFUNCTION("""COMPUTED_VALUE"""),"带")</f>
        <v>带</v>
      </c>
      <c r="F358" s="122" t="s">
        <v>3322</v>
      </c>
    </row>
    <row r="359">
      <c r="D359" s="122" t="str">
        <f>IFERROR(__xludf.DUMMYFUNCTION("""COMPUTED_VALUE"""),"帮")</f>
        <v>帮</v>
      </c>
      <c r="F359" s="122" t="s">
        <v>3155</v>
      </c>
    </row>
    <row r="360">
      <c r="D360" s="122" t="str">
        <f>IFERROR(__xludf.DUMMYFUNCTION("""COMPUTED_VALUE"""),"常")</f>
        <v>常</v>
      </c>
      <c r="F360" s="122" t="s">
        <v>4470</v>
      </c>
    </row>
    <row r="361">
      <c r="D361" s="122" t="str">
        <f>IFERROR(__xludf.DUMMYFUNCTION("""COMPUTED_VALUE"""),"幕")</f>
        <v>幕</v>
      </c>
      <c r="F361" s="122" t="s">
        <v>3361</v>
      </c>
    </row>
    <row r="362">
      <c r="D362" s="122" t="str">
        <f>IFERROR(__xludf.DUMMYFUNCTION("""COMPUTED_VALUE"""),"年")</f>
        <v>年</v>
      </c>
      <c r="F362" s="122" t="s">
        <v>3319</v>
      </c>
    </row>
    <row r="363">
      <c r="D363" s="122" t="str">
        <f>IFERROR(__xludf.DUMMYFUNCTION("""COMPUTED_VALUE"""),"并")</f>
        <v>并</v>
      </c>
      <c r="F363" s="122" t="s">
        <v>5083</v>
      </c>
    </row>
    <row r="364">
      <c r="D364" s="122" t="str">
        <f>IFERROR(__xludf.DUMMYFUNCTION("""COMPUTED_VALUE"""),"幸")</f>
        <v>幸</v>
      </c>
      <c r="F364" s="122" t="s">
        <v>3835</v>
      </c>
    </row>
    <row r="365">
      <c r="D365" s="122" t="str">
        <f>IFERROR(__xludf.DUMMYFUNCTION("""COMPUTED_VALUE"""),"幻")</f>
        <v>幻</v>
      </c>
      <c r="F365" s="122" t="s">
        <v>7198</v>
      </c>
    </row>
    <row r="366">
      <c r="D366" s="122" t="str">
        <f>IFERROR(__xludf.DUMMYFUNCTION("""COMPUTED_VALUE"""),"幼")</f>
        <v>幼</v>
      </c>
      <c r="F366" s="122" t="s">
        <v>5975</v>
      </c>
    </row>
    <row r="367">
      <c r="D367" s="122" t="str">
        <f>IFERROR(__xludf.DUMMYFUNCTION("""COMPUTED_VALUE"""),"序")</f>
        <v>序</v>
      </c>
      <c r="F367" s="122" t="s">
        <v>5455</v>
      </c>
    </row>
    <row r="368">
      <c r="D368" s="122" t="str">
        <f>IFERROR(__xludf.DUMMYFUNCTION("""COMPUTED_VALUE"""),"库")</f>
        <v>库</v>
      </c>
      <c r="F368" s="122" t="s">
        <v>6957</v>
      </c>
    </row>
    <row r="369">
      <c r="D369" s="122" t="str">
        <f>IFERROR(__xludf.DUMMYFUNCTION("""COMPUTED_VALUE"""),"店")</f>
        <v>店</v>
      </c>
      <c r="F369" s="122" t="s">
        <v>3878</v>
      </c>
    </row>
    <row r="370">
      <c r="D370" s="122" t="str">
        <f>IFERROR(__xludf.DUMMYFUNCTION("""COMPUTED_VALUE"""),"建")</f>
        <v>建</v>
      </c>
      <c r="F370" s="122" t="s">
        <v>3271</v>
      </c>
    </row>
    <row r="371">
      <c r="D371" s="122" t="str">
        <f>IFERROR(__xludf.DUMMYFUNCTION("""COMPUTED_VALUE"""),"开")</f>
        <v>开</v>
      </c>
      <c r="F371" s="122" t="s">
        <v>3113</v>
      </c>
    </row>
    <row r="372">
      <c r="D372" s="122" t="str">
        <f>IFERROR(__xludf.DUMMYFUNCTION("""COMPUTED_VALUE"""),"异")</f>
        <v>异</v>
      </c>
      <c r="F372" s="122" t="s">
        <v>3229</v>
      </c>
    </row>
    <row r="373">
      <c r="D373" s="122" t="str">
        <f>IFERROR(__xludf.DUMMYFUNCTION("""COMPUTED_VALUE"""),"式")</f>
        <v>式</v>
      </c>
      <c r="F373" s="122" t="s">
        <v>3112</v>
      </c>
    </row>
    <row r="374">
      <c r="D374" s="122" t="str">
        <f>IFERROR(__xludf.DUMMYFUNCTION("""COMPUTED_VALUE"""),"引")</f>
        <v>引</v>
      </c>
      <c r="F374" s="122" t="s">
        <v>6124</v>
      </c>
    </row>
    <row r="375">
      <c r="D375" s="122" t="str">
        <f>IFERROR(__xludf.DUMMYFUNCTION("""COMPUTED_VALUE"""),"弟")</f>
        <v>弟</v>
      </c>
      <c r="F375" s="122" t="s">
        <v>4827</v>
      </c>
    </row>
    <row r="376">
      <c r="D376" s="122" t="str">
        <f>IFERROR(__xludf.DUMMYFUNCTION("""COMPUTED_VALUE"""),"弹")</f>
        <v>弹</v>
      </c>
      <c r="F376" s="122" t="s">
        <v>3472</v>
      </c>
    </row>
    <row r="377">
      <c r="D377" s="122" t="str">
        <f>IFERROR(__xludf.DUMMYFUNCTION("""COMPUTED_VALUE"""),"归")</f>
        <v>归</v>
      </c>
      <c r="F377" s="122" t="s">
        <v>5168</v>
      </c>
    </row>
    <row r="378">
      <c r="D378" s="122" t="str">
        <f>IFERROR(__xludf.DUMMYFUNCTION("""COMPUTED_VALUE"""),"当")</f>
        <v>当</v>
      </c>
      <c r="F378" s="122" t="s">
        <v>3154</v>
      </c>
    </row>
    <row r="379">
      <c r="D379" s="122" t="str">
        <f>IFERROR(__xludf.DUMMYFUNCTION("""COMPUTED_VALUE"""),"录")</f>
        <v>录</v>
      </c>
      <c r="F379" s="122" t="s">
        <v>4639</v>
      </c>
    </row>
    <row r="380">
      <c r="D380" s="122" t="str">
        <f>IFERROR(__xludf.DUMMYFUNCTION("""COMPUTED_VALUE"""),"形")</f>
        <v>形</v>
      </c>
      <c r="F380" s="122" t="s">
        <v>3697</v>
      </c>
    </row>
    <row r="381">
      <c r="D381" s="122" t="str">
        <f>IFERROR(__xludf.DUMMYFUNCTION("""COMPUTED_VALUE"""),"往")</f>
        <v>往</v>
      </c>
      <c r="F381" s="122" t="s">
        <v>5524</v>
      </c>
    </row>
    <row r="382">
      <c r="D382" s="122" t="str">
        <f>IFERROR(__xludf.DUMMYFUNCTION("""COMPUTED_VALUE"""),"待")</f>
        <v>待</v>
      </c>
      <c r="F382" s="122" t="s">
        <v>4610</v>
      </c>
    </row>
    <row r="383">
      <c r="D383" s="122" t="str">
        <f>IFERROR(__xludf.DUMMYFUNCTION("""COMPUTED_VALUE"""),"很")</f>
        <v>很</v>
      </c>
      <c r="F383" s="122" t="s">
        <v>3401</v>
      </c>
    </row>
    <row r="384">
      <c r="D384" s="122" t="str">
        <f>IFERROR(__xludf.DUMMYFUNCTION("""COMPUTED_VALUE"""),"得")</f>
        <v>得</v>
      </c>
      <c r="F384" s="122" t="s">
        <v>3230</v>
      </c>
    </row>
    <row r="385">
      <c r="D385" s="122" t="str">
        <f>IFERROR(__xludf.DUMMYFUNCTION("""COMPUTED_VALUE"""),"德")</f>
        <v>德</v>
      </c>
      <c r="F385" s="122" t="s">
        <v>6880</v>
      </c>
    </row>
    <row r="386">
      <c r="D386" s="122" t="str">
        <f>IFERROR(__xludf.DUMMYFUNCTION("""COMPUTED_VALUE"""),"心")</f>
        <v>心</v>
      </c>
      <c r="F386" s="122" t="s">
        <v>5235</v>
      </c>
    </row>
    <row r="387">
      <c r="D387" s="122" t="str">
        <f>IFERROR(__xludf.DUMMYFUNCTION("""COMPUTED_VALUE"""),"快")</f>
        <v>快</v>
      </c>
      <c r="F387" s="122" t="s">
        <v>3181</v>
      </c>
    </row>
    <row r="388">
      <c r="D388" s="122" t="str">
        <f>IFERROR(__xludf.DUMMYFUNCTION("""COMPUTED_VALUE"""),"态")</f>
        <v>态</v>
      </c>
      <c r="F388" s="122" t="s">
        <v>7840</v>
      </c>
    </row>
    <row r="389">
      <c r="D389" s="122" t="str">
        <f>IFERROR(__xludf.DUMMYFUNCTION("""COMPUTED_VALUE"""),"急")</f>
        <v>急</v>
      </c>
      <c r="F389" s="122" t="s">
        <v>4612</v>
      </c>
    </row>
    <row r="390">
      <c r="D390" s="122" t="str">
        <f>IFERROR(__xludf.DUMMYFUNCTION("""COMPUTED_VALUE"""),"怪")</f>
        <v>怪</v>
      </c>
      <c r="F390" s="122" t="s">
        <v>4983</v>
      </c>
    </row>
    <row r="391">
      <c r="D391" s="122" t="str">
        <f>IFERROR(__xludf.DUMMYFUNCTION("""COMPUTED_VALUE"""),"恐")</f>
        <v>恐</v>
      </c>
      <c r="F391" s="122" t="s">
        <v>3479</v>
      </c>
    </row>
    <row r="392">
      <c r="D392" s="122" t="str">
        <f>IFERROR(__xludf.DUMMYFUNCTION("""COMPUTED_VALUE"""),"息")</f>
        <v>息</v>
      </c>
      <c r="F392" s="122" t="s">
        <v>3547</v>
      </c>
    </row>
    <row r="393">
      <c r="D393" s="122" t="str">
        <f>IFERROR(__xludf.DUMMYFUNCTION("""COMPUTED_VALUE"""),"您")</f>
        <v>您</v>
      </c>
      <c r="F393" s="122" t="s">
        <v>8210</v>
      </c>
    </row>
    <row r="394">
      <c r="D394" s="122" t="str">
        <f>IFERROR(__xludf.DUMMYFUNCTION("""COMPUTED_VALUE"""),"情")</f>
        <v>情</v>
      </c>
      <c r="F394" s="122" t="s">
        <v>5417</v>
      </c>
    </row>
    <row r="395">
      <c r="D395" s="122" t="str">
        <f>IFERROR(__xludf.DUMMYFUNCTION("""COMPUTED_VALUE"""),"惊")</f>
        <v>惊</v>
      </c>
      <c r="F395" s="122" t="s">
        <v>6876</v>
      </c>
    </row>
    <row r="396">
      <c r="D396" s="122" t="str">
        <f>IFERROR(__xludf.DUMMYFUNCTION("""COMPUTED_VALUE"""),"想")</f>
        <v>想</v>
      </c>
      <c r="F396" s="122" t="s">
        <v>7914</v>
      </c>
    </row>
    <row r="397">
      <c r="D397" s="122" t="str">
        <f>IFERROR(__xludf.DUMMYFUNCTION("""COMPUTED_VALUE"""),"愉")</f>
        <v>愉</v>
      </c>
      <c r="F397" s="122" t="s">
        <v>5446</v>
      </c>
    </row>
    <row r="398">
      <c r="D398" s="122" t="str">
        <f>IFERROR(__xludf.DUMMYFUNCTION("""COMPUTED_VALUE"""),"意")</f>
        <v>意</v>
      </c>
      <c r="F398" s="122" t="s">
        <v>7001</v>
      </c>
    </row>
    <row r="399">
      <c r="D399" s="122" t="str">
        <f>IFERROR(__xludf.DUMMYFUNCTION("""COMPUTED_VALUE"""),"感")</f>
        <v>感</v>
      </c>
      <c r="F399" s="122" t="s">
        <v>5917</v>
      </c>
    </row>
    <row r="400">
      <c r="D400" s="122" t="str">
        <f>IFERROR(__xludf.DUMMYFUNCTION("""COMPUTED_VALUE"""),"愿")</f>
        <v>愿</v>
      </c>
      <c r="F400" s="122" t="s">
        <v>7636</v>
      </c>
    </row>
    <row r="401">
      <c r="D401" s="122" t="str">
        <f>IFERROR(__xludf.DUMMYFUNCTION("""COMPUTED_VALUE"""),"戏")</f>
        <v>戏</v>
      </c>
      <c r="F401" s="122" t="s">
        <v>4744</v>
      </c>
    </row>
    <row r="402">
      <c r="D402" s="122" t="str">
        <f>IFERROR(__xludf.DUMMYFUNCTION("""COMPUTED_VALUE"""),"成")</f>
        <v>成</v>
      </c>
      <c r="F402" s="122" t="s">
        <v>10616</v>
      </c>
    </row>
    <row r="403">
      <c r="D403" s="122" t="str">
        <f>IFERROR(__xludf.DUMMYFUNCTION("""COMPUTED_VALUE"""),"我")</f>
        <v>我</v>
      </c>
      <c r="F403" s="122" t="s">
        <v>5440</v>
      </c>
    </row>
    <row r="404">
      <c r="D404" s="122" t="str">
        <f>IFERROR(__xludf.DUMMYFUNCTION("""COMPUTED_VALUE"""),"或")</f>
        <v>或</v>
      </c>
      <c r="F404" s="122" t="s">
        <v>7761</v>
      </c>
    </row>
    <row r="405">
      <c r="D405" s="122" t="str">
        <f>IFERROR(__xludf.DUMMYFUNCTION("""COMPUTED_VALUE"""),"战")</f>
        <v>战</v>
      </c>
      <c r="F405" s="122" t="s">
        <v>3391</v>
      </c>
    </row>
    <row r="406">
      <c r="D406" s="122" t="str">
        <f>IFERROR(__xludf.DUMMYFUNCTION("""COMPUTED_VALUE"""),"戴")</f>
        <v>戴</v>
      </c>
      <c r="F406" s="122" t="s">
        <v>3702</v>
      </c>
    </row>
    <row r="407">
      <c r="D407" s="122" t="str">
        <f>IFERROR(__xludf.DUMMYFUNCTION("""COMPUTED_VALUE"""),"所")</f>
        <v>所</v>
      </c>
      <c r="F407" s="122" t="s">
        <v>6425</v>
      </c>
    </row>
    <row r="408">
      <c r="D408" s="122" t="str">
        <f>IFERROR(__xludf.DUMMYFUNCTION("""COMPUTED_VALUE"""),"手")</f>
        <v>手</v>
      </c>
      <c r="F408" s="122" t="s">
        <v>7158</v>
      </c>
    </row>
    <row r="409">
      <c r="D409" s="122" t="str">
        <f>IFERROR(__xludf.DUMMYFUNCTION("""COMPUTED_VALUE"""),"才")</f>
        <v>才</v>
      </c>
      <c r="F409" s="122" t="s">
        <v>4433</v>
      </c>
    </row>
    <row r="410">
      <c r="D410" s="122" t="str">
        <f>IFERROR(__xludf.DUMMYFUNCTION("""COMPUTED_VALUE"""),"托")</f>
        <v>托</v>
      </c>
      <c r="F410" s="122" t="s">
        <v>3249</v>
      </c>
    </row>
    <row r="411">
      <c r="D411" s="122" t="str">
        <f>IFERROR(__xludf.DUMMYFUNCTION("""COMPUTED_VALUE"""),"找")</f>
        <v>找</v>
      </c>
      <c r="F411" s="122" t="s">
        <v>4535</v>
      </c>
    </row>
    <row r="412">
      <c r="D412" s="122" t="str">
        <f>IFERROR(__xludf.DUMMYFUNCTION("""COMPUTED_VALUE"""),"把")</f>
        <v>把</v>
      </c>
      <c r="F412" s="122" t="s">
        <v>4979</v>
      </c>
    </row>
    <row r="413">
      <c r="D413" s="122" t="str">
        <f>IFERROR(__xludf.DUMMYFUNCTION("""COMPUTED_VALUE"""),"抓")</f>
        <v>抓</v>
      </c>
      <c r="F413" s="122" t="s">
        <v>4048</v>
      </c>
    </row>
    <row r="414">
      <c r="D414" s="122" t="str">
        <f>IFERROR(__xludf.DUMMYFUNCTION("""COMPUTED_VALUE"""),"抱")</f>
        <v>抱</v>
      </c>
      <c r="F414" s="122" t="s">
        <v>9311</v>
      </c>
    </row>
    <row r="415">
      <c r="D415" s="122" t="str">
        <f>IFERROR(__xludf.DUMMYFUNCTION("""COMPUTED_VALUE"""),"拉")</f>
        <v>拉</v>
      </c>
      <c r="F415" s="122" t="s">
        <v>4430</v>
      </c>
    </row>
    <row r="416">
      <c r="D416" s="122" t="str">
        <f>IFERROR(__xludf.DUMMYFUNCTION("""COMPUTED_VALUE"""),"拟")</f>
        <v>拟</v>
      </c>
      <c r="F416" s="122" t="s">
        <v>5839</v>
      </c>
    </row>
    <row r="417">
      <c r="D417" s="122" t="str">
        <f>IFERROR(__xludf.DUMMYFUNCTION("""COMPUTED_VALUE"""),"拥")</f>
        <v>拥</v>
      </c>
      <c r="F417" s="122" t="s">
        <v>3192</v>
      </c>
    </row>
    <row r="418">
      <c r="D418" s="122" t="str">
        <f>IFERROR(__xludf.DUMMYFUNCTION("""COMPUTED_VALUE"""),"择")</f>
        <v>择</v>
      </c>
      <c r="F418" s="122" t="s">
        <v>5242</v>
      </c>
    </row>
    <row r="419">
      <c r="D419" s="122" t="str">
        <f>IFERROR(__xludf.DUMMYFUNCTION("""COMPUTED_VALUE"""),"拳")</f>
        <v>拳</v>
      </c>
      <c r="F419" s="122" t="s">
        <v>3120</v>
      </c>
    </row>
    <row r="420">
      <c r="D420" s="122" t="str">
        <f>IFERROR(__xludf.DUMMYFUNCTION("""COMPUTED_VALUE"""),"持")</f>
        <v>持</v>
      </c>
      <c r="F420" s="122" t="s">
        <v>10617</v>
      </c>
    </row>
    <row r="421">
      <c r="D421" s="122" t="str">
        <f>IFERROR(__xludf.DUMMYFUNCTION("""COMPUTED_VALUE"""),"按")</f>
        <v>按</v>
      </c>
      <c r="F421" s="122" t="s">
        <v>3152</v>
      </c>
    </row>
    <row r="422">
      <c r="D422" s="122" t="str">
        <f>IFERROR(__xludf.DUMMYFUNCTION("""COMPUTED_VALUE"""),"换")</f>
        <v>换</v>
      </c>
      <c r="F422" s="122" t="s">
        <v>3916</v>
      </c>
    </row>
    <row r="423">
      <c r="D423" s="122" t="str">
        <f>IFERROR(__xludf.DUMMYFUNCTION("""COMPUTED_VALUE"""),"捣")</f>
        <v>捣</v>
      </c>
      <c r="F423" s="122" t="s">
        <v>4094</v>
      </c>
    </row>
    <row r="424">
      <c r="D424" s="122" t="str">
        <f>IFERROR(__xludf.DUMMYFUNCTION("""COMPUTED_VALUE"""),"据")</f>
        <v>据</v>
      </c>
      <c r="F424" s="122" t="s">
        <v>4935</v>
      </c>
    </row>
    <row r="425">
      <c r="D425" s="122" t="str">
        <f>IFERROR(__xludf.DUMMYFUNCTION("""COMPUTED_VALUE"""),"接")</f>
        <v>接</v>
      </c>
      <c r="F425" s="122" t="s">
        <v>3352</v>
      </c>
    </row>
    <row r="426">
      <c r="D426" s="122" t="str">
        <f>IFERROR(__xludf.DUMMYFUNCTION("""COMPUTED_VALUE"""),"推")</f>
        <v>推</v>
      </c>
      <c r="F426" s="122" t="s">
        <v>8033</v>
      </c>
    </row>
    <row r="427">
      <c r="D427" s="122" t="str">
        <f>IFERROR(__xludf.DUMMYFUNCTION("""COMPUTED_VALUE"""),"提")</f>
        <v>提</v>
      </c>
      <c r="F427" s="122" t="s">
        <v>4063</v>
      </c>
    </row>
    <row r="428">
      <c r="D428" s="122" t="str">
        <f>IFERROR(__xludf.DUMMYFUNCTION("""COMPUTED_VALUE"""),"插")</f>
        <v>插</v>
      </c>
      <c r="F428" s="122" t="s">
        <v>6844</v>
      </c>
    </row>
    <row r="429">
      <c r="D429" s="122" t="str">
        <f>IFERROR(__xludf.DUMMYFUNCTION("""COMPUTED_VALUE"""),"携")</f>
        <v>携</v>
      </c>
      <c r="F429" s="122" t="s">
        <v>6580</v>
      </c>
    </row>
    <row r="430">
      <c r="D430" s="122" t="str">
        <f>IFERROR(__xludf.DUMMYFUNCTION("""COMPUTED_VALUE"""),"摩")</f>
        <v>摩</v>
      </c>
      <c r="F430" s="122" t="s">
        <v>4682</v>
      </c>
    </row>
    <row r="431">
      <c r="D431" s="122" t="str">
        <f>IFERROR(__xludf.DUMMYFUNCTION("""COMPUTED_VALUE"""),"操")</f>
        <v>操</v>
      </c>
      <c r="F431" s="122" t="s">
        <v>7264</v>
      </c>
    </row>
    <row r="432">
      <c r="D432" s="122" t="str">
        <f>IFERROR(__xludf.DUMMYFUNCTION("""COMPUTED_VALUE"""),"支")</f>
        <v>支</v>
      </c>
      <c r="F432" s="122" t="s">
        <v>4749</v>
      </c>
    </row>
    <row r="433">
      <c r="D433" s="122" t="str">
        <f>IFERROR(__xludf.DUMMYFUNCTION("""COMPUTED_VALUE"""),"收")</f>
        <v>收</v>
      </c>
      <c r="F433" s="122" t="s">
        <v>9709</v>
      </c>
    </row>
    <row r="434">
      <c r="D434" s="122" t="str">
        <f>IFERROR(__xludf.DUMMYFUNCTION("""COMPUTED_VALUE"""),"改")</f>
        <v>改</v>
      </c>
      <c r="F434" s="122" t="s">
        <v>4202</v>
      </c>
    </row>
    <row r="435">
      <c r="D435" s="122" t="str">
        <f>IFERROR(__xludf.DUMMYFUNCTION("""COMPUTED_VALUE"""),"效")</f>
        <v>效</v>
      </c>
      <c r="F435" s="122" t="s">
        <v>4600</v>
      </c>
    </row>
    <row r="436">
      <c r="D436" s="122" t="str">
        <f>IFERROR(__xludf.DUMMYFUNCTION("""COMPUTED_VALUE"""),"教")</f>
        <v>教</v>
      </c>
      <c r="F436" s="122" t="s">
        <v>5450</v>
      </c>
    </row>
    <row r="437">
      <c r="D437" s="122" t="str">
        <f>IFERROR(__xludf.DUMMYFUNCTION("""COMPUTED_VALUE"""),"数")</f>
        <v>数</v>
      </c>
      <c r="F437" s="122" t="s">
        <v>3953</v>
      </c>
    </row>
    <row r="438">
      <c r="D438" s="122" t="str">
        <f>IFERROR(__xludf.DUMMYFUNCTION("""COMPUTED_VALUE"""),"整")</f>
        <v>整</v>
      </c>
      <c r="F438" s="122" t="s">
        <v>4671</v>
      </c>
    </row>
    <row r="439">
      <c r="D439" s="122" t="str">
        <f>IFERROR(__xludf.DUMMYFUNCTION("""COMPUTED_VALUE"""),"文")</f>
        <v>文</v>
      </c>
      <c r="F439" s="122" t="s">
        <v>4018</v>
      </c>
    </row>
    <row r="440">
      <c r="D440" s="122" t="str">
        <f>IFERROR(__xludf.DUMMYFUNCTION("""COMPUTED_VALUE"""),"斗")</f>
        <v>斗</v>
      </c>
      <c r="F440" s="122" t="s">
        <v>4249</v>
      </c>
    </row>
    <row r="441">
      <c r="D441" s="122" t="str">
        <f>IFERROR(__xludf.DUMMYFUNCTION("""COMPUTED_VALUE"""),"断")</f>
        <v>断</v>
      </c>
      <c r="F441" s="122" t="s">
        <v>9323</v>
      </c>
    </row>
    <row r="442">
      <c r="D442" s="122" t="str">
        <f>IFERROR(__xludf.DUMMYFUNCTION("""COMPUTED_VALUE"""),"斯")</f>
        <v>斯</v>
      </c>
      <c r="F442" s="122" t="s">
        <v>5744</v>
      </c>
    </row>
    <row r="443">
      <c r="D443" s="122" t="str">
        <f>IFERROR(__xludf.DUMMYFUNCTION("""COMPUTED_VALUE"""),"新")</f>
        <v>新</v>
      </c>
      <c r="F443" s="122" t="s">
        <v>3116</v>
      </c>
    </row>
    <row r="444">
      <c r="D444" s="122" t="str">
        <f>IFERROR(__xludf.DUMMYFUNCTION("""COMPUTED_VALUE"""),"方")</f>
        <v>方</v>
      </c>
      <c r="F444" s="122" t="s">
        <v>3912</v>
      </c>
    </row>
    <row r="445">
      <c r="D445" s="122" t="str">
        <f>IFERROR(__xludf.DUMMYFUNCTION("""COMPUTED_VALUE"""),"旁")</f>
        <v>旁</v>
      </c>
      <c r="F445" s="122" t="s">
        <v>6843</v>
      </c>
    </row>
    <row r="446">
      <c r="D446" s="122" t="str">
        <f>IFERROR(__xludf.DUMMYFUNCTION("""COMPUTED_VALUE"""),"无")</f>
        <v>无</v>
      </c>
      <c r="F446" s="122" t="s">
        <v>6538</v>
      </c>
    </row>
    <row r="447">
      <c r="D447" s="122" t="str">
        <f>IFERROR(__xludf.DUMMYFUNCTION("""COMPUTED_VALUE"""),"日")</f>
        <v>日</v>
      </c>
      <c r="F447" s="122" t="s">
        <v>6804</v>
      </c>
    </row>
    <row r="448">
      <c r="D448" s="122" t="str">
        <f>IFERROR(__xludf.DUMMYFUNCTION("""COMPUTED_VALUE"""),"旦")</f>
        <v>旦</v>
      </c>
      <c r="F448" s="122" t="s">
        <v>3707</v>
      </c>
    </row>
    <row r="449">
      <c r="D449" s="122" t="str">
        <f>IFERROR(__xludf.DUMMYFUNCTION("""COMPUTED_VALUE"""),"时")</f>
        <v>时</v>
      </c>
      <c r="F449" s="122" t="s">
        <v>4938</v>
      </c>
    </row>
    <row r="450">
      <c r="D450" s="122" t="str">
        <f>IFERROR(__xludf.DUMMYFUNCTION("""COMPUTED_VALUE"""),"明")</f>
        <v>明</v>
      </c>
      <c r="F450" s="122" t="s">
        <v>3743</v>
      </c>
    </row>
    <row r="451">
      <c r="D451" s="122" t="str">
        <f>IFERROR(__xludf.DUMMYFUNCTION("""COMPUTED_VALUE"""),"易")</f>
        <v>易</v>
      </c>
      <c r="F451" s="122" t="s">
        <v>7699</v>
      </c>
    </row>
    <row r="452">
      <c r="D452" s="122" t="str">
        <f>IFERROR(__xludf.DUMMYFUNCTION("""COMPUTED_VALUE"""),"星")</f>
        <v>星</v>
      </c>
      <c r="F452" s="122" t="s">
        <v>4060</v>
      </c>
    </row>
    <row r="453">
      <c r="D453" s="122" t="str">
        <f>IFERROR(__xludf.DUMMYFUNCTION("""COMPUTED_VALUE"""),"是")</f>
        <v>是</v>
      </c>
      <c r="F453" s="122" t="s">
        <v>6175</v>
      </c>
    </row>
    <row r="454">
      <c r="D454" s="122" t="str">
        <f>IFERROR(__xludf.DUMMYFUNCTION("""COMPUTED_VALUE"""),"显")</f>
        <v>显</v>
      </c>
      <c r="F454" s="122" t="s">
        <v>10514</v>
      </c>
    </row>
    <row r="455">
      <c r="D455" s="122" t="str">
        <f>IFERROR(__xludf.DUMMYFUNCTION("""COMPUTED_VALUE"""),"普")</f>
        <v>普</v>
      </c>
      <c r="F455" s="122" t="s">
        <v>3386</v>
      </c>
    </row>
    <row r="456">
      <c r="D456" s="122" t="str">
        <f>IFERROR(__xludf.DUMMYFUNCTION("""COMPUTED_VALUE"""),"晶")</f>
        <v>晶</v>
      </c>
      <c r="F456" s="122" t="s">
        <v>6024</v>
      </c>
    </row>
    <row r="457">
      <c r="D457" s="122" t="str">
        <f>IFERROR(__xludf.DUMMYFUNCTION("""COMPUTED_VALUE"""),"暂")</f>
        <v>暂</v>
      </c>
      <c r="F457" s="122" t="s">
        <v>5136</v>
      </c>
    </row>
    <row r="458">
      <c r="D458" s="122" t="str">
        <f>IFERROR(__xludf.DUMMYFUNCTION("""COMPUTED_VALUE"""),"暗")</f>
        <v>暗</v>
      </c>
      <c r="F458" s="122" t="s">
        <v>3431</v>
      </c>
    </row>
    <row r="459">
      <c r="D459" s="122" t="str">
        <f>IFERROR(__xludf.DUMMYFUNCTION("""COMPUTED_VALUE"""),"暴")</f>
        <v>暴</v>
      </c>
      <c r="F459" s="122" t="s">
        <v>4085</v>
      </c>
    </row>
    <row r="460">
      <c r="D460" s="122" t="str">
        <f>IFERROR(__xludf.DUMMYFUNCTION("""COMPUTED_VALUE"""),"更")</f>
        <v>更</v>
      </c>
      <c r="F460" s="122" t="s">
        <v>4279</v>
      </c>
    </row>
    <row r="461">
      <c r="D461" s="122" t="str">
        <f>IFERROR(__xludf.DUMMYFUNCTION("""COMPUTED_VALUE"""),"月")</f>
        <v>月</v>
      </c>
      <c r="F461" s="122" t="s">
        <v>10006</v>
      </c>
    </row>
    <row r="462">
      <c r="D462" s="122" t="str">
        <f>IFERROR(__xludf.DUMMYFUNCTION("""COMPUTED_VALUE"""),"有")</f>
        <v>有</v>
      </c>
      <c r="F462" s="122" t="s">
        <v>7589</v>
      </c>
    </row>
    <row r="463">
      <c r="D463" s="122" t="str">
        <f>IFERROR(__xludf.DUMMYFUNCTION("""COMPUTED_VALUE"""),"朋")</f>
        <v>朋</v>
      </c>
      <c r="F463" s="122" t="s">
        <v>4683</v>
      </c>
    </row>
    <row r="464">
      <c r="D464" s="122" t="str">
        <f>IFERROR(__xludf.DUMMYFUNCTION("""COMPUTED_VALUE"""),"朗")</f>
        <v>朗</v>
      </c>
      <c r="F464" s="122" t="s">
        <v>10618</v>
      </c>
    </row>
    <row r="465">
      <c r="D465" s="122" t="str">
        <f>IFERROR(__xludf.DUMMYFUNCTION("""COMPUTED_VALUE"""),"朝")</f>
        <v>朝</v>
      </c>
      <c r="F465" s="122" t="s">
        <v>4050</v>
      </c>
    </row>
    <row r="466">
      <c r="D466" s="122" t="str">
        <f>IFERROR(__xludf.DUMMYFUNCTION("""COMPUTED_VALUE"""),"期")</f>
        <v>期</v>
      </c>
      <c r="F466" s="122" t="s">
        <v>5312</v>
      </c>
    </row>
    <row r="467">
      <c r="D467" s="122" t="str">
        <f>IFERROR(__xludf.DUMMYFUNCTION("""COMPUTED_VALUE"""),"未")</f>
        <v>未</v>
      </c>
      <c r="F467" s="122" t="s">
        <v>9193</v>
      </c>
    </row>
    <row r="468">
      <c r="D468" s="122" t="str">
        <f>IFERROR(__xludf.DUMMYFUNCTION("""COMPUTED_VALUE"""),"本")</f>
        <v>本</v>
      </c>
      <c r="F468" s="122" t="s">
        <v>5007</v>
      </c>
    </row>
    <row r="469">
      <c r="D469" s="122" t="str">
        <f>IFERROR(__xludf.DUMMYFUNCTION("""COMPUTED_VALUE"""),"术")</f>
        <v>术</v>
      </c>
      <c r="F469" s="122" t="s">
        <v>4274</v>
      </c>
    </row>
    <row r="470">
      <c r="D470" s="122" t="str">
        <f>IFERROR(__xludf.DUMMYFUNCTION("""COMPUTED_VALUE"""),"机")</f>
        <v>机</v>
      </c>
      <c r="F470" s="122" t="s">
        <v>6420</v>
      </c>
    </row>
    <row r="471">
      <c r="D471" s="122" t="str">
        <f>IFERROR(__xludf.DUMMYFUNCTION("""COMPUTED_VALUE"""),"权")</f>
        <v>权</v>
      </c>
      <c r="F471" s="122" t="s">
        <v>3789</v>
      </c>
    </row>
    <row r="472">
      <c r="D472" s="122" t="str">
        <f>IFERROR(__xludf.DUMMYFUNCTION("""COMPUTED_VALUE"""),"束")</f>
        <v>束</v>
      </c>
      <c r="F472" s="122" t="s">
        <v>9842</v>
      </c>
    </row>
    <row r="473">
      <c r="D473" s="122" t="str">
        <f>IFERROR(__xludf.DUMMYFUNCTION("""COMPUTED_VALUE"""),"条")</f>
        <v>条</v>
      </c>
      <c r="F473" s="122" t="s">
        <v>3349</v>
      </c>
    </row>
    <row r="474">
      <c r="D474" s="122" t="str">
        <f>IFERROR(__xludf.DUMMYFUNCTION("""COMPUTED_VALUE"""),"来")</f>
        <v>来</v>
      </c>
      <c r="F474" s="122" t="s">
        <v>9525</v>
      </c>
    </row>
    <row r="475">
      <c r="D475" s="122" t="str">
        <f>IFERROR(__xludf.DUMMYFUNCTION("""COMPUTED_VALUE"""),"杰")</f>
        <v>杰</v>
      </c>
      <c r="F475" s="122" t="s">
        <v>3284</v>
      </c>
    </row>
    <row r="476">
      <c r="D476" s="122" t="str">
        <f>IFERROR(__xludf.DUMMYFUNCTION("""COMPUTED_VALUE"""),"构")</f>
        <v>构</v>
      </c>
      <c r="F476" s="122" t="s">
        <v>3553</v>
      </c>
    </row>
    <row r="477">
      <c r="D477" s="122" t="str">
        <f>IFERROR(__xludf.DUMMYFUNCTION("""COMPUTED_VALUE"""),"果")</f>
        <v>果</v>
      </c>
      <c r="F477" s="122" t="s">
        <v>4200</v>
      </c>
    </row>
    <row r="478">
      <c r="D478" s="122" t="str">
        <f>IFERROR(__xludf.DUMMYFUNCTION("""COMPUTED_VALUE"""),"柏")</f>
        <v>柏</v>
      </c>
      <c r="F478" s="122" t="s">
        <v>10619</v>
      </c>
    </row>
    <row r="479">
      <c r="D479" s="122" t="str">
        <f>IFERROR(__xludf.DUMMYFUNCTION("""COMPUTED_VALUE"""),"某")</f>
        <v>某</v>
      </c>
      <c r="F479" s="122" t="s">
        <v>9873</v>
      </c>
    </row>
    <row r="480">
      <c r="D480" s="122" t="str">
        <f>IFERROR(__xludf.DUMMYFUNCTION("""COMPUTED_VALUE"""),"标")</f>
        <v>标</v>
      </c>
      <c r="F480" s="122" t="s">
        <v>10620</v>
      </c>
    </row>
    <row r="481">
      <c r="D481" s="122" t="str">
        <f>IFERROR(__xludf.DUMMYFUNCTION("""COMPUTED_VALUE"""),"树")</f>
        <v>树</v>
      </c>
      <c r="F481" s="122" t="s">
        <v>7199</v>
      </c>
    </row>
    <row r="482">
      <c r="D482" s="122" t="str">
        <f>IFERROR(__xludf.DUMMYFUNCTION("""COMPUTED_VALUE"""),"样")</f>
        <v>样</v>
      </c>
      <c r="F482" s="122" t="s">
        <v>5010</v>
      </c>
    </row>
    <row r="483">
      <c r="D483" s="122" t="str">
        <f>IFERROR(__xludf.DUMMYFUNCTION("""COMPUTED_VALUE"""),"桂")</f>
        <v>桂</v>
      </c>
      <c r="F483" s="122" t="s">
        <v>3231</v>
      </c>
    </row>
    <row r="484">
      <c r="D484" s="122" t="str">
        <f>IFERROR(__xludf.DUMMYFUNCTION("""COMPUTED_VALUE"""),"案")</f>
        <v>案</v>
      </c>
      <c r="F484" s="122" t="s">
        <v>3080</v>
      </c>
    </row>
    <row r="485">
      <c r="D485" s="122" t="str">
        <f>IFERROR(__xludf.DUMMYFUNCTION("""COMPUTED_VALUE"""),"档")</f>
        <v>档</v>
      </c>
      <c r="F485" s="122" t="s">
        <v>3871</v>
      </c>
    </row>
    <row r="486">
      <c r="D486" s="122" t="str">
        <f>IFERROR(__xludf.DUMMYFUNCTION("""COMPUTED_VALUE"""),"桶")</f>
        <v>桶</v>
      </c>
      <c r="F486" s="122" t="s">
        <v>5833</v>
      </c>
    </row>
    <row r="487">
      <c r="D487" s="122" t="str">
        <f>IFERROR(__xludf.DUMMYFUNCTION("""COMPUTED_VALUE"""),"梦")</f>
        <v>梦</v>
      </c>
      <c r="F487" s="122" t="s">
        <v>3246</v>
      </c>
    </row>
    <row r="488">
      <c r="D488" s="122" t="str">
        <f>IFERROR(__xludf.DUMMYFUNCTION("""COMPUTED_VALUE"""),"棉")</f>
        <v>棉</v>
      </c>
      <c r="F488" s="122" t="s">
        <v>3218</v>
      </c>
    </row>
    <row r="489">
      <c r="D489" s="122" t="str">
        <f>IFERROR(__xludf.DUMMYFUNCTION("""COMPUTED_VALUE"""),"棒")</f>
        <v>棒</v>
      </c>
      <c r="F489" s="122" t="s">
        <v>4755</v>
      </c>
    </row>
    <row r="490">
      <c r="D490" s="122" t="str">
        <f>IFERROR(__xludf.DUMMYFUNCTION("""COMPUTED_VALUE"""),"椰")</f>
        <v>椰</v>
      </c>
      <c r="F490" s="122" t="s">
        <v>7346</v>
      </c>
    </row>
    <row r="491">
      <c r="D491" s="122" t="str">
        <f>IFERROR(__xludf.DUMMYFUNCTION("""COMPUTED_VALUE"""),"概")</f>
        <v>概</v>
      </c>
      <c r="F491" s="122" t="s">
        <v>3275</v>
      </c>
    </row>
    <row r="492">
      <c r="D492" s="122" t="str">
        <f>IFERROR(__xludf.DUMMYFUNCTION("""COMPUTED_VALUE"""),"榛")</f>
        <v>榛</v>
      </c>
      <c r="F492" s="122" t="s">
        <v>3505</v>
      </c>
    </row>
    <row r="493">
      <c r="D493" s="122" t="str">
        <f>IFERROR(__xludf.DUMMYFUNCTION("""COMPUTED_VALUE"""),"模")</f>
        <v>模</v>
      </c>
      <c r="F493" s="122" t="s">
        <v>3436</v>
      </c>
    </row>
    <row r="494">
      <c r="D494" s="122" t="str">
        <f>IFERROR(__xludf.DUMMYFUNCTION("""COMPUTED_VALUE"""),"橙")</f>
        <v>橙</v>
      </c>
      <c r="F494" s="122" t="s">
        <v>6745</v>
      </c>
    </row>
    <row r="495">
      <c r="D495" s="122" t="str">
        <f>IFERROR(__xludf.DUMMYFUNCTION("""COMPUTED_VALUE"""),"次")</f>
        <v>次</v>
      </c>
      <c r="F495" s="122" t="s">
        <v>4798</v>
      </c>
    </row>
    <row r="496">
      <c r="D496" s="122" t="str">
        <f>IFERROR(__xludf.DUMMYFUNCTION("""COMPUTED_VALUE"""),"欢")</f>
        <v>欢</v>
      </c>
      <c r="F496" s="122" t="s">
        <v>6252</v>
      </c>
    </row>
    <row r="497">
      <c r="D497" s="122" t="str">
        <f>IFERROR(__xludf.DUMMYFUNCTION("""COMPUTED_VALUE"""),"款")</f>
        <v>款</v>
      </c>
      <c r="F497" s="122" t="s">
        <v>9689</v>
      </c>
    </row>
    <row r="498">
      <c r="D498" s="122" t="str">
        <f>IFERROR(__xludf.DUMMYFUNCTION("""COMPUTED_VALUE"""),"歉")</f>
        <v>歉</v>
      </c>
      <c r="F498" s="122" t="s">
        <v>5569</v>
      </c>
    </row>
    <row r="499">
      <c r="D499" s="122" t="str">
        <f>IFERROR(__xludf.DUMMYFUNCTION("""COMPUTED_VALUE"""),"止")</f>
        <v>止</v>
      </c>
      <c r="F499" s="122" t="s">
        <v>3785</v>
      </c>
    </row>
    <row r="500">
      <c r="D500" s="122" t="str">
        <f>IFERROR(__xludf.DUMMYFUNCTION("""COMPUTED_VALUE"""),"正")</f>
        <v>正</v>
      </c>
      <c r="F500" s="122" t="s">
        <v>3796</v>
      </c>
    </row>
    <row r="501">
      <c r="D501" s="122" t="str">
        <f>IFERROR(__xludf.DUMMYFUNCTION("""COMPUTED_VALUE"""),"此")</f>
        <v>此</v>
      </c>
      <c r="F501" s="122" t="s">
        <v>3150</v>
      </c>
    </row>
    <row r="502">
      <c r="D502" s="122" t="str">
        <f>IFERROR(__xludf.DUMMYFUNCTION("""COMPUTED_VALUE"""),"步")</f>
        <v>步</v>
      </c>
      <c r="F502" s="122" t="s">
        <v>3552</v>
      </c>
    </row>
    <row r="503">
      <c r="D503" s="122" t="str">
        <f>IFERROR(__xludf.DUMMYFUNCTION("""COMPUTED_VALUE"""),"段")</f>
        <v>段</v>
      </c>
      <c r="F503" s="122" t="s">
        <v>6054</v>
      </c>
    </row>
    <row r="504">
      <c r="D504" s="122" t="str">
        <f>IFERROR(__xludf.DUMMYFUNCTION("""COMPUTED_VALUE"""),"殿")</f>
        <v>殿</v>
      </c>
      <c r="F504" s="122" t="s">
        <v>10621</v>
      </c>
    </row>
    <row r="505">
      <c r="D505" s="122" t="str">
        <f>IFERROR(__xludf.DUMMYFUNCTION("""COMPUTED_VALUE"""),"母")</f>
        <v>母</v>
      </c>
      <c r="F505" s="122" t="s">
        <v>3549</v>
      </c>
    </row>
    <row r="506">
      <c r="D506" s="122" t="str">
        <f>IFERROR(__xludf.DUMMYFUNCTION("""COMPUTED_VALUE"""),"毒")</f>
        <v>毒</v>
      </c>
      <c r="F506" s="122" t="s">
        <v>4562</v>
      </c>
    </row>
    <row r="507">
      <c r="D507" s="122" t="str">
        <f>IFERROR(__xludf.DUMMYFUNCTION("""COMPUTED_VALUE"""),"比")</f>
        <v>比</v>
      </c>
      <c r="F507" s="122" t="s">
        <v>5663</v>
      </c>
    </row>
    <row r="508">
      <c r="D508" s="122" t="str">
        <f>IFERROR(__xludf.DUMMYFUNCTION("""COMPUTED_VALUE"""),"毕")</f>
        <v>毕</v>
      </c>
      <c r="F508" s="122" t="s">
        <v>5415</v>
      </c>
    </row>
    <row r="509">
      <c r="D509" s="122" t="str">
        <f>IFERROR(__xludf.DUMMYFUNCTION("""COMPUTED_VALUE"""),"毛")</f>
        <v>毛</v>
      </c>
      <c r="F509" s="122" t="s">
        <v>5046</v>
      </c>
    </row>
    <row r="510">
      <c r="D510" s="122" t="str">
        <f>IFERROR(__xludf.DUMMYFUNCTION("""COMPUTED_VALUE"""),"毽")</f>
        <v>毽</v>
      </c>
      <c r="F510" s="122" t="s">
        <v>4132</v>
      </c>
    </row>
    <row r="511">
      <c r="D511" s="122" t="str">
        <f>IFERROR(__xludf.DUMMYFUNCTION("""COMPUTED_VALUE"""),"水")</f>
        <v>水</v>
      </c>
      <c r="F511" s="122" t="s">
        <v>9216</v>
      </c>
    </row>
    <row r="512">
      <c r="D512" s="122" t="str">
        <f>IFERROR(__xludf.DUMMYFUNCTION("""COMPUTED_VALUE"""),"永")</f>
        <v>永</v>
      </c>
      <c r="F512" s="122" t="s">
        <v>4124</v>
      </c>
    </row>
    <row r="513">
      <c r="D513" s="122" t="str">
        <f>IFERROR(__xludf.DUMMYFUNCTION("""COMPUTED_VALUE"""),"求")</f>
        <v>求</v>
      </c>
      <c r="F513" s="122" t="s">
        <v>4239</v>
      </c>
    </row>
    <row r="514">
      <c r="D514" s="122" t="str">
        <f>IFERROR(__xludf.DUMMYFUNCTION("""COMPUTED_VALUE"""),"沙")</f>
        <v>沙</v>
      </c>
      <c r="F514" s="122" t="s">
        <v>4640</v>
      </c>
    </row>
    <row r="515">
      <c r="D515" s="122" t="str">
        <f>IFERROR(__xludf.DUMMYFUNCTION("""COMPUTED_VALUE"""),"没")</f>
        <v>没</v>
      </c>
      <c r="F515" s="122" t="s">
        <v>4748</v>
      </c>
    </row>
    <row r="516">
      <c r="D516" s="122" t="str">
        <f>IFERROR(__xludf.DUMMYFUNCTION("""COMPUTED_VALUE"""),"沼")</f>
        <v>沼</v>
      </c>
      <c r="F516" s="122" t="s">
        <v>4536</v>
      </c>
    </row>
    <row r="517">
      <c r="D517" s="122" t="str">
        <f>IFERROR(__xludf.DUMMYFUNCTION("""COMPUTED_VALUE"""),"法")</f>
        <v>法</v>
      </c>
      <c r="F517" s="122" t="s">
        <v>4797</v>
      </c>
    </row>
    <row r="518">
      <c r="D518" s="122" t="str">
        <f>IFERROR(__xludf.DUMMYFUNCTION("""COMPUTED_VALUE"""),"波")</f>
        <v>波</v>
      </c>
      <c r="F518" s="122" t="s">
        <v>5051</v>
      </c>
    </row>
    <row r="519">
      <c r="D519" s="122" t="str">
        <f>IFERROR(__xludf.DUMMYFUNCTION("""COMPUTED_VALUE"""),"泥")</f>
        <v>泥</v>
      </c>
      <c r="F519" s="122" t="s">
        <v>3985</v>
      </c>
    </row>
    <row r="520">
      <c r="D520" s="122" t="str">
        <f>IFERROR(__xludf.DUMMYFUNCTION("""COMPUTED_VALUE"""),"注")</f>
        <v>注</v>
      </c>
      <c r="F520" s="122" t="s">
        <v>5303</v>
      </c>
    </row>
    <row r="521">
      <c r="D521" s="122" t="str">
        <f>IFERROR(__xludf.DUMMYFUNCTION("""COMPUTED_VALUE"""),"泰")</f>
        <v>泰</v>
      </c>
      <c r="F521" s="122" t="s">
        <v>3913</v>
      </c>
    </row>
    <row r="522">
      <c r="D522" s="122" t="str">
        <f>IFERROR(__xludf.DUMMYFUNCTION("""COMPUTED_VALUE"""),"泳")</f>
        <v>泳</v>
      </c>
      <c r="F522" s="122" t="s">
        <v>5348</v>
      </c>
    </row>
    <row r="523">
      <c r="D523" s="122" t="str">
        <f>IFERROR(__xludf.DUMMYFUNCTION("""COMPUTED_VALUE"""),"洛")</f>
        <v>洛</v>
      </c>
      <c r="F523" s="122" t="s">
        <v>8634</v>
      </c>
    </row>
    <row r="524">
      <c r="D524" s="122" t="str">
        <f>IFERROR(__xludf.DUMMYFUNCTION("""COMPUTED_VALUE"""),"活")</f>
        <v>活</v>
      </c>
      <c r="F524" s="122" t="s">
        <v>4642</v>
      </c>
    </row>
    <row r="525">
      <c r="D525" s="122" t="str">
        <f>IFERROR(__xludf.DUMMYFUNCTION("""COMPUTED_VALUE"""),"派")</f>
        <v>派</v>
      </c>
      <c r="F525" s="122" t="s">
        <v>6060</v>
      </c>
    </row>
    <row r="526">
      <c r="D526" s="122" t="str">
        <f>IFERROR(__xludf.DUMMYFUNCTION("""COMPUTED_VALUE"""),"测")</f>
        <v>测</v>
      </c>
      <c r="F526" s="122" t="s">
        <v>5485</v>
      </c>
    </row>
    <row r="527">
      <c r="D527" s="122" t="str">
        <f>IFERROR(__xludf.DUMMYFUNCTION("""COMPUTED_VALUE"""),"海")</f>
        <v>海</v>
      </c>
      <c r="F527" s="122" t="s">
        <v>5523</v>
      </c>
    </row>
    <row r="528">
      <c r="D528" s="122" t="str">
        <f>IFERROR(__xludf.DUMMYFUNCTION("""COMPUTED_VALUE"""),"消")</f>
        <v>消</v>
      </c>
      <c r="F528" s="122" t="s">
        <v>4205</v>
      </c>
    </row>
    <row r="529">
      <c r="D529" s="122" t="str">
        <f>IFERROR(__xludf.DUMMYFUNCTION("""COMPUTED_VALUE"""),"温")</f>
        <v>温</v>
      </c>
      <c r="F529" s="122" t="s">
        <v>3619</v>
      </c>
    </row>
    <row r="530">
      <c r="D530" s="122" t="str">
        <f>IFERROR(__xludf.DUMMYFUNCTION("""COMPUTED_VALUE"""),"游")</f>
        <v>游</v>
      </c>
      <c r="F530" s="122" t="s">
        <v>4989</v>
      </c>
    </row>
    <row r="531">
      <c r="D531" s="122" t="str">
        <f>IFERROR(__xludf.DUMMYFUNCTION("""COMPUTED_VALUE"""),"溃")</f>
        <v>溃</v>
      </c>
      <c r="F531" s="122" t="s">
        <v>4461</v>
      </c>
    </row>
    <row r="532">
      <c r="D532" s="122" t="str">
        <f>IFERROR(__xludf.DUMMYFUNCTION("""COMPUTED_VALUE"""),"源")</f>
        <v>源</v>
      </c>
      <c r="F532" s="122" t="s">
        <v>5530</v>
      </c>
    </row>
    <row r="533">
      <c r="D533" s="122" t="str">
        <f>IFERROR(__xludf.DUMMYFUNCTION("""COMPUTED_VALUE"""),"火")</f>
        <v>火</v>
      </c>
      <c r="F533" s="122" t="s">
        <v>4861</v>
      </c>
    </row>
    <row r="534">
      <c r="D534" s="122" t="str">
        <f>IFERROR(__xludf.DUMMYFUNCTION("""COMPUTED_VALUE"""),"灯")</f>
        <v>灯</v>
      </c>
      <c r="F534" s="122" t="s">
        <v>10622</v>
      </c>
    </row>
    <row r="535">
      <c r="D535" s="122" t="str">
        <f>IFERROR(__xludf.DUMMYFUNCTION("""COMPUTED_VALUE"""),"灵")</f>
        <v>灵</v>
      </c>
      <c r="F535" s="122" t="s">
        <v>5387</v>
      </c>
    </row>
    <row r="536">
      <c r="D536" s="122" t="str">
        <f>IFERROR(__xludf.DUMMYFUNCTION("""COMPUTED_VALUE"""),"炎")</f>
        <v>炎</v>
      </c>
      <c r="F536" s="122" t="s">
        <v>3584</v>
      </c>
    </row>
    <row r="537">
      <c r="D537" s="122" t="str">
        <f>IFERROR(__xludf.DUMMYFUNCTION("""COMPUTED_VALUE"""),"炮")</f>
        <v>炮</v>
      </c>
      <c r="F537" s="122" t="s">
        <v>8211</v>
      </c>
    </row>
    <row r="538">
      <c r="D538" s="122" t="str">
        <f>IFERROR(__xludf.DUMMYFUNCTION("""COMPUTED_VALUE"""),"点")</f>
        <v>点</v>
      </c>
      <c r="F538" s="122" t="s">
        <v>3398</v>
      </c>
    </row>
    <row r="539">
      <c r="D539" s="122" t="str">
        <f>IFERROR(__xludf.DUMMYFUNCTION("""COMPUTED_VALUE"""),"烈")</f>
        <v>烈</v>
      </c>
      <c r="F539" s="122" t="s">
        <v>4574</v>
      </c>
    </row>
    <row r="540">
      <c r="D540" s="122" t="str">
        <f>IFERROR(__xludf.DUMMYFUNCTION("""COMPUTED_VALUE"""),"热")</f>
        <v>热</v>
      </c>
      <c r="F540" s="122" t="s">
        <v>7032</v>
      </c>
    </row>
    <row r="541">
      <c r="D541" s="122" t="str">
        <f>IFERROR(__xludf.DUMMYFUNCTION("""COMPUTED_VALUE"""),"焰")</f>
        <v>焰</v>
      </c>
      <c r="F541" s="122" t="s">
        <v>4609</v>
      </c>
    </row>
    <row r="542">
      <c r="D542" s="122" t="str">
        <f>IFERROR(__xludf.DUMMYFUNCTION("""COMPUTED_VALUE"""),"然")</f>
        <v>然</v>
      </c>
      <c r="F542" s="122" t="s">
        <v>4559</v>
      </c>
    </row>
    <row r="543">
      <c r="D543" s="122" t="str">
        <f>IFERROR(__xludf.DUMMYFUNCTION("""COMPUTED_VALUE"""),"熊")</f>
        <v>熊</v>
      </c>
      <c r="F543" s="122" t="s">
        <v>3655</v>
      </c>
    </row>
    <row r="544">
      <c r="D544" s="122" t="str">
        <f>IFERROR(__xludf.DUMMYFUNCTION("""COMPUTED_VALUE"""),"熔")</f>
        <v>熔</v>
      </c>
      <c r="F544" s="122" t="s">
        <v>6953</v>
      </c>
    </row>
    <row r="545">
      <c r="D545" s="122" t="str">
        <f>IFERROR(__xludf.DUMMYFUNCTION("""COMPUTED_VALUE"""),"爱")</f>
        <v>爱</v>
      </c>
      <c r="F545" s="122" t="s">
        <v>668</v>
      </c>
    </row>
    <row r="546">
      <c r="D546" s="122" t="str">
        <f>IFERROR(__xludf.DUMMYFUNCTION("""COMPUTED_VALUE"""),"版")</f>
        <v>版</v>
      </c>
      <c r="F546" s="122" t="s">
        <v>5092</v>
      </c>
    </row>
    <row r="547">
      <c r="D547" s="122" t="str">
        <f>IFERROR(__xludf.DUMMYFUNCTION("""COMPUTED_VALUE"""),"牙")</f>
        <v>牙</v>
      </c>
      <c r="F547" s="122" t="s">
        <v>4424</v>
      </c>
    </row>
    <row r="548">
      <c r="D548" s="122" t="str">
        <f>IFERROR(__xludf.DUMMYFUNCTION("""COMPUTED_VALUE"""),"牛")</f>
        <v>牛</v>
      </c>
      <c r="F548" s="122" t="s">
        <v>4396</v>
      </c>
    </row>
    <row r="549">
      <c r="D549" s="122" t="str">
        <f>IFERROR(__xludf.DUMMYFUNCTION("""COMPUTED_VALUE"""),"物")</f>
        <v>物</v>
      </c>
      <c r="F549" s="122" t="s">
        <v>5041</v>
      </c>
    </row>
    <row r="550">
      <c r="D550" s="122" t="str">
        <f>IFERROR(__xludf.DUMMYFUNCTION("""COMPUTED_VALUE"""),"特")</f>
        <v>特</v>
      </c>
      <c r="F550" s="122" t="s">
        <v>4406</v>
      </c>
    </row>
    <row r="551">
      <c r="D551" s="122" t="str">
        <f>IFERROR(__xludf.DUMMYFUNCTION("""COMPUTED_VALUE"""),"犀")</f>
        <v>犀</v>
      </c>
      <c r="F551" s="122" t="s">
        <v>4324</v>
      </c>
    </row>
    <row r="552">
      <c r="D552" s="122" t="str">
        <f>IFERROR(__xludf.DUMMYFUNCTION("""COMPUTED_VALUE"""),"犬")</f>
        <v>犬</v>
      </c>
      <c r="F552" s="122" t="s">
        <v>3749</v>
      </c>
    </row>
    <row r="553">
      <c r="D553" s="122" t="str">
        <f>IFERROR(__xludf.DUMMYFUNCTION("""COMPUTED_VALUE"""),"状")</f>
        <v>状</v>
      </c>
      <c r="F553" s="122" t="s">
        <v>5044</v>
      </c>
    </row>
    <row r="554">
      <c r="D554" s="122" t="str">
        <f>IFERROR(__xludf.DUMMYFUNCTION("""COMPUTED_VALUE"""),"狃")</f>
        <v>狃</v>
      </c>
      <c r="F554" s="122" t="s">
        <v>5719</v>
      </c>
    </row>
    <row r="555">
      <c r="D555" s="122" t="str">
        <f>IFERROR(__xludf.DUMMYFUNCTION("""COMPUTED_VALUE"""),"狗")</f>
        <v>狗</v>
      </c>
      <c r="F555" s="122" t="s">
        <v>5002</v>
      </c>
    </row>
    <row r="556">
      <c r="D556" s="122" t="str">
        <f>IFERROR(__xludf.DUMMYFUNCTION("""COMPUTED_VALUE"""),"独")</f>
        <v>独</v>
      </c>
      <c r="F556" s="122" t="s">
        <v>7195</v>
      </c>
    </row>
    <row r="557">
      <c r="D557" s="122" t="str">
        <f>IFERROR(__xludf.DUMMYFUNCTION("""COMPUTED_VALUE"""),"狮")</f>
        <v>狮</v>
      </c>
      <c r="F557" s="122" t="s">
        <v>5095</v>
      </c>
    </row>
    <row r="558">
      <c r="D558" s="122" t="str">
        <f>IFERROR(__xludf.DUMMYFUNCTION("""COMPUTED_VALUE"""),"猪")</f>
        <v>猪</v>
      </c>
      <c r="F558" s="122" t="s">
        <v>658</v>
      </c>
    </row>
    <row r="559">
      <c r="D559" s="122" t="str">
        <f>IFERROR(__xludf.DUMMYFUNCTION("""COMPUTED_VALUE"""),"猫")</f>
        <v>猫</v>
      </c>
      <c r="F559" s="122" t="s">
        <v>9503</v>
      </c>
    </row>
    <row r="560">
      <c r="D560" s="122" t="str">
        <f>IFERROR(__xludf.DUMMYFUNCTION("""COMPUTED_VALUE"""),"猴")</f>
        <v>猴</v>
      </c>
      <c r="F560" s="122" t="s">
        <v>5677</v>
      </c>
    </row>
    <row r="561">
      <c r="D561" s="122" t="str">
        <f>IFERROR(__xludf.DUMMYFUNCTION("""COMPUTED_VALUE"""),"王")</f>
        <v>王</v>
      </c>
      <c r="F561" s="122" t="s">
        <v>4937</v>
      </c>
    </row>
    <row r="562">
      <c r="D562" s="122" t="str">
        <f>IFERROR(__xludf.DUMMYFUNCTION("""COMPUTED_VALUE"""),"玛")</f>
        <v>玛</v>
      </c>
      <c r="F562" s="122" t="s">
        <v>9206</v>
      </c>
    </row>
    <row r="563">
      <c r="D563" s="122" t="str">
        <f>IFERROR(__xludf.DUMMYFUNCTION("""COMPUTED_VALUE"""),"现")</f>
        <v>现</v>
      </c>
      <c r="F563" s="122" t="s">
        <v>9173</v>
      </c>
    </row>
    <row r="564">
      <c r="D564" s="122" t="str">
        <f>IFERROR(__xludf.DUMMYFUNCTION("""COMPUTED_VALUE"""),"珊")</f>
        <v>珊</v>
      </c>
      <c r="F564" s="122" t="s">
        <v>4527</v>
      </c>
    </row>
    <row r="565">
      <c r="D565" s="122" t="str">
        <f>IFERROR(__xludf.DUMMYFUNCTION("""COMPUTED_VALUE"""),"班")</f>
        <v>班</v>
      </c>
      <c r="F565" s="122" t="s">
        <v>4534</v>
      </c>
    </row>
    <row r="566">
      <c r="D566" s="122" t="str">
        <f>IFERROR(__xludf.DUMMYFUNCTION("""COMPUTED_VALUE"""),"球")</f>
        <v>球</v>
      </c>
      <c r="F566" s="122" t="s">
        <v>7525</v>
      </c>
    </row>
    <row r="567">
      <c r="D567" s="122" t="str">
        <f>IFERROR(__xludf.DUMMYFUNCTION("""COMPUTED_VALUE"""),"理")</f>
        <v>理</v>
      </c>
      <c r="F567" s="122" t="s">
        <v>7874</v>
      </c>
    </row>
    <row r="568">
      <c r="D568" s="122" t="str">
        <f>IFERROR(__xludf.DUMMYFUNCTION("""COMPUTED_VALUE"""),"瑙")</f>
        <v>瑙</v>
      </c>
      <c r="F568" s="122" t="s">
        <v>9009</v>
      </c>
    </row>
    <row r="569">
      <c r="D569" s="122" t="str">
        <f>IFERROR(__xludf.DUMMYFUNCTION("""COMPUTED_VALUE"""),"瑚")</f>
        <v>瑚</v>
      </c>
      <c r="F569" s="122" t="s">
        <v>3548</v>
      </c>
    </row>
    <row r="570">
      <c r="D570" s="122" t="str">
        <f>IFERROR(__xludf.DUMMYFUNCTION("""COMPUTED_VALUE"""),"瓢")</f>
        <v>瓢</v>
      </c>
      <c r="F570" s="122" t="s">
        <v>4203</v>
      </c>
    </row>
    <row r="571">
      <c r="D571" s="122" t="str">
        <f>IFERROR(__xludf.DUMMYFUNCTION("""COMPUTED_VALUE"""),"瓦")</f>
        <v>瓦</v>
      </c>
      <c r="F571" s="122" t="s">
        <v>3754</v>
      </c>
    </row>
    <row r="572">
      <c r="D572" s="122" t="str">
        <f>IFERROR(__xludf.DUMMYFUNCTION("""COMPUTED_VALUE"""),"甜")</f>
        <v>甜</v>
      </c>
      <c r="F572" s="122" t="s">
        <v>7432</v>
      </c>
    </row>
    <row r="573">
      <c r="D573" s="122" t="str">
        <f>IFERROR(__xludf.DUMMYFUNCTION("""COMPUTED_VALUE"""),"生")</f>
        <v>生</v>
      </c>
      <c r="F573" s="122" t="s">
        <v>5843</v>
      </c>
    </row>
    <row r="574">
      <c r="D574" s="122" t="str">
        <f>IFERROR(__xludf.DUMMYFUNCTION("""COMPUTED_VALUE"""),"用")</f>
        <v>用</v>
      </c>
      <c r="F574" s="122" t="s">
        <v>4871</v>
      </c>
    </row>
    <row r="575">
      <c r="D575" s="122" t="str">
        <f>IFERROR(__xludf.DUMMYFUNCTION("""COMPUTED_VALUE"""),"由")</f>
        <v>由</v>
      </c>
      <c r="F575" s="122" t="s">
        <v>6023</v>
      </c>
    </row>
    <row r="576">
      <c r="D576" s="122" t="str">
        <f>IFERROR(__xludf.DUMMYFUNCTION("""COMPUTED_VALUE"""),"甲")</f>
        <v>甲</v>
      </c>
      <c r="F576" s="122" t="s">
        <v>3347</v>
      </c>
    </row>
    <row r="577">
      <c r="D577" s="122" t="str">
        <f>IFERROR(__xludf.DUMMYFUNCTION("""COMPUTED_VALUE"""),"电")</f>
        <v>电</v>
      </c>
      <c r="F577" s="122" t="s">
        <v>3580</v>
      </c>
    </row>
    <row r="578">
      <c r="D578" s="122" t="str">
        <f>IFERROR(__xludf.DUMMYFUNCTION("""COMPUTED_VALUE"""),"男")</f>
        <v>男</v>
      </c>
      <c r="F578" s="122" t="s">
        <v>9249</v>
      </c>
    </row>
    <row r="579">
      <c r="D579" s="122" t="str">
        <f>IFERROR(__xludf.DUMMYFUNCTION("""COMPUTED_VALUE"""),"界")</f>
        <v>界</v>
      </c>
      <c r="F579" s="122" t="s">
        <v>8664</v>
      </c>
    </row>
    <row r="580">
      <c r="D580" s="122" t="str">
        <f>IFERROR(__xludf.DUMMYFUNCTION("""COMPUTED_VALUE"""),"畏")</f>
        <v>畏</v>
      </c>
      <c r="F580" s="122" t="s">
        <v>4053</v>
      </c>
    </row>
    <row r="581">
      <c r="D581" s="122" t="str">
        <f>IFERROR(__xludf.DUMMYFUNCTION("""COMPUTED_VALUE"""),"白")</f>
        <v>白</v>
      </c>
      <c r="F581" s="122" t="s">
        <v>3844</v>
      </c>
    </row>
    <row r="582">
      <c r="D582" s="122" t="str">
        <f>IFERROR(__xludf.DUMMYFUNCTION("""COMPUTED_VALUE"""),"百")</f>
        <v>百</v>
      </c>
      <c r="F582" s="122" t="s">
        <v>6177</v>
      </c>
    </row>
    <row r="583">
      <c r="D583" s="122" t="str">
        <f>IFERROR(__xludf.DUMMYFUNCTION("""COMPUTED_VALUE"""),"的")</f>
        <v>的</v>
      </c>
      <c r="F583" s="122" t="s">
        <v>4757</v>
      </c>
    </row>
    <row r="584">
      <c r="D584" s="122" t="str">
        <f>IFERROR(__xludf.DUMMYFUNCTION("""COMPUTED_VALUE"""),"皇")</f>
        <v>皇</v>
      </c>
      <c r="F584" s="122" t="s">
        <v>6808</v>
      </c>
    </row>
    <row r="585">
      <c r="D585" s="122" t="str">
        <f>IFERROR(__xludf.DUMMYFUNCTION("""COMPUTED_VALUE"""),"皮")</f>
        <v>皮</v>
      </c>
      <c r="F585" s="122" t="s">
        <v>4904</v>
      </c>
    </row>
    <row r="586">
      <c r="D586" s="122" t="str">
        <f>IFERROR(__xludf.DUMMYFUNCTION("""COMPUTED_VALUE"""),"盒")</f>
        <v>盒</v>
      </c>
      <c r="F586" s="122" t="s">
        <v>5131</v>
      </c>
    </row>
    <row r="587">
      <c r="D587" s="122" t="str">
        <f>IFERROR(__xludf.DUMMYFUNCTION("""COMPUTED_VALUE"""),"盔")</f>
        <v>盔</v>
      </c>
      <c r="F587" s="122" t="s">
        <v>7307</v>
      </c>
    </row>
    <row r="588">
      <c r="D588" s="122" t="str">
        <f>IFERROR(__xludf.DUMMYFUNCTION("""COMPUTED_VALUE"""),"盖")</f>
        <v>盖</v>
      </c>
      <c r="F588" s="122" t="s">
        <v>3250</v>
      </c>
    </row>
    <row r="589">
      <c r="D589" s="122" t="str">
        <f>IFERROR(__xludf.DUMMYFUNCTION("""COMPUTED_VALUE"""),"目")</f>
        <v>目</v>
      </c>
      <c r="F589" s="122" t="s">
        <v>7301</v>
      </c>
    </row>
    <row r="590">
      <c r="D590" s="122" t="str">
        <f>IFERROR(__xludf.DUMMYFUNCTION("""COMPUTED_VALUE"""),"相")</f>
        <v>相</v>
      </c>
      <c r="F590" s="122" t="s">
        <v>6579</v>
      </c>
    </row>
    <row r="591">
      <c r="D591" s="122" t="str">
        <f>IFERROR(__xludf.DUMMYFUNCTION("""COMPUTED_VALUE"""),"看")</f>
        <v>看</v>
      </c>
      <c r="F591" s="122" t="s">
        <v>3988</v>
      </c>
    </row>
    <row r="592">
      <c r="D592" s="122" t="str">
        <f>IFERROR(__xludf.DUMMYFUNCTION("""COMPUTED_VALUE"""),"真")</f>
        <v>真</v>
      </c>
      <c r="F592" s="122" t="s">
        <v>9559</v>
      </c>
    </row>
    <row r="593">
      <c r="D593" s="122" t="str">
        <f>IFERROR(__xludf.DUMMYFUNCTION("""COMPUTED_VALUE"""),"眠")</f>
        <v>眠</v>
      </c>
      <c r="F593" s="122" t="s">
        <v>4015</v>
      </c>
    </row>
    <row r="594">
      <c r="D594" s="122" t="str">
        <f>IFERROR(__xludf.DUMMYFUNCTION("""COMPUTED_VALUE"""),"着")</f>
        <v>着</v>
      </c>
      <c r="F594" s="122" t="s">
        <v>8199</v>
      </c>
    </row>
    <row r="595">
      <c r="D595" s="122" t="str">
        <f>IFERROR(__xludf.DUMMYFUNCTION("""COMPUTED_VALUE"""),"知")</f>
        <v>知</v>
      </c>
      <c r="F595" s="122" t="s">
        <v>5442</v>
      </c>
    </row>
    <row r="596">
      <c r="D596" s="122" t="str">
        <f>IFERROR(__xludf.DUMMYFUNCTION("""COMPUTED_VALUE"""),"石")</f>
        <v>石</v>
      </c>
      <c r="F596" s="122" t="s">
        <v>7532</v>
      </c>
    </row>
    <row r="597">
      <c r="D597" s="122" t="str">
        <f>IFERROR(__xludf.DUMMYFUNCTION("""COMPUTED_VALUE"""),"码")</f>
        <v>码</v>
      </c>
      <c r="F597" s="122" t="s">
        <v>10623</v>
      </c>
    </row>
    <row r="598">
      <c r="D598" s="122" t="str">
        <f>IFERROR(__xludf.DUMMYFUNCTION("""COMPUTED_VALUE"""),"研")</f>
        <v>研</v>
      </c>
      <c r="F598" s="122" t="s">
        <v>6165</v>
      </c>
    </row>
    <row r="599">
      <c r="D599" s="122" t="str">
        <f>IFERROR(__xludf.DUMMYFUNCTION("""COMPUTED_VALUE"""),"破")</f>
        <v>破</v>
      </c>
      <c r="F599" s="122" t="s">
        <v>4647</v>
      </c>
    </row>
    <row r="600">
      <c r="D600" s="122" t="str">
        <f>IFERROR(__xludf.DUMMYFUNCTION("""COMPUTED_VALUE"""),"确")</f>
        <v>确</v>
      </c>
      <c r="F600" s="122" t="s">
        <v>6260</v>
      </c>
    </row>
    <row r="601">
      <c r="D601" s="122" t="str">
        <f>IFERROR(__xludf.DUMMYFUNCTION("""COMPUTED_VALUE"""),"磁")</f>
        <v>磁</v>
      </c>
      <c r="F601" s="122" t="s">
        <v>8876</v>
      </c>
    </row>
    <row r="602">
      <c r="D602" s="122" t="str">
        <f>IFERROR(__xludf.DUMMYFUNCTION("""COMPUTED_VALUE"""),"示")</f>
        <v>示</v>
      </c>
      <c r="F602" s="122" t="s">
        <v>9884</v>
      </c>
    </row>
    <row r="603">
      <c r="D603" s="122" t="str">
        <f>IFERROR(__xludf.DUMMYFUNCTION("""COMPUTED_VALUE"""),"礼")</f>
        <v>礼</v>
      </c>
      <c r="F603" s="122" t="s">
        <v>9001</v>
      </c>
    </row>
    <row r="604">
      <c r="D604" s="122" t="str">
        <f>IFERROR(__xludf.DUMMYFUNCTION("""COMPUTED_VALUE"""),"社")</f>
        <v>社</v>
      </c>
      <c r="F604" s="122" t="s">
        <v>678</v>
      </c>
    </row>
    <row r="605">
      <c r="D605" s="122" t="str">
        <f>IFERROR(__xludf.DUMMYFUNCTION("""COMPUTED_VALUE"""),"祝")</f>
        <v>祝</v>
      </c>
      <c r="F605" s="122" t="s">
        <v>8438</v>
      </c>
    </row>
    <row r="606">
      <c r="D606" s="122" t="str">
        <f>IFERROR(__xludf.DUMMYFUNCTION("""COMPUTED_VALUE"""),"神")</f>
        <v>神</v>
      </c>
      <c r="F606" s="122" t="s">
        <v>7952</v>
      </c>
    </row>
    <row r="607">
      <c r="D607" s="122" t="str">
        <f>IFERROR(__xludf.DUMMYFUNCTION("""COMPUTED_VALUE"""),"福")</f>
        <v>福</v>
      </c>
      <c r="F607" s="122" t="s">
        <v>6215</v>
      </c>
    </row>
    <row r="608">
      <c r="D608" s="122" t="str">
        <f>IFERROR(__xludf.DUMMYFUNCTION("""COMPUTED_VALUE"""),"种")</f>
        <v>种</v>
      </c>
      <c r="F608" s="122" t="s">
        <v>5140</v>
      </c>
    </row>
    <row r="609">
      <c r="D609" s="122" t="str">
        <f>IFERROR(__xludf.DUMMYFUNCTION("""COMPUTED_VALUE"""),"科")</f>
        <v>科</v>
      </c>
      <c r="F609" s="122" t="s">
        <v>3882</v>
      </c>
    </row>
    <row r="610">
      <c r="D610" s="122" t="str">
        <f>IFERROR(__xludf.DUMMYFUNCTION("""COMPUTED_VALUE"""),"秘")</f>
        <v>秘</v>
      </c>
      <c r="F610" s="122" t="s">
        <v>7309</v>
      </c>
    </row>
    <row r="611">
      <c r="D611" s="122" t="str">
        <f>IFERROR(__xludf.DUMMYFUNCTION("""COMPUTED_VALUE"""),"称")</f>
        <v>称</v>
      </c>
      <c r="F611" s="122" t="s">
        <v>10624</v>
      </c>
    </row>
    <row r="612">
      <c r="D612" s="122" t="str">
        <f>IFERROR(__xludf.DUMMYFUNCTION("""COMPUTED_VALUE"""),"移")</f>
        <v>移</v>
      </c>
      <c r="F612" s="122" t="s">
        <v>6176</v>
      </c>
    </row>
    <row r="613">
      <c r="D613" s="122" t="str">
        <f>IFERROR(__xludf.DUMMYFUNCTION("""COMPUTED_VALUE"""),"稀")</f>
        <v>稀</v>
      </c>
      <c r="F613" s="122" t="s">
        <v>3435</v>
      </c>
    </row>
    <row r="614">
      <c r="D614" s="122" t="str">
        <f>IFERROR(__xludf.DUMMYFUNCTION("""COMPUTED_VALUE"""),"程")</f>
        <v>程</v>
      </c>
      <c r="F614" s="122" t="s">
        <v>8246</v>
      </c>
    </row>
    <row r="615">
      <c r="D615" s="122" t="str">
        <f>IFERROR(__xludf.DUMMYFUNCTION("""COMPUTED_VALUE"""),"稍")</f>
        <v>稍</v>
      </c>
      <c r="F615" s="122" t="s">
        <v>9885</v>
      </c>
    </row>
    <row r="616">
      <c r="D616" s="122" t="str">
        <f>IFERROR(__xludf.DUMMYFUNCTION("""COMPUTED_VALUE"""),"稳")</f>
        <v>稳</v>
      </c>
      <c r="F616" s="122" t="s">
        <v>10625</v>
      </c>
    </row>
    <row r="617">
      <c r="D617" s="122" t="str">
        <f>IFERROR(__xludf.DUMMYFUNCTION("""COMPUTED_VALUE"""),"究")</f>
        <v>究</v>
      </c>
      <c r="F617" s="122" t="s">
        <v>9908</v>
      </c>
    </row>
    <row r="618">
      <c r="D618" s="122" t="str">
        <f>IFERROR(__xludf.DUMMYFUNCTION("""COMPUTED_VALUE"""),"空")</f>
        <v>空</v>
      </c>
      <c r="F618" s="122" t="s">
        <v>7531</v>
      </c>
    </row>
    <row r="619">
      <c r="D619" s="122" t="str">
        <f>IFERROR(__xludf.DUMMYFUNCTION("""COMPUTED_VALUE"""),"穿")</f>
        <v>穿</v>
      </c>
      <c r="F619" s="122" t="s">
        <v>9642</v>
      </c>
    </row>
    <row r="620">
      <c r="D620" s="122" t="str">
        <f>IFERROR(__xludf.DUMMYFUNCTION("""COMPUTED_VALUE"""),"突")</f>
        <v>突</v>
      </c>
      <c r="F620" s="122" t="s">
        <v>10025</v>
      </c>
    </row>
    <row r="621">
      <c r="D621" s="122" t="str">
        <f>IFERROR(__xludf.DUMMYFUNCTION("""COMPUTED_VALUE"""),"立")</f>
        <v>立</v>
      </c>
      <c r="F621" s="122" t="s">
        <v>9639</v>
      </c>
    </row>
    <row r="622">
      <c r="D622" s="122" t="str">
        <f>IFERROR(__xludf.DUMMYFUNCTION("""COMPUTED_VALUE"""),"竺")</f>
        <v>竺</v>
      </c>
      <c r="F622" s="122" t="s">
        <v>10626</v>
      </c>
    </row>
    <row r="623">
      <c r="D623" s="122" t="str">
        <f>IFERROR(__xludf.DUMMYFUNCTION("""COMPUTED_VALUE"""),"符")</f>
        <v>符</v>
      </c>
      <c r="F623" s="122" t="s">
        <v>10627</v>
      </c>
    </row>
    <row r="624">
      <c r="D624" s="122" t="str">
        <f>IFERROR(__xludf.DUMMYFUNCTION("""COMPUTED_VALUE"""),"第")</f>
        <v>第</v>
      </c>
      <c r="F624" s="122" t="s">
        <v>9936</v>
      </c>
    </row>
    <row r="625">
      <c r="D625" s="122" t="str">
        <f>IFERROR(__xludf.DUMMYFUNCTION("""COMPUTED_VALUE"""),"笼")</f>
        <v>笼</v>
      </c>
      <c r="F625" s="122" t="s">
        <v>9596</v>
      </c>
    </row>
    <row r="626">
      <c r="D626" s="122" t="str">
        <f>IFERROR(__xludf.DUMMYFUNCTION("""COMPUTED_VALUE"""),"等")</f>
        <v>等</v>
      </c>
      <c r="F626" s="122" t="s">
        <v>10029</v>
      </c>
    </row>
    <row r="627">
      <c r="D627" s="122" t="str">
        <f>IFERROR(__xludf.DUMMYFUNCTION("""COMPUTED_VALUE"""),"简")</f>
        <v>简</v>
      </c>
      <c r="F627" s="122" t="s">
        <v>10628</v>
      </c>
    </row>
    <row r="628">
      <c r="D628" s="122" t="str">
        <f>IFERROR(__xludf.DUMMYFUNCTION("""COMPUTED_VALUE"""),"箭")</f>
        <v>箭</v>
      </c>
      <c r="F628" s="122" t="s">
        <v>10459</v>
      </c>
    </row>
    <row r="629">
      <c r="D629" s="122" t="str">
        <f>IFERROR(__xludf.DUMMYFUNCTION("""COMPUTED_VALUE"""),"箱")</f>
        <v>箱</v>
      </c>
      <c r="F629" s="122" t="s">
        <v>3078</v>
      </c>
    </row>
    <row r="630">
      <c r="D630" s="122" t="str">
        <f>IFERROR(__xludf.DUMMYFUNCTION("""COMPUTED_VALUE"""),"精")</f>
        <v>精</v>
      </c>
      <c r="F630" s="122" t="s">
        <v>5383</v>
      </c>
    </row>
    <row r="631">
      <c r="D631" s="122" t="str">
        <f>IFERROR(__xludf.DUMMYFUNCTION("""COMPUTED_VALUE"""),"系")</f>
        <v>系</v>
      </c>
      <c r="F631" s="122" t="s">
        <v>4906</v>
      </c>
    </row>
    <row r="632">
      <c r="D632" s="122" t="str">
        <f>IFERROR(__xludf.DUMMYFUNCTION("""COMPUTED_VALUE"""),"红")</f>
        <v>红</v>
      </c>
      <c r="F632" s="122" t="s">
        <v>3107</v>
      </c>
    </row>
    <row r="633">
      <c r="D633" s="122" t="str">
        <f>IFERROR(__xludf.DUMMYFUNCTION("""COMPUTED_VALUE"""),"素")</f>
        <v>素</v>
      </c>
      <c r="F633" s="122" t="s">
        <v>3147</v>
      </c>
    </row>
    <row r="634">
      <c r="D634" s="122" t="str">
        <f>IFERROR(__xludf.DUMMYFUNCTION("""COMPUTED_VALUE"""),"线")</f>
        <v>线</v>
      </c>
      <c r="F634" s="122" t="s">
        <v>8630</v>
      </c>
    </row>
    <row r="635">
      <c r="D635" s="122" t="str">
        <f>IFERROR(__xludf.DUMMYFUNCTION("""COMPUTED_VALUE"""),"练")</f>
        <v>练</v>
      </c>
      <c r="F635" s="122" t="s">
        <v>3248</v>
      </c>
    </row>
    <row r="636">
      <c r="D636" s="122" t="str">
        <f>IFERROR(__xludf.DUMMYFUNCTION("""COMPUTED_VALUE"""),"组")</f>
        <v>组</v>
      </c>
      <c r="F636" s="122" t="s">
        <v>3993</v>
      </c>
    </row>
    <row r="637">
      <c r="D637" s="122" t="str">
        <f>IFERROR(__xludf.DUMMYFUNCTION("""COMPUTED_VALUE"""),"终")</f>
        <v>终</v>
      </c>
      <c r="F637" s="122" t="s">
        <v>3992</v>
      </c>
    </row>
    <row r="638">
      <c r="D638" s="122" t="str">
        <f>IFERROR(__xludf.DUMMYFUNCTION("""COMPUTED_VALUE"""),"经")</f>
        <v>经</v>
      </c>
      <c r="F638" s="122" t="s">
        <v>3699</v>
      </c>
    </row>
    <row r="639">
      <c r="D639" s="122" t="str">
        <f>IFERROR(__xludf.DUMMYFUNCTION("""COMPUTED_VALUE"""),"结")</f>
        <v>结</v>
      </c>
      <c r="F639" s="122" t="s">
        <v>4284</v>
      </c>
    </row>
    <row r="640">
      <c r="D640" s="122" t="str">
        <f>IFERROR(__xludf.DUMMYFUNCTION("""COMPUTED_VALUE"""),"给")</f>
        <v>给</v>
      </c>
      <c r="F640" s="122" t="s">
        <v>4833</v>
      </c>
    </row>
    <row r="641">
      <c r="D641" s="122" t="str">
        <f>IFERROR(__xludf.DUMMYFUNCTION("""COMPUTED_VALUE"""),"绝")</f>
        <v>绝</v>
      </c>
      <c r="F641" s="122" t="s">
        <v>5093</v>
      </c>
    </row>
    <row r="642">
      <c r="D642" s="122" t="str">
        <f>IFERROR(__xludf.DUMMYFUNCTION("""COMPUTED_VALUE"""),"统")</f>
        <v>统</v>
      </c>
      <c r="F642" s="122" t="s">
        <v>4974</v>
      </c>
    </row>
    <row r="643">
      <c r="D643" s="122" t="str">
        <f>IFERROR(__xludf.DUMMYFUNCTION("""COMPUTED_VALUE"""),"继")</f>
        <v>继</v>
      </c>
      <c r="F643" s="122" t="s">
        <v>4902</v>
      </c>
    </row>
    <row r="644">
      <c r="D644" s="122" t="str">
        <f>IFERROR(__xludf.DUMMYFUNCTION("""COMPUTED_VALUE"""),"绪")</f>
        <v>绪</v>
      </c>
      <c r="F644" s="122" t="s">
        <v>3586</v>
      </c>
    </row>
    <row r="645">
      <c r="D645" s="122" t="str">
        <f>IFERROR(__xludf.DUMMYFUNCTION("""COMPUTED_VALUE"""),"续")</f>
        <v>续</v>
      </c>
      <c r="F645" s="122" t="s">
        <v>5797</v>
      </c>
    </row>
    <row r="646">
      <c r="D646" s="122" t="str">
        <f>IFERROR(__xludf.DUMMYFUNCTION("""COMPUTED_VALUE"""),"绿")</f>
        <v>绿</v>
      </c>
      <c r="F646" s="122" t="s">
        <v>3588</v>
      </c>
    </row>
    <row r="647">
      <c r="D647" s="122" t="str">
        <f>IFERROR(__xludf.DUMMYFUNCTION("""COMPUTED_VALUE"""),"缆")</f>
        <v>缆</v>
      </c>
      <c r="F647" s="122" t="s">
        <v>3698</v>
      </c>
    </row>
    <row r="648">
      <c r="D648" s="122" t="str">
        <f>IFERROR(__xludf.DUMMYFUNCTION("""COMPUTED_VALUE"""),"编")</f>
        <v>编</v>
      </c>
      <c r="F648" s="122" t="s">
        <v>4129</v>
      </c>
    </row>
    <row r="649">
      <c r="D649" s="122" t="str">
        <f>IFERROR(__xludf.DUMMYFUNCTION("""COMPUTED_VALUE"""),"缺")</f>
        <v>缺</v>
      </c>
      <c r="F649" s="122" t="s">
        <v>3579</v>
      </c>
    </row>
    <row r="650">
      <c r="D650" s="122" t="str">
        <f>IFERROR(__xludf.DUMMYFUNCTION("""COMPUTED_VALUE"""),"罐")</f>
        <v>罐</v>
      </c>
      <c r="F650" s="122" t="s">
        <v>4947</v>
      </c>
    </row>
    <row r="651">
      <c r="D651" s="122" t="str">
        <f>IFERROR(__xludf.DUMMYFUNCTION("""COMPUTED_VALUE"""),"罗")</f>
        <v>罗</v>
      </c>
      <c r="F651" s="122" t="s">
        <v>3669</v>
      </c>
    </row>
    <row r="652">
      <c r="D652" s="122" t="str">
        <f>IFERROR(__xludf.DUMMYFUNCTION("""COMPUTED_VALUE"""),"羊")</f>
        <v>羊</v>
      </c>
      <c r="F652" s="122" t="s">
        <v>3587</v>
      </c>
    </row>
    <row r="653">
      <c r="D653" s="122" t="str">
        <f>IFERROR(__xludf.DUMMYFUNCTION("""COMPUTED_VALUE"""),"美")</f>
        <v>美</v>
      </c>
      <c r="F653" s="122" t="s">
        <v>6961</v>
      </c>
    </row>
    <row r="654">
      <c r="D654" s="122" t="str">
        <f>IFERROR(__xludf.DUMMYFUNCTION("""COMPUTED_VALUE"""),"翁")</f>
        <v>翁</v>
      </c>
      <c r="F654" s="122" t="s">
        <v>3708</v>
      </c>
    </row>
    <row r="655">
      <c r="D655" s="122" t="str">
        <f>IFERROR(__xludf.DUMMYFUNCTION("""COMPUTED_VALUE"""),"翅")</f>
        <v>翅</v>
      </c>
      <c r="F655" s="122" t="s">
        <v>3589</v>
      </c>
    </row>
    <row r="656">
      <c r="D656" s="122" t="str">
        <f>IFERROR(__xludf.DUMMYFUNCTION("""COMPUTED_VALUE"""),"翼")</f>
        <v>翼</v>
      </c>
      <c r="F656" s="122" t="s">
        <v>3709</v>
      </c>
    </row>
    <row r="657">
      <c r="D657" s="122" t="str">
        <f>IFERROR(__xludf.DUMMYFUNCTION("""COMPUTED_VALUE"""),"老")</f>
        <v>老</v>
      </c>
      <c r="F657" s="122" t="s">
        <v>4783</v>
      </c>
    </row>
    <row r="658">
      <c r="D658" s="122" t="str">
        <f>IFERROR(__xludf.DUMMYFUNCTION("""COMPUTED_VALUE"""),"者")</f>
        <v>者</v>
      </c>
      <c r="F658" s="122" t="s">
        <v>6128</v>
      </c>
    </row>
    <row r="659">
      <c r="D659" s="122" t="str">
        <f>IFERROR(__xludf.DUMMYFUNCTION("""COMPUTED_VALUE"""),"而")</f>
        <v>而</v>
      </c>
      <c r="F659" s="122" t="s">
        <v>10629</v>
      </c>
    </row>
    <row r="660">
      <c r="D660" s="122" t="str">
        <f>IFERROR(__xludf.DUMMYFUNCTION("""COMPUTED_VALUE"""),"耿")</f>
        <v>耿</v>
      </c>
      <c r="F660" s="122" t="s">
        <v>5270</v>
      </c>
    </row>
    <row r="661">
      <c r="D661" s="122" t="str">
        <f>IFERROR(__xludf.DUMMYFUNCTION("""COMPUTED_VALUE"""),"肯")</f>
        <v>肯</v>
      </c>
      <c r="F661" s="122" t="s">
        <v>4715</v>
      </c>
    </row>
    <row r="662">
      <c r="D662" s="122" t="str">
        <f>IFERROR(__xludf.DUMMYFUNCTION("""COMPUTED_VALUE"""),"胖")</f>
        <v>胖</v>
      </c>
      <c r="F662" s="122" t="s">
        <v>4978</v>
      </c>
    </row>
    <row r="663">
      <c r="D663" s="122" t="str">
        <f>IFERROR(__xludf.DUMMYFUNCTION("""COMPUTED_VALUE"""),"胡")</f>
        <v>胡</v>
      </c>
      <c r="F663" s="122" t="s">
        <v>4949</v>
      </c>
    </row>
    <row r="664">
      <c r="D664" s="122" t="str">
        <f>IFERROR(__xludf.DUMMYFUNCTION("""COMPUTED_VALUE"""),"能")</f>
        <v>能</v>
      </c>
      <c r="F664" s="122" t="s">
        <v>5014</v>
      </c>
    </row>
    <row r="665">
      <c r="D665" s="122" t="str">
        <f>IFERROR(__xludf.DUMMYFUNCTION("""COMPUTED_VALUE"""),"脑")</f>
        <v>脑</v>
      </c>
      <c r="F665" s="122" t="s">
        <v>7521</v>
      </c>
    </row>
    <row r="666">
      <c r="D666" s="122" t="str">
        <f>IFERROR(__xludf.DUMMYFUNCTION("""COMPUTED_VALUE"""),"腕")</f>
        <v>腕</v>
      </c>
      <c r="F666" s="122" t="s">
        <v>3474</v>
      </c>
    </row>
    <row r="667">
      <c r="D667" s="122" t="str">
        <f>IFERROR(__xludf.DUMMYFUNCTION("""COMPUTED_VALUE"""),"腾")</f>
        <v>腾</v>
      </c>
      <c r="F667" s="122" t="s">
        <v>3624</v>
      </c>
    </row>
    <row r="668">
      <c r="D668" s="122" t="str">
        <f>IFERROR(__xludf.DUMMYFUNCTION("""COMPUTED_VALUE"""),"腿")</f>
        <v>腿</v>
      </c>
      <c r="F668" s="122" t="s">
        <v>4358</v>
      </c>
    </row>
    <row r="669">
      <c r="D669" s="122" t="str">
        <f>IFERROR(__xludf.DUMMYFUNCTION("""COMPUTED_VALUE"""),"自")</f>
        <v>自</v>
      </c>
      <c r="F669" s="122" t="s">
        <v>4569</v>
      </c>
    </row>
    <row r="670">
      <c r="D670" s="122" t="str">
        <f>IFERROR(__xludf.DUMMYFUNCTION("""COMPUTED_VALUE"""),"臭")</f>
        <v>臭</v>
      </c>
      <c r="F670" s="122" t="s">
        <v>3473</v>
      </c>
    </row>
    <row r="671">
      <c r="D671" s="122" t="str">
        <f>IFERROR(__xludf.DUMMYFUNCTION("""COMPUTED_VALUE"""),"至")</f>
        <v>至</v>
      </c>
      <c r="F671" s="122" t="s">
        <v>4758</v>
      </c>
    </row>
    <row r="672">
      <c r="D672" s="122" t="str">
        <f>IFERROR(__xludf.DUMMYFUNCTION("""COMPUTED_VALUE"""),"舌")</f>
        <v>舌</v>
      </c>
      <c r="F672" s="122" t="s">
        <v>5635</v>
      </c>
    </row>
    <row r="673">
      <c r="D673" s="122" t="str">
        <f>IFERROR(__xludf.DUMMYFUNCTION("""COMPUTED_VALUE"""),"舞")</f>
        <v>舞</v>
      </c>
      <c r="F673" s="122" t="s">
        <v>5050</v>
      </c>
    </row>
    <row r="674">
      <c r="D674" s="122" t="str">
        <f>IFERROR(__xludf.DUMMYFUNCTION("""COMPUTED_VALUE"""),"艺")</f>
        <v>艺</v>
      </c>
      <c r="F674" s="122" t="s">
        <v>3748</v>
      </c>
    </row>
    <row r="675">
      <c r="D675" s="122" t="str">
        <f>IFERROR(__xludf.DUMMYFUNCTION("""COMPUTED_VALUE"""),"芭")</f>
        <v>芭</v>
      </c>
      <c r="F675" s="122" t="s">
        <v>4899</v>
      </c>
    </row>
    <row r="676">
      <c r="D676" s="122" t="str">
        <f>IFERROR(__xludf.DUMMYFUNCTION("""COMPUTED_VALUE"""),"花")</f>
        <v>花</v>
      </c>
      <c r="F676" s="122" t="s">
        <v>3542</v>
      </c>
    </row>
    <row r="677">
      <c r="D677" s="122" t="str">
        <f>IFERROR(__xludf.DUMMYFUNCTION("""COMPUTED_VALUE"""),"芽")</f>
        <v>芽</v>
      </c>
      <c r="F677" s="122" t="s">
        <v>3918</v>
      </c>
    </row>
    <row r="678">
      <c r="D678" s="122" t="str">
        <f>IFERROR(__xludf.DUMMYFUNCTION("""COMPUTED_VALUE"""),"若")</f>
        <v>若</v>
      </c>
      <c r="F678" s="122" t="s">
        <v>3981</v>
      </c>
    </row>
    <row r="679">
      <c r="D679" s="122" t="str">
        <f>IFERROR(__xludf.DUMMYFUNCTION("""COMPUTED_VALUE"""),"英")</f>
        <v>英</v>
      </c>
      <c r="F679" s="122" t="s">
        <v>3820</v>
      </c>
    </row>
    <row r="680">
      <c r="D680" s="122" t="str">
        <f>IFERROR(__xludf.DUMMYFUNCTION("""COMPUTED_VALUE"""),"茸")</f>
        <v>茸</v>
      </c>
      <c r="F680" s="122" t="s">
        <v>6052</v>
      </c>
    </row>
    <row r="681">
      <c r="D681" s="122" t="str">
        <f>IFERROR(__xludf.DUMMYFUNCTION("""COMPUTED_VALUE"""),"草")</f>
        <v>草</v>
      </c>
      <c r="F681" s="122" t="s">
        <v>3470</v>
      </c>
    </row>
    <row r="682">
      <c r="D682" s="122" t="str">
        <f>IFERROR(__xludf.DUMMYFUNCTION("""COMPUTED_VALUE"""),"荷")</f>
        <v>荷</v>
      </c>
      <c r="F682" s="122" t="s">
        <v>3438</v>
      </c>
    </row>
    <row r="683">
      <c r="D683" s="122" t="str">
        <f>IFERROR(__xludf.DUMMYFUNCTION("""COMPUTED_VALUE"""),"获")</f>
        <v>获</v>
      </c>
      <c r="F683" s="122" t="s">
        <v>3156</v>
      </c>
    </row>
    <row r="684">
      <c r="D684" s="122" t="str">
        <f>IFERROR(__xludf.DUMMYFUNCTION("""COMPUTED_VALUE"""),"菊")</f>
        <v>菊</v>
      </c>
      <c r="F684" s="122" t="s">
        <v>3701</v>
      </c>
    </row>
    <row r="685">
      <c r="D685" s="122" t="str">
        <f>IFERROR(__xludf.DUMMYFUNCTION("""COMPUTED_VALUE"""),"菰")</f>
        <v>菰</v>
      </c>
      <c r="F685" s="122" t="s">
        <v>4565</v>
      </c>
    </row>
    <row r="686">
      <c r="D686" s="122" t="str">
        <f>IFERROR(__xludf.DUMMYFUNCTION("""COMPUTED_VALUE"""),"萄")</f>
        <v>萄</v>
      </c>
      <c r="F686" s="122" t="s">
        <v>4503</v>
      </c>
    </row>
    <row r="687">
      <c r="D687" s="122" t="str">
        <f>IFERROR(__xludf.DUMMYFUNCTION("""COMPUTED_VALUE"""),"营")</f>
        <v>营</v>
      </c>
      <c r="F687" s="122" t="s">
        <v>3510</v>
      </c>
    </row>
    <row r="688">
      <c r="D688" s="122" t="str">
        <f>IFERROR(__xludf.DUMMYFUNCTION("""COMPUTED_VALUE"""),"葡")</f>
        <v>葡</v>
      </c>
      <c r="F688" s="122" t="s">
        <v>4359</v>
      </c>
    </row>
    <row r="689">
      <c r="D689" s="122" t="str">
        <f>IFERROR(__xludf.DUMMYFUNCTION("""COMPUTED_VALUE"""),"葱")</f>
        <v>葱</v>
      </c>
      <c r="F689" s="122" t="s">
        <v>4325</v>
      </c>
    </row>
    <row r="690">
      <c r="D690" s="122" t="str">
        <f>IFERROR(__xludf.DUMMYFUNCTION("""COMPUTED_VALUE"""),"葵")</f>
        <v>葵</v>
      </c>
      <c r="F690" s="122" t="s">
        <v>3978</v>
      </c>
    </row>
    <row r="691">
      <c r="D691" s="122" t="str">
        <f>IFERROR(__xludf.DUMMYFUNCTION("""COMPUTED_VALUE"""),"蒂")</f>
        <v>蒂</v>
      </c>
      <c r="F691" s="122" t="s">
        <v>4646</v>
      </c>
    </row>
    <row r="692">
      <c r="D692" s="122" t="str">
        <f>IFERROR(__xludf.DUMMYFUNCTION("""COMPUTED_VALUE"""),"蓝")</f>
        <v>蓝</v>
      </c>
      <c r="F692" s="122" t="s">
        <v>5452</v>
      </c>
    </row>
    <row r="693">
      <c r="D693" s="122" t="str">
        <f>IFERROR(__xludf.DUMMYFUNCTION("""COMPUTED_VALUE"""),"蔓")</f>
        <v>蔓</v>
      </c>
      <c r="F693" s="122" t="s">
        <v>3545</v>
      </c>
    </row>
    <row r="694">
      <c r="D694" s="122" t="str">
        <f>IFERROR(__xludf.DUMMYFUNCTION("""COMPUTED_VALUE"""),"藤")</f>
        <v>藤</v>
      </c>
      <c r="F694" s="122" t="s">
        <v>3240</v>
      </c>
    </row>
    <row r="695">
      <c r="D695" s="122" t="str">
        <f>IFERROR(__xludf.DUMMYFUNCTION("""COMPUTED_VALUE"""),"虚")</f>
        <v>虚</v>
      </c>
      <c r="F695" s="122" t="s">
        <v>5493</v>
      </c>
    </row>
    <row r="696">
      <c r="D696" s="122" t="str">
        <f>IFERROR(__xludf.DUMMYFUNCTION("""COMPUTED_VALUE"""),"虫")</f>
        <v>虫</v>
      </c>
      <c r="F696" s="122" t="s">
        <v>4086</v>
      </c>
    </row>
    <row r="697">
      <c r="D697" s="122" t="str">
        <f>IFERROR(__xludf.DUMMYFUNCTION("""COMPUTED_VALUE"""),"虽")</f>
        <v>虽</v>
      </c>
      <c r="F697" s="122" t="s">
        <v>3626</v>
      </c>
    </row>
    <row r="698">
      <c r="D698" s="122" t="str">
        <f>IFERROR(__xludf.DUMMYFUNCTION("""COMPUTED_VALUE"""),"蚊")</f>
        <v>蚊</v>
      </c>
      <c r="F698" s="122" t="s">
        <v>5480</v>
      </c>
    </row>
    <row r="699">
      <c r="D699" s="122" t="str">
        <f>IFERROR(__xludf.DUMMYFUNCTION("""COMPUTED_VALUE"""),"蚪")</f>
        <v>蚪</v>
      </c>
      <c r="F699" s="122" t="s">
        <v>3544</v>
      </c>
    </row>
    <row r="700">
      <c r="D700" s="122" t="str">
        <f>IFERROR(__xludf.DUMMYFUNCTION("""COMPUTED_VALUE"""),"蛇")</f>
        <v>蛇</v>
      </c>
      <c r="F700" s="122" t="s">
        <v>3670</v>
      </c>
    </row>
    <row r="701">
      <c r="D701" s="122" t="str">
        <f>IFERROR(__xludf.DUMMYFUNCTION("""COMPUTED_VALUE"""),"蛋")</f>
        <v>蛋</v>
      </c>
      <c r="F701" s="122" t="s">
        <v>696</v>
      </c>
    </row>
    <row r="702">
      <c r="D702" s="122" t="str">
        <f>IFERROR(__xludf.DUMMYFUNCTION("""COMPUTED_VALUE"""),"蛙")</f>
        <v>蛙</v>
      </c>
      <c r="F702" s="122" t="s">
        <v>7150</v>
      </c>
    </row>
    <row r="703">
      <c r="D703" s="122" t="str">
        <f>IFERROR(__xludf.DUMMYFUNCTION("""COMPUTED_VALUE"""),"蛛")</f>
        <v>蛛</v>
      </c>
      <c r="F703" s="122" t="s">
        <v>5483</v>
      </c>
    </row>
    <row r="704">
      <c r="D704" s="122" t="str">
        <f>IFERROR(__xludf.DUMMYFUNCTION("""COMPUTED_VALUE"""),"蛹")</f>
        <v>蛹</v>
      </c>
      <c r="F704" s="122" t="s">
        <v>6334</v>
      </c>
    </row>
    <row r="705">
      <c r="D705" s="122" t="str">
        <f>IFERROR(__xludf.DUMMYFUNCTION("""COMPUTED_VALUE"""),"蛾")</f>
        <v>蛾</v>
      </c>
      <c r="F705" s="122" t="s">
        <v>9869</v>
      </c>
    </row>
    <row r="706">
      <c r="D706" s="122" t="str">
        <f>IFERROR(__xludf.DUMMYFUNCTION("""COMPUTED_VALUE"""),"蜂")</f>
        <v>蜂</v>
      </c>
      <c r="F706" s="122" t="s">
        <v>8932</v>
      </c>
    </row>
    <row r="707">
      <c r="D707" s="122" t="str">
        <f>IFERROR(__xludf.DUMMYFUNCTION("""COMPUTED_VALUE"""),"蜓")</f>
        <v>蜓</v>
      </c>
      <c r="F707" s="122" t="s">
        <v>7197</v>
      </c>
    </row>
    <row r="708">
      <c r="D708" s="122" t="str">
        <f>IFERROR(__xludf.DUMMYFUNCTION("""COMPUTED_VALUE"""),"蜗")</f>
        <v>蜗</v>
      </c>
      <c r="F708" s="122" t="s">
        <v>4428</v>
      </c>
    </row>
    <row r="709">
      <c r="D709" s="122" t="str">
        <f>IFERROR(__xludf.DUMMYFUNCTION("""COMPUTED_VALUE"""),"蜻")</f>
        <v>蜻</v>
      </c>
      <c r="F709" s="122" t="s">
        <v>705</v>
      </c>
    </row>
    <row r="710">
      <c r="D710" s="122" t="str">
        <f>IFERROR(__xludf.DUMMYFUNCTION("""COMPUTED_VALUE"""),"蝌")</f>
        <v>蝌</v>
      </c>
      <c r="F710" s="122" t="s">
        <v>9135</v>
      </c>
    </row>
    <row r="711">
      <c r="D711" s="122" t="str">
        <f>IFERROR(__xludf.DUMMYFUNCTION("""COMPUTED_VALUE"""),"蝎")</f>
        <v>蝎</v>
      </c>
      <c r="F711" s="122" t="s">
        <v>5627</v>
      </c>
    </row>
    <row r="712">
      <c r="D712" s="122" t="str">
        <f>IFERROR(__xludf.DUMMYFUNCTION("""COMPUTED_VALUE"""),"蝠")</f>
        <v>蝠</v>
      </c>
      <c r="F712" s="122" t="s">
        <v>3703</v>
      </c>
    </row>
    <row r="713">
      <c r="D713" s="122" t="str">
        <f>IFERROR(__xludf.DUMMYFUNCTION("""COMPUTED_VALUE"""),"蝶")</f>
        <v>蝶</v>
      </c>
      <c r="F713" s="122" t="s">
        <v>6255</v>
      </c>
    </row>
    <row r="714">
      <c r="D714" s="122" t="str">
        <f>IFERROR(__xludf.DUMMYFUNCTION("""COMPUTED_VALUE"""),"螂")</f>
        <v>螂</v>
      </c>
      <c r="F714" s="122" t="s">
        <v>9274</v>
      </c>
    </row>
    <row r="715">
      <c r="D715" s="122" t="str">
        <f>IFERROR(__xludf.DUMMYFUNCTION("""COMPUTED_VALUE"""),"螳")</f>
        <v>螳</v>
      </c>
      <c r="F715" s="122" t="s">
        <v>10536</v>
      </c>
    </row>
    <row r="716">
      <c r="D716" s="122" t="str">
        <f>IFERROR(__xludf.DUMMYFUNCTION("""COMPUTED_VALUE"""),"蟹")</f>
        <v>蟹</v>
      </c>
      <c r="F716" s="122" t="s">
        <v>3846</v>
      </c>
    </row>
    <row r="717">
      <c r="D717" s="122" t="str">
        <f>IFERROR(__xludf.DUMMYFUNCTION("""COMPUTED_VALUE"""),"行")</f>
        <v>行</v>
      </c>
      <c r="F717" s="122" t="s">
        <v>5202</v>
      </c>
    </row>
    <row r="718">
      <c r="D718" s="122" t="str">
        <f>IFERROR(__xludf.DUMMYFUNCTION("""COMPUTED_VALUE"""),"袋")</f>
        <v>袋</v>
      </c>
      <c r="F718" s="122" t="s">
        <v>5208</v>
      </c>
    </row>
    <row r="719">
      <c r="D719" s="122" t="str">
        <f>IFERROR(__xludf.DUMMYFUNCTION("""COMPUTED_VALUE"""),"被")</f>
        <v>被</v>
      </c>
      <c r="F719" s="122" t="s">
        <v>3185</v>
      </c>
    </row>
    <row r="720">
      <c r="D720" s="122" t="str">
        <f>IFERROR(__xludf.DUMMYFUNCTION("""COMPUTED_VALUE"""),"西")</f>
        <v>西</v>
      </c>
      <c r="F720" s="122" t="s">
        <v>3157</v>
      </c>
    </row>
    <row r="721">
      <c r="D721" s="122" t="str">
        <f>IFERROR(__xludf.DUMMYFUNCTION("""COMPUTED_VALUE"""),"要")</f>
        <v>要</v>
      </c>
      <c r="F721" s="122" t="s">
        <v>3914</v>
      </c>
    </row>
    <row r="722">
      <c r="D722" s="122" t="str">
        <f>IFERROR(__xludf.DUMMYFUNCTION("""COMPUTED_VALUE"""),"覆")</f>
        <v>覆</v>
      </c>
      <c r="F722" s="122" t="s">
        <v>4708</v>
      </c>
    </row>
    <row r="723">
      <c r="D723" s="122" t="str">
        <f>IFERROR(__xludf.DUMMYFUNCTION("""COMPUTED_VALUE"""),"见")</f>
        <v>见</v>
      </c>
      <c r="F723" s="122" t="s">
        <v>4123</v>
      </c>
    </row>
    <row r="724">
      <c r="D724" s="122" t="str">
        <f>IFERROR(__xludf.DUMMYFUNCTION("""COMPUTED_VALUE"""),"角")</f>
        <v>角</v>
      </c>
      <c r="F724" s="122" t="s">
        <v>5559</v>
      </c>
    </row>
    <row r="725">
      <c r="D725" s="122" t="str">
        <f>IFERROR(__xludf.DUMMYFUNCTION("""COMPUTED_VALUE"""),"言")</f>
        <v>言</v>
      </c>
      <c r="F725" s="122" t="s">
        <v>5342</v>
      </c>
    </row>
    <row r="726">
      <c r="D726" s="122" t="str">
        <f>IFERROR(__xludf.DUMMYFUNCTION("""COMPUTED_VALUE"""),"认")</f>
        <v>认</v>
      </c>
      <c r="F726" s="122" t="s">
        <v>5042</v>
      </c>
    </row>
    <row r="727">
      <c r="D727" s="122" t="str">
        <f>IFERROR(__xludf.DUMMYFUNCTION("""COMPUTED_VALUE"""),"让")</f>
        <v>让</v>
      </c>
      <c r="F727" s="122" t="s">
        <v>8624</v>
      </c>
    </row>
    <row r="728">
      <c r="D728" s="122" t="str">
        <f>IFERROR(__xludf.DUMMYFUNCTION("""COMPUTED_VALUE"""),"训")</f>
        <v>训</v>
      </c>
      <c r="F728" s="122" t="s">
        <v>4238</v>
      </c>
    </row>
    <row r="729">
      <c r="D729" s="122" t="str">
        <f>IFERROR(__xludf.DUMMYFUNCTION("""COMPUTED_VALUE"""),"议")</f>
        <v>议</v>
      </c>
      <c r="F729" s="122" t="s">
        <v>8666</v>
      </c>
    </row>
    <row r="730">
      <c r="D730" s="122" t="str">
        <f>IFERROR(__xludf.DUMMYFUNCTION("""COMPUTED_VALUE"""),"设")</f>
        <v>设</v>
      </c>
      <c r="F730" s="122" t="s">
        <v>4473</v>
      </c>
    </row>
    <row r="731">
      <c r="D731" s="122" t="str">
        <f>IFERROR(__xludf.DUMMYFUNCTION("""COMPUTED_VALUE"""),"证")</f>
        <v>证</v>
      </c>
      <c r="F731" s="122" t="s">
        <v>10630</v>
      </c>
    </row>
    <row r="732">
      <c r="D732" s="122" t="str">
        <f>IFERROR(__xludf.DUMMYFUNCTION("""COMPUTED_VALUE"""),"诉")</f>
        <v>诉</v>
      </c>
      <c r="F732" s="122" t="s">
        <v>5205</v>
      </c>
    </row>
    <row r="733">
      <c r="D733" s="122" t="str">
        <f>IFERROR(__xludf.DUMMYFUNCTION("""COMPUTED_VALUE"""),"译")</f>
        <v>译</v>
      </c>
      <c r="F733" s="122" t="s">
        <v>4494</v>
      </c>
    </row>
    <row r="734">
      <c r="D734" s="122" t="str">
        <f>IFERROR(__xludf.DUMMYFUNCTION("""COMPUTED_VALUE"""),"试")</f>
        <v>试</v>
      </c>
      <c r="F734" s="122" t="s">
        <v>6849</v>
      </c>
    </row>
    <row r="735">
      <c r="D735" s="122" t="str">
        <f>IFERROR(__xludf.DUMMYFUNCTION("""COMPUTED_VALUE"""),"话")</f>
        <v>话</v>
      </c>
      <c r="F735" s="122" t="s">
        <v>8709</v>
      </c>
    </row>
    <row r="736">
      <c r="D736" s="122" t="str">
        <f>IFERROR(__xludf.DUMMYFUNCTION("""COMPUTED_VALUE"""),"该")</f>
        <v>该</v>
      </c>
      <c r="F736" s="122" t="s">
        <v>10631</v>
      </c>
    </row>
    <row r="737">
      <c r="D737" s="122" t="str">
        <f>IFERROR(__xludf.DUMMYFUNCTION("""COMPUTED_VALUE"""),"语")</f>
        <v>语</v>
      </c>
      <c r="F737" s="122" t="s">
        <v>3114</v>
      </c>
    </row>
    <row r="738">
      <c r="D738" s="122" t="str">
        <f>IFERROR(__xludf.DUMMYFUNCTION("""COMPUTED_VALUE"""),"误")</f>
        <v>误</v>
      </c>
      <c r="F738" s="122" t="s">
        <v>3351</v>
      </c>
    </row>
    <row r="739">
      <c r="D739" s="122" t="str">
        <f>IFERROR(__xludf.DUMMYFUNCTION("""COMPUTED_VALUE"""),"说")</f>
        <v>说</v>
      </c>
      <c r="F739" s="122" t="s">
        <v>9177</v>
      </c>
    </row>
    <row r="740">
      <c r="D740" s="122" t="str">
        <f>IFERROR(__xludf.DUMMYFUNCTION("""COMPUTED_VALUE"""),"请")</f>
        <v>请</v>
      </c>
      <c r="F740" s="122" t="s">
        <v>3983</v>
      </c>
    </row>
    <row r="741">
      <c r="D741" s="122" t="str">
        <f>IFERROR(__xludf.DUMMYFUNCTION("""COMPUTED_VALUE"""),"诺")</f>
        <v>诺</v>
      </c>
      <c r="F741" s="122" t="s">
        <v>3539</v>
      </c>
    </row>
    <row r="742">
      <c r="D742" s="122" t="str">
        <f>IFERROR(__xludf.DUMMYFUNCTION("""COMPUTED_VALUE"""),"读")</f>
        <v>读</v>
      </c>
      <c r="F742" s="122" t="s">
        <v>5558</v>
      </c>
    </row>
    <row r="743">
      <c r="D743" s="122" t="str">
        <f>IFERROR(__xludf.DUMMYFUNCTION("""COMPUTED_VALUE"""),"课")</f>
        <v>课</v>
      </c>
      <c r="F743" s="122" t="s">
        <v>5568</v>
      </c>
    </row>
    <row r="744">
      <c r="D744" s="122" t="str">
        <f>IFERROR(__xludf.DUMMYFUNCTION("""COMPUTED_VALUE"""),"谢")</f>
        <v>谢</v>
      </c>
      <c r="F744" s="122" t="s">
        <v>7105</v>
      </c>
    </row>
    <row r="745">
      <c r="D745" s="122" t="str">
        <f>IFERROR(__xludf.DUMMYFUNCTION("""COMPUTED_VALUE"""),"象")</f>
        <v>象</v>
      </c>
      <c r="F745" s="122" t="s">
        <v>5090</v>
      </c>
    </row>
    <row r="746">
      <c r="D746" s="122" t="str">
        <f>IFERROR(__xludf.DUMMYFUNCTION("""COMPUTED_VALUE"""),"豪")</f>
        <v>豪</v>
      </c>
      <c r="F746" s="122" t="s">
        <v>4901</v>
      </c>
    </row>
    <row r="747">
      <c r="D747" s="122" t="str">
        <f>IFERROR(__xludf.DUMMYFUNCTION("""COMPUTED_VALUE"""),"貘")</f>
        <v>貘</v>
      </c>
      <c r="F747" s="122" t="s">
        <v>5043</v>
      </c>
    </row>
    <row r="748">
      <c r="D748" s="122" t="str">
        <f>IFERROR(__xludf.DUMMYFUNCTION("""COMPUTED_VALUE"""),"贝")</f>
        <v>贝</v>
      </c>
      <c r="F748" s="122" t="s">
        <v>4350</v>
      </c>
    </row>
    <row r="749">
      <c r="D749" s="122" t="str">
        <f>IFERROR(__xludf.DUMMYFUNCTION("""COMPUTED_VALUE"""),"负")</f>
        <v>负</v>
      </c>
      <c r="F749" s="122" t="s">
        <v>3272</v>
      </c>
    </row>
    <row r="750">
      <c r="D750" s="122" t="str">
        <f>IFERROR(__xludf.DUMMYFUNCTION("""COMPUTED_VALUE"""),"费")</f>
        <v>费</v>
      </c>
      <c r="F750" s="122" t="s">
        <v>3581</v>
      </c>
    </row>
    <row r="751">
      <c r="D751" s="122" t="str">
        <f>IFERROR(__xludf.DUMMYFUNCTION("""COMPUTED_VALUE"""),"资")</f>
        <v>资</v>
      </c>
      <c r="F751" s="122" t="s">
        <v>4212</v>
      </c>
    </row>
    <row r="752">
      <c r="D752" s="122" t="str">
        <f>IFERROR(__xludf.DUMMYFUNCTION("""COMPUTED_VALUE"""),"赛")</f>
        <v>赛</v>
      </c>
      <c r="F752" s="122" t="s">
        <v>4794</v>
      </c>
    </row>
    <row r="753">
      <c r="D753" s="122" t="str">
        <f>IFERROR(__xludf.DUMMYFUNCTION("""COMPUTED_VALUE"""),"赫")</f>
        <v>赫</v>
      </c>
      <c r="F753" s="122" t="s">
        <v>4472</v>
      </c>
    </row>
    <row r="754">
      <c r="D754" s="122" t="str">
        <f>IFERROR(__xludf.DUMMYFUNCTION("""COMPUTED_VALUE"""),"走")</f>
        <v>走</v>
      </c>
      <c r="F754" s="122" t="s">
        <v>9198</v>
      </c>
    </row>
    <row r="755">
      <c r="D755" s="122" t="str">
        <f>IFERROR(__xludf.DUMMYFUNCTION("""COMPUTED_VALUE"""),"起")</f>
        <v>起</v>
      </c>
      <c r="F755" s="122" t="s">
        <v>3389</v>
      </c>
    </row>
    <row r="756">
      <c r="D756" s="122" t="str">
        <f>IFERROR(__xludf.DUMMYFUNCTION("""COMPUTED_VALUE"""),"超")</f>
        <v>超</v>
      </c>
      <c r="F756" s="122" t="s">
        <v>5129</v>
      </c>
    </row>
    <row r="757">
      <c r="D757" s="122" t="str">
        <f>IFERROR(__xludf.DUMMYFUNCTION("""COMPUTED_VALUE"""),"足")</f>
        <v>足</v>
      </c>
      <c r="F757" s="122" t="s">
        <v>9339</v>
      </c>
    </row>
    <row r="758">
      <c r="D758" s="122" t="str">
        <f>IFERROR(__xludf.DUMMYFUNCTION("""COMPUTED_VALUE"""),"路")</f>
        <v>路</v>
      </c>
      <c r="F758" s="122" t="s">
        <v>3466</v>
      </c>
    </row>
    <row r="759">
      <c r="D759" s="122" t="str">
        <f>IFERROR(__xludf.DUMMYFUNCTION("""COMPUTED_VALUE"""),"转")</f>
        <v>转</v>
      </c>
      <c r="F759" s="122" t="s">
        <v>6122</v>
      </c>
    </row>
    <row r="760">
      <c r="D760" s="122" t="str">
        <f>IFERROR(__xludf.DUMMYFUNCTION("""COMPUTED_VALUE"""),"载")</f>
        <v>载</v>
      </c>
      <c r="F760" s="122" t="s">
        <v>9310</v>
      </c>
    </row>
    <row r="761">
      <c r="D761" s="122" t="str">
        <f>IFERROR(__xludf.DUMMYFUNCTION("""COMPUTED_VALUE"""),"输")</f>
        <v>输</v>
      </c>
      <c r="F761" s="122" t="s">
        <v>4020</v>
      </c>
    </row>
    <row r="762">
      <c r="D762" s="122" t="str">
        <f>IFERROR(__xludf.DUMMYFUNCTION("""COMPUTED_VALUE"""),"边")</f>
        <v>边</v>
      </c>
      <c r="F762" s="122" t="s">
        <v>8203</v>
      </c>
    </row>
    <row r="763">
      <c r="D763" s="122" t="str">
        <f>IFERROR(__xludf.DUMMYFUNCTION("""COMPUTED_VALUE"""),"达")</f>
        <v>达</v>
      </c>
      <c r="F763" s="122" t="s">
        <v>5560</v>
      </c>
    </row>
    <row r="764">
      <c r="D764" s="122" t="str">
        <f>IFERROR(__xludf.DUMMYFUNCTION("""COMPUTED_VALUE"""),"过")</f>
        <v>过</v>
      </c>
      <c r="F764" s="122" t="s">
        <v>10290</v>
      </c>
    </row>
    <row r="765">
      <c r="D765" s="122" t="str">
        <f>IFERROR(__xludf.DUMMYFUNCTION("""COMPUTED_VALUE"""),"迎")</f>
        <v>迎</v>
      </c>
      <c r="F765" s="122" t="s">
        <v>8930</v>
      </c>
    </row>
    <row r="766">
      <c r="D766" s="122" t="str">
        <f>IFERROR(__xludf.DUMMYFUNCTION("""COMPUTED_VALUE"""),"运")</f>
        <v>运</v>
      </c>
      <c r="F766" s="122" t="s">
        <v>4245</v>
      </c>
    </row>
    <row r="767">
      <c r="D767" s="122" t="str">
        <f>IFERROR(__xludf.DUMMYFUNCTION("""COMPUTED_VALUE"""),"近")</f>
        <v>近</v>
      </c>
      <c r="F767" s="122" t="s">
        <v>9011</v>
      </c>
    </row>
    <row r="768">
      <c r="D768" s="122" t="str">
        <f>IFERROR(__xludf.DUMMYFUNCTION("""COMPUTED_VALUE"""),"返")</f>
        <v>返</v>
      </c>
      <c r="F768" s="122" t="s">
        <v>6344</v>
      </c>
    </row>
    <row r="769">
      <c r="D769" s="122" t="str">
        <f>IFERROR(__xludf.DUMMYFUNCTION("""COMPUTED_VALUE"""),"还")</f>
        <v>还</v>
      </c>
      <c r="F769" s="122" t="s">
        <v>9453</v>
      </c>
    </row>
    <row r="770">
      <c r="D770" s="122" t="str">
        <f>IFERROR(__xludf.DUMMYFUNCTION("""COMPUTED_VALUE"""),"这")</f>
        <v>这</v>
      </c>
      <c r="F770" s="122" t="s">
        <v>8676</v>
      </c>
    </row>
    <row r="771">
      <c r="D771" s="122" t="str">
        <f>IFERROR(__xludf.DUMMYFUNCTION("""COMPUTED_VALUE"""),"进")</f>
        <v>进</v>
      </c>
      <c r="F771" s="122" t="s">
        <v>10632</v>
      </c>
    </row>
    <row r="772">
      <c r="D772" s="122" t="str">
        <f>IFERROR(__xludf.DUMMYFUNCTION("""COMPUTED_VALUE"""),"远")</f>
        <v>远</v>
      </c>
      <c r="F772" s="122" t="s">
        <v>10512</v>
      </c>
    </row>
    <row r="773">
      <c r="D773" s="122" t="str">
        <f>IFERROR(__xludf.DUMMYFUNCTION("""COMPUTED_VALUE"""),"连")</f>
        <v>连</v>
      </c>
      <c r="F773" s="122" t="s">
        <v>4214</v>
      </c>
    </row>
    <row r="774">
      <c r="D774" s="122" t="str">
        <f>IFERROR(__xludf.DUMMYFUNCTION("""COMPUTED_VALUE"""),"迷")</f>
        <v>迷</v>
      </c>
      <c r="F774" s="122" t="s">
        <v>6184</v>
      </c>
    </row>
    <row r="775">
      <c r="D775" s="122" t="str">
        <f>IFERROR(__xludf.DUMMYFUNCTION("""COMPUTED_VALUE"""),"送")</f>
        <v>送</v>
      </c>
      <c r="F775" s="122" t="s">
        <v>5881</v>
      </c>
    </row>
    <row r="776">
      <c r="D776" s="122" t="str">
        <f>IFERROR(__xludf.DUMMYFUNCTION("""COMPUTED_VALUE"""),"适")</f>
        <v>适</v>
      </c>
      <c r="F776" s="122" t="s">
        <v>4435</v>
      </c>
    </row>
    <row r="777">
      <c r="D777" s="122" t="str">
        <f>IFERROR(__xludf.DUMMYFUNCTION("""COMPUTED_VALUE"""),"选")</f>
        <v>选</v>
      </c>
      <c r="F777" s="122" t="s">
        <v>4707</v>
      </c>
    </row>
    <row r="778">
      <c r="D778" s="122" t="str">
        <f>IFERROR(__xludf.DUMMYFUNCTION("""COMPUTED_VALUE"""),"通")</f>
        <v>通</v>
      </c>
      <c r="F778" s="122" t="s">
        <v>7232</v>
      </c>
    </row>
    <row r="779">
      <c r="D779" s="122" t="str">
        <f>IFERROR(__xludf.DUMMYFUNCTION("""COMPUTED_VALUE"""),"速")</f>
        <v>速</v>
      </c>
    </row>
    <row r="780">
      <c r="D780" s="122" t="str">
        <f>IFERROR(__xludf.DUMMYFUNCTION("""COMPUTED_VALUE"""),"遇")</f>
        <v>遇</v>
      </c>
    </row>
    <row r="781">
      <c r="D781" s="122" t="str">
        <f>IFERROR(__xludf.DUMMYFUNCTION("""COMPUTED_VALUE"""),"道")</f>
        <v>道</v>
      </c>
    </row>
    <row r="782">
      <c r="D782" s="122" t="str">
        <f>IFERROR(__xludf.DUMMYFUNCTION("""COMPUTED_VALUE"""),"那")</f>
        <v>那</v>
      </c>
    </row>
    <row r="783">
      <c r="D783" s="122" t="str">
        <f>IFERROR(__xludf.DUMMYFUNCTION("""COMPUTED_VALUE"""),"郎")</f>
        <v>郎</v>
      </c>
    </row>
    <row r="784">
      <c r="D784" s="122" t="str">
        <f>IFERROR(__xludf.DUMMYFUNCTION("""COMPUTED_VALUE"""),"部")</f>
        <v>部</v>
      </c>
    </row>
    <row r="785">
      <c r="D785" s="122" t="str">
        <f>IFERROR(__xludf.DUMMYFUNCTION("""COMPUTED_VALUE"""),"都")</f>
        <v>都</v>
      </c>
    </row>
    <row r="786">
      <c r="D786" s="122" t="str">
        <f>IFERROR(__xludf.DUMMYFUNCTION("""COMPUTED_VALUE"""),"醒")</f>
        <v>醒</v>
      </c>
    </row>
    <row r="787">
      <c r="D787" s="122" t="str">
        <f>IFERROR(__xludf.DUMMYFUNCTION("""COMPUTED_VALUE"""),"里")</f>
        <v>里</v>
      </c>
    </row>
    <row r="788">
      <c r="D788" s="122" t="str">
        <f>IFERROR(__xludf.DUMMYFUNCTION("""COMPUTED_VALUE"""),"重")</f>
        <v>重</v>
      </c>
    </row>
    <row r="789">
      <c r="D789" s="122" t="str">
        <f>IFERROR(__xludf.DUMMYFUNCTION("""COMPUTED_VALUE"""),"金")</f>
        <v>金</v>
      </c>
    </row>
    <row r="790">
      <c r="D790" s="122" t="str">
        <f>IFERROR(__xludf.DUMMYFUNCTION("""COMPUTED_VALUE"""),"针")</f>
        <v>针</v>
      </c>
    </row>
    <row r="791">
      <c r="D791" s="122" t="str">
        <f>IFERROR(__xludf.DUMMYFUNCTION("""COMPUTED_VALUE"""),"钢")</f>
        <v>钢</v>
      </c>
    </row>
    <row r="792">
      <c r="D792" s="122" t="str">
        <f>IFERROR(__xludf.DUMMYFUNCTION("""COMPUTED_VALUE"""),"钮")</f>
        <v>钮</v>
      </c>
    </row>
    <row r="793">
      <c r="D793" s="122" t="str">
        <f>IFERROR(__xludf.DUMMYFUNCTION("""COMPUTED_VALUE"""),"鉴")</f>
        <v>鉴</v>
      </c>
    </row>
    <row r="794">
      <c r="D794" s="122" t="str">
        <f>IFERROR(__xludf.DUMMYFUNCTION("""COMPUTED_VALUE"""),"钳")</f>
        <v>钳</v>
      </c>
    </row>
    <row r="795">
      <c r="D795" s="122" t="str">
        <f>IFERROR(__xludf.DUMMYFUNCTION("""COMPUTED_VALUE"""),"钻")</f>
        <v>钻</v>
      </c>
    </row>
    <row r="796">
      <c r="D796" s="122" t="str">
        <f>IFERROR(__xludf.DUMMYFUNCTION("""COMPUTED_VALUE"""),"铁")</f>
        <v>铁</v>
      </c>
    </row>
    <row r="797">
      <c r="D797" s="122" t="str">
        <f>IFERROR(__xludf.DUMMYFUNCTION("""COMPUTED_VALUE"""),"银")</f>
        <v>银</v>
      </c>
    </row>
    <row r="798">
      <c r="D798" s="122" t="str">
        <f>IFERROR(__xludf.DUMMYFUNCTION("""COMPUTED_VALUE"""),"链")</f>
        <v>链</v>
      </c>
    </row>
    <row r="799">
      <c r="D799" s="122" t="str">
        <f>IFERROR(__xludf.DUMMYFUNCTION("""COMPUTED_VALUE"""),"销")</f>
        <v>销</v>
      </c>
    </row>
    <row r="800">
      <c r="D800" s="122" t="str">
        <f>IFERROR(__xludf.DUMMYFUNCTION("""COMPUTED_VALUE"""),"错")</f>
        <v>错</v>
      </c>
    </row>
    <row r="801">
      <c r="D801" s="122" t="str">
        <f>IFERROR(__xludf.DUMMYFUNCTION("""COMPUTED_VALUE"""),"键")</f>
        <v>键</v>
      </c>
    </row>
    <row r="802">
      <c r="D802" s="122" t="str">
        <f>IFERROR(__xludf.DUMMYFUNCTION("""COMPUTED_VALUE"""),"锯")</f>
        <v>锯</v>
      </c>
    </row>
    <row r="803">
      <c r="D803" s="122" t="str">
        <f>IFERROR(__xludf.DUMMYFUNCTION("""COMPUTED_VALUE"""),"镰")</f>
        <v>镰</v>
      </c>
    </row>
    <row r="804">
      <c r="D804" s="122" t="str">
        <f>IFERROR(__xludf.DUMMYFUNCTION("""COMPUTED_VALUE"""),"长")</f>
        <v>长</v>
      </c>
    </row>
    <row r="805">
      <c r="D805" s="122" t="str">
        <f>IFERROR(__xludf.DUMMYFUNCTION("""COMPUTED_VALUE"""),"闪")</f>
        <v>闪</v>
      </c>
    </row>
    <row r="806">
      <c r="D806" s="122" t="str">
        <f>IFERROR(__xludf.DUMMYFUNCTION("""COMPUTED_VALUE"""),"闭")</f>
        <v>闭</v>
      </c>
    </row>
    <row r="807">
      <c r="D807" s="122" t="str">
        <f>IFERROR(__xludf.DUMMYFUNCTION("""COMPUTED_VALUE"""),"问")</f>
        <v>问</v>
      </c>
    </row>
    <row r="808">
      <c r="D808" s="122" t="str">
        <f>IFERROR(__xludf.DUMMYFUNCTION("""COMPUTED_VALUE"""),"间")</f>
        <v>间</v>
      </c>
    </row>
    <row r="809">
      <c r="D809" s="122" t="str">
        <f>IFERROR(__xludf.DUMMYFUNCTION("""COMPUTED_VALUE"""),"队")</f>
        <v>队</v>
      </c>
    </row>
    <row r="810">
      <c r="D810" s="122" t="str">
        <f>IFERROR(__xludf.DUMMYFUNCTION("""COMPUTED_VALUE"""),"防")</f>
        <v>防</v>
      </c>
    </row>
    <row r="811">
      <c r="D811" s="122" t="str">
        <f>IFERROR(__xludf.DUMMYFUNCTION("""COMPUTED_VALUE"""),"阳")</f>
        <v>阳</v>
      </c>
    </row>
    <row r="812">
      <c r="D812" s="122" t="str">
        <f>IFERROR(__xludf.DUMMYFUNCTION("""COMPUTED_VALUE"""),"阶")</f>
        <v>阶</v>
      </c>
    </row>
    <row r="813">
      <c r="D813" s="122" t="str">
        <f>IFERROR(__xludf.DUMMYFUNCTION("""COMPUTED_VALUE"""),"阿")</f>
        <v>阿</v>
      </c>
    </row>
    <row r="814">
      <c r="D814" s="122" t="str">
        <f>IFERROR(__xludf.DUMMYFUNCTION("""COMPUTED_VALUE"""),"除")</f>
        <v>除</v>
      </c>
    </row>
    <row r="815">
      <c r="D815" s="122" t="str">
        <f>IFERROR(__xludf.DUMMYFUNCTION("""COMPUTED_VALUE"""),"隆")</f>
        <v>隆</v>
      </c>
    </row>
    <row r="816">
      <c r="D816" s="122" t="str">
        <f>IFERROR(__xludf.DUMMYFUNCTION("""COMPUTED_VALUE"""),"随")</f>
        <v>随</v>
      </c>
    </row>
    <row r="817">
      <c r="D817" s="122" t="str">
        <f>IFERROR(__xludf.DUMMYFUNCTION("""COMPUTED_VALUE"""),"雀")</f>
        <v>雀</v>
      </c>
    </row>
    <row r="818">
      <c r="D818" s="122" t="str">
        <f>IFERROR(__xludf.DUMMYFUNCTION("""COMPUTED_VALUE"""),"集")</f>
        <v>集</v>
      </c>
    </row>
    <row r="819">
      <c r="D819" s="122" t="str">
        <f>IFERROR(__xludf.DUMMYFUNCTION("""COMPUTED_VALUE"""),"雳")</f>
        <v>雳</v>
      </c>
    </row>
    <row r="820">
      <c r="D820" s="122" t="str">
        <f>IFERROR(__xludf.DUMMYFUNCTION("""COMPUTED_VALUE"""),"雷")</f>
        <v>雷</v>
      </c>
    </row>
    <row r="821">
      <c r="D821" s="122" t="str">
        <f>IFERROR(__xludf.DUMMYFUNCTION("""COMPUTED_VALUE"""),"需")</f>
        <v>需</v>
      </c>
    </row>
    <row r="822">
      <c r="D822" s="122" t="str">
        <f>IFERROR(__xludf.DUMMYFUNCTION("""COMPUTED_VALUE"""),"露")</f>
        <v>露</v>
      </c>
    </row>
    <row r="823">
      <c r="D823" s="122" t="str">
        <f>IFERROR(__xludf.DUMMYFUNCTION("""COMPUTED_VALUE"""),"霸")</f>
        <v>霸</v>
      </c>
    </row>
    <row r="824">
      <c r="D824" s="122" t="str">
        <f>IFERROR(__xludf.DUMMYFUNCTION("""COMPUTED_VALUE"""),"霹")</f>
        <v>霹</v>
      </c>
    </row>
    <row r="825">
      <c r="D825" s="122" t="str">
        <f>IFERROR(__xludf.DUMMYFUNCTION("""COMPUTED_VALUE"""),"非")</f>
        <v>非</v>
      </c>
    </row>
    <row r="826">
      <c r="D826" s="122" t="str">
        <f>IFERROR(__xludf.DUMMYFUNCTION("""COMPUTED_VALUE"""),"面")</f>
        <v>面</v>
      </c>
    </row>
    <row r="827">
      <c r="D827" s="122" t="str">
        <f>IFERROR(__xludf.DUMMYFUNCTION("""COMPUTED_VALUE"""),"韩")</f>
        <v>韩</v>
      </c>
    </row>
    <row r="828">
      <c r="D828" s="122" t="str">
        <f>IFERROR(__xludf.DUMMYFUNCTION("""COMPUTED_VALUE"""),"音")</f>
        <v>音</v>
      </c>
    </row>
    <row r="829">
      <c r="D829" s="122" t="str">
        <f>IFERROR(__xludf.DUMMYFUNCTION("""COMPUTED_VALUE"""),"竟")</f>
        <v>竟</v>
      </c>
    </row>
    <row r="830">
      <c r="D830" s="122" t="str">
        <f>IFERROR(__xludf.DUMMYFUNCTION("""COMPUTED_VALUE"""),"章")</f>
        <v>章</v>
      </c>
    </row>
    <row r="831">
      <c r="D831" s="122" t="str">
        <f>IFERROR(__xludf.DUMMYFUNCTION("""COMPUTED_VALUE"""),"页")</f>
        <v>页</v>
      </c>
    </row>
    <row r="832">
      <c r="D832" s="122" t="str">
        <f>IFERROR(__xludf.DUMMYFUNCTION("""COMPUTED_VALUE"""),"顶")</f>
        <v>顶</v>
      </c>
    </row>
    <row r="833">
      <c r="D833" s="122" t="str">
        <f>IFERROR(__xludf.DUMMYFUNCTION("""COMPUTED_VALUE"""),"项")</f>
        <v>项</v>
      </c>
    </row>
    <row r="834">
      <c r="D834" s="122" t="str">
        <f>IFERROR(__xludf.DUMMYFUNCTION("""COMPUTED_VALUE"""),"顽")</f>
        <v>顽</v>
      </c>
    </row>
    <row r="835">
      <c r="D835" s="122" t="str">
        <f>IFERROR(__xludf.DUMMYFUNCTION("""COMPUTED_VALUE"""),"顿")</f>
        <v>顿</v>
      </c>
    </row>
    <row r="836">
      <c r="D836" s="122" t="str">
        <f>IFERROR(__xludf.DUMMYFUNCTION("""COMPUTED_VALUE"""),"预")</f>
        <v>预</v>
      </c>
    </row>
    <row r="837">
      <c r="D837" s="122" t="str">
        <f>IFERROR(__xludf.DUMMYFUNCTION("""COMPUTED_VALUE"""),"领")</f>
        <v>领</v>
      </c>
    </row>
    <row r="838">
      <c r="D838" s="122" t="str">
        <f>IFERROR(__xludf.DUMMYFUNCTION("""COMPUTED_VALUE"""),"题")</f>
        <v>题</v>
      </c>
    </row>
    <row r="839">
      <c r="D839" s="122" t="str">
        <f>IFERROR(__xludf.DUMMYFUNCTION("""COMPUTED_VALUE"""),"风")</f>
        <v>风</v>
      </c>
    </row>
    <row r="840">
      <c r="D840" s="122" t="str">
        <f>IFERROR(__xludf.DUMMYFUNCTION("""COMPUTED_VALUE"""),"飞")</f>
        <v>飞</v>
      </c>
    </row>
    <row r="841">
      <c r="D841" s="122" t="str">
        <f>IFERROR(__xludf.DUMMYFUNCTION("""COMPUTED_VALUE"""),"食")</f>
        <v>食</v>
      </c>
    </row>
    <row r="842">
      <c r="D842" s="122" t="str">
        <f>IFERROR(__xludf.DUMMYFUNCTION("""COMPUTED_VALUE"""),"首")</f>
        <v>首</v>
      </c>
    </row>
    <row r="843">
      <c r="D843" s="122" t="str">
        <f>IFERROR(__xludf.DUMMYFUNCTION("""COMPUTED_VALUE"""),"香")</f>
        <v>香</v>
      </c>
    </row>
    <row r="844">
      <c r="D844" s="122" t="str">
        <f>IFERROR(__xludf.DUMMYFUNCTION("""COMPUTED_VALUE"""),"馨")</f>
        <v>馨</v>
      </c>
    </row>
    <row r="845">
      <c r="D845" s="122" t="str">
        <f>IFERROR(__xludf.DUMMYFUNCTION("""COMPUTED_VALUE"""),"马")</f>
        <v>马</v>
      </c>
    </row>
    <row r="846">
      <c r="D846" s="122" t="str">
        <f>IFERROR(__xludf.DUMMYFUNCTION("""COMPUTED_VALUE"""),"验")</f>
        <v>验</v>
      </c>
    </row>
    <row r="847">
      <c r="D847" s="122" t="str">
        <f>IFERROR(__xludf.DUMMYFUNCTION("""COMPUTED_VALUE"""),"骤")</f>
        <v>骤</v>
      </c>
    </row>
    <row r="848">
      <c r="D848" s="122" t="str">
        <f>IFERROR(__xludf.DUMMYFUNCTION("""COMPUTED_VALUE"""),"高")</f>
        <v>高</v>
      </c>
    </row>
    <row r="849">
      <c r="D849" s="122" t="str">
        <f>IFERROR(__xludf.DUMMYFUNCTION("""COMPUTED_VALUE"""),"鬼")</f>
        <v>鬼</v>
      </c>
    </row>
    <row r="850">
      <c r="D850" s="122" t="str">
        <f>IFERROR(__xludf.DUMMYFUNCTION("""COMPUTED_VALUE"""),"魔")</f>
        <v>魔</v>
      </c>
    </row>
    <row r="851">
      <c r="D851" s="122" t="str">
        <f>IFERROR(__xludf.DUMMYFUNCTION("""COMPUTED_VALUE"""),"鱼")</f>
        <v>鱼</v>
      </c>
    </row>
    <row r="852">
      <c r="D852" s="122" t="str">
        <f>IFERROR(__xludf.DUMMYFUNCTION("""COMPUTED_VALUE"""),"鲁")</f>
        <v>鲁</v>
      </c>
    </row>
    <row r="853">
      <c r="D853" s="122" t="str">
        <f>IFERROR(__xludf.DUMMYFUNCTION("""COMPUTED_VALUE"""),"鲜")</f>
        <v>鲜</v>
      </c>
    </row>
    <row r="854">
      <c r="D854" s="122" t="str">
        <f>IFERROR(__xludf.DUMMYFUNCTION("""COMPUTED_VALUE"""),"鲤")</f>
        <v>鲤</v>
      </c>
    </row>
    <row r="855">
      <c r="D855" s="122" t="str">
        <f>IFERROR(__xludf.DUMMYFUNCTION("""COMPUTED_VALUE"""),"鳄")</f>
        <v>鳄</v>
      </c>
    </row>
    <row r="856">
      <c r="D856" s="122" t="str">
        <f>IFERROR(__xludf.DUMMYFUNCTION("""COMPUTED_VALUE"""),"鸟")</f>
        <v>鸟</v>
      </c>
    </row>
    <row r="857">
      <c r="D857" s="122" t="str">
        <f>IFERROR(__xludf.DUMMYFUNCTION("""COMPUTED_VALUE"""),"鸦")</f>
        <v>鸦</v>
      </c>
    </row>
    <row r="858">
      <c r="D858" s="122" t="str">
        <f>IFERROR(__xludf.DUMMYFUNCTION("""COMPUTED_VALUE"""),"鸭")</f>
        <v>鸭</v>
      </c>
    </row>
    <row r="859">
      <c r="D859" s="122" t="str">
        <f>IFERROR(__xludf.DUMMYFUNCTION("""COMPUTED_VALUE"""),"鹰")</f>
        <v>鹰</v>
      </c>
    </row>
    <row r="860">
      <c r="D860" s="122" t="str">
        <f>IFERROR(__xludf.DUMMYFUNCTION("""COMPUTED_VALUE"""),"鹿")</f>
        <v>鹿</v>
      </c>
    </row>
    <row r="861">
      <c r="D861" s="122" t="str">
        <f>IFERROR(__xludf.DUMMYFUNCTION("""COMPUTED_VALUE"""),"麒")</f>
        <v>麒</v>
      </c>
    </row>
    <row r="862">
      <c r="D862" s="122" t="str">
        <f>IFERROR(__xludf.DUMMYFUNCTION("""COMPUTED_VALUE"""),"麟")</f>
        <v>麟</v>
      </c>
    </row>
    <row r="863">
      <c r="D863" s="122" t="str">
        <f>IFERROR(__xludf.DUMMYFUNCTION("""COMPUTED_VALUE"""),"黑")</f>
        <v>黑</v>
      </c>
    </row>
    <row r="864">
      <c r="D864" s="122" t="str">
        <f>IFERROR(__xludf.DUMMYFUNCTION("""COMPUTED_VALUE"""),"墨")</f>
        <v>墨</v>
      </c>
    </row>
    <row r="865">
      <c r="D865" s="122" t="str">
        <f>IFERROR(__xludf.DUMMYFUNCTION("""COMPUTED_VALUE"""),"鼓")</f>
        <v>鼓</v>
      </c>
    </row>
    <row r="866">
      <c r="D866" s="122" t="str">
        <f>IFERROR(__xludf.DUMMYFUNCTION("""COMPUTED_VALUE"""),"鼠")</f>
        <v>鼠</v>
      </c>
    </row>
    <row r="867">
      <c r="D867" s="122" t="str">
        <f>IFERROR(__xludf.DUMMYFUNCTION("""COMPUTED_VALUE"""),"齐")</f>
        <v>齐</v>
      </c>
    </row>
    <row r="868">
      <c r="D868" s="122" t="str">
        <f>IFERROR(__xludf.DUMMYFUNCTION("""COMPUTED_VALUE"""),"龙")</f>
        <v>龙</v>
      </c>
    </row>
    <row r="869">
      <c r="D869" s="122" t="str">
        <f>IFERROR(__xludf.DUMMYFUNCTION("""COMPUTED_VALUE"""),"龟")</f>
        <v>龟</v>
      </c>
    </row>
  </sheetData>
  <conditionalFormatting sqref="A36:A49 A64:A65 A70:A320">
    <cfRule type="expression" dxfId="3" priority="1">
      <formula>LEN(A36) &gt; 1023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72.0"/>
  </cols>
  <sheetData>
    <row r="1">
      <c r="A1" s="123" t="s">
        <v>10633</v>
      </c>
      <c r="B1" s="124" t="s">
        <v>10634</v>
      </c>
    </row>
    <row r="2">
      <c r="A2" s="104" t="s">
        <v>10635</v>
      </c>
      <c r="B2" s="125"/>
    </row>
    <row r="3">
      <c r="A3" s="104" t="s">
        <v>10636</v>
      </c>
      <c r="B3" s="125"/>
    </row>
    <row r="4">
      <c r="A4" s="104" t="s">
        <v>10637</v>
      </c>
      <c r="B4" s="125"/>
    </row>
    <row r="5">
      <c r="A5" s="104" t="s">
        <v>10638</v>
      </c>
      <c r="B5" s="125"/>
    </row>
    <row r="6">
      <c r="A6" s="104" t="s">
        <v>10639</v>
      </c>
      <c r="B6" s="125"/>
    </row>
    <row r="7">
      <c r="A7" s="104" t="s">
        <v>10640</v>
      </c>
      <c r="B7" s="125"/>
    </row>
    <row r="8">
      <c r="A8" s="104" t="s">
        <v>10641</v>
      </c>
      <c r="B8" s="125"/>
    </row>
    <row r="9">
      <c r="A9" s="104" t="s">
        <v>10642</v>
      </c>
      <c r="B9" s="125"/>
    </row>
    <row r="10">
      <c r="A10" s="104" t="s">
        <v>10643</v>
      </c>
      <c r="B10" s="125"/>
    </row>
    <row r="11">
      <c r="A11" s="104" t="s">
        <v>10644</v>
      </c>
      <c r="B11" s="125"/>
    </row>
    <row r="12">
      <c r="A12" s="104" t="s">
        <v>10645</v>
      </c>
      <c r="B12" s="125"/>
    </row>
    <row r="13">
      <c r="A13" s="104" t="s">
        <v>10646</v>
      </c>
      <c r="B13" s="125"/>
    </row>
    <row r="14">
      <c r="A14" s="104" t="s">
        <v>10647</v>
      </c>
      <c r="B14" s="125"/>
    </row>
    <row r="15">
      <c r="A15" s="104" t="s">
        <v>10648</v>
      </c>
      <c r="B15" s="125"/>
    </row>
    <row r="16">
      <c r="A16" s="104" t="s">
        <v>10649</v>
      </c>
      <c r="B16" s="125"/>
    </row>
    <row r="17">
      <c r="A17" s="104" t="s">
        <v>10650</v>
      </c>
      <c r="B17" s="125"/>
    </row>
    <row r="18">
      <c r="A18" s="104" t="s">
        <v>10651</v>
      </c>
      <c r="B18" s="125"/>
    </row>
    <row r="19">
      <c r="A19" s="104" t="s">
        <v>10652</v>
      </c>
      <c r="B19" s="125"/>
    </row>
    <row r="20">
      <c r="A20" s="104" t="s">
        <v>10653</v>
      </c>
      <c r="B20" s="125"/>
    </row>
    <row r="21">
      <c r="A21" s="104" t="s">
        <v>10654</v>
      </c>
      <c r="B21" s="125"/>
    </row>
    <row r="22">
      <c r="A22" s="104" t="s">
        <v>10655</v>
      </c>
      <c r="B22" s="125"/>
    </row>
    <row r="23">
      <c r="A23" s="104" t="s">
        <v>10656</v>
      </c>
      <c r="B23" s="125"/>
    </row>
    <row r="24">
      <c r="A24" s="104" t="s">
        <v>10657</v>
      </c>
      <c r="B24" s="125"/>
    </row>
    <row r="25">
      <c r="A25" s="104" t="s">
        <v>10658</v>
      </c>
      <c r="B25" s="125"/>
    </row>
    <row r="26">
      <c r="A26" s="104" t="s">
        <v>10659</v>
      </c>
      <c r="B26" s="125"/>
    </row>
    <row r="27">
      <c r="A27" s="104" t="s">
        <v>10660</v>
      </c>
      <c r="B27" s="125"/>
    </row>
    <row r="28">
      <c r="A28" s="104" t="s">
        <v>10661</v>
      </c>
      <c r="B28" s="125"/>
    </row>
    <row r="29">
      <c r="A29" s="104" t="s">
        <v>10662</v>
      </c>
      <c r="B29" s="125"/>
    </row>
    <row r="30">
      <c r="A30" s="104" t="s">
        <v>10663</v>
      </c>
      <c r="B30" s="125"/>
    </row>
    <row r="31">
      <c r="A31" s="104" t="s">
        <v>10664</v>
      </c>
      <c r="B31" s="125"/>
    </row>
    <row r="32">
      <c r="A32" s="104" t="s">
        <v>10665</v>
      </c>
      <c r="B32" s="125"/>
    </row>
    <row r="33">
      <c r="A33" s="104" t="s">
        <v>10666</v>
      </c>
      <c r="B33" s="125"/>
    </row>
    <row r="34">
      <c r="A34" s="104" t="s">
        <v>10667</v>
      </c>
      <c r="B34" s="125"/>
    </row>
    <row r="35">
      <c r="A35" s="95" t="s">
        <v>10668</v>
      </c>
      <c r="B35" s="125"/>
    </row>
    <row r="36">
      <c r="A36" s="104" t="s">
        <v>10669</v>
      </c>
      <c r="B36" s="125"/>
    </row>
    <row r="37">
      <c r="A37" s="104" t="s">
        <v>10670</v>
      </c>
      <c r="B37" s="126" t="s">
        <v>10671</v>
      </c>
    </row>
    <row r="38">
      <c r="A38" s="104" t="s">
        <v>10672</v>
      </c>
      <c r="B38" s="125"/>
    </row>
    <row r="39">
      <c r="A39" s="104" t="s">
        <v>10673</v>
      </c>
      <c r="B39" s="126" t="s">
        <v>10674</v>
      </c>
    </row>
    <row r="40">
      <c r="A40" s="104" t="s">
        <v>10675</v>
      </c>
      <c r="B40" s="126" t="s">
        <v>10676</v>
      </c>
    </row>
    <row r="41">
      <c r="A41" s="104" t="s">
        <v>10677</v>
      </c>
      <c r="B41" s="126" t="s">
        <v>10678</v>
      </c>
    </row>
    <row r="42">
      <c r="A42" s="127"/>
      <c r="B42" s="125"/>
    </row>
    <row r="43">
      <c r="A43" s="127"/>
      <c r="B43" s="125"/>
    </row>
    <row r="44">
      <c r="A44" s="127"/>
      <c r="B44" s="125"/>
    </row>
    <row r="45">
      <c r="A45" s="127"/>
      <c r="B45" s="125"/>
    </row>
    <row r="46">
      <c r="A46" s="127"/>
      <c r="B46" s="125"/>
    </row>
    <row r="47">
      <c r="A47" s="127"/>
      <c r="B47" s="125"/>
    </row>
    <row r="48">
      <c r="A48" s="127"/>
      <c r="B48" s="125"/>
    </row>
    <row r="49">
      <c r="A49" s="127"/>
      <c r="B49" s="125"/>
    </row>
    <row r="50">
      <c r="A50" s="127"/>
      <c r="B50" s="125"/>
    </row>
    <row r="51">
      <c r="A51" s="127"/>
      <c r="B51" s="125"/>
    </row>
    <row r="52">
      <c r="A52" s="127"/>
      <c r="B52" s="125"/>
    </row>
    <row r="53">
      <c r="A53" s="127"/>
      <c r="B53" s="125"/>
    </row>
    <row r="54">
      <c r="A54" s="127"/>
      <c r="B54" s="125"/>
    </row>
    <row r="55">
      <c r="A55" s="127"/>
      <c r="B55" s="125"/>
    </row>
    <row r="56">
      <c r="A56" s="127"/>
      <c r="B56" s="125"/>
    </row>
    <row r="57">
      <c r="A57" s="127"/>
      <c r="B57" s="125"/>
    </row>
    <row r="58">
      <c r="A58" s="127"/>
      <c r="B58" s="125"/>
    </row>
    <row r="59">
      <c r="A59" s="127"/>
      <c r="B59" s="125"/>
    </row>
    <row r="60">
      <c r="A60" s="127"/>
      <c r="B60" s="125"/>
    </row>
  </sheetData>
  <drawing r:id="rId1"/>
</worksheet>
</file>